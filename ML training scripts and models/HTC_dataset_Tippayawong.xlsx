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us\PhD_Kassem\HTC\"/>
    </mc:Choice>
  </mc:AlternateContent>
  <xr:revisionPtr revIDLastSave="0" documentId="13_ncr:1_{6DFEE4A6-6F62-4B13-BD94-9370E4C06D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3" r:id="rId1"/>
    <sheet name="HTC" sheetId="1" r:id="rId2"/>
  </sheets>
  <definedNames>
    <definedName name="ExternalData_2" localSheetId="0" hidden="1">'Table 1'!$A$1:$AJ$1092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92" i="1" l="1"/>
  <c r="AF1091" i="1"/>
  <c r="AF1090" i="1"/>
  <c r="AF1089" i="1"/>
  <c r="AF1088" i="1"/>
  <c r="AF1087" i="1"/>
  <c r="AF1086" i="1"/>
  <c r="AF1085" i="1"/>
  <c r="AF1084" i="1"/>
  <c r="AE1092" i="1"/>
  <c r="AE1091" i="1"/>
  <c r="AE1090" i="1"/>
  <c r="AE1089" i="1"/>
  <c r="AE1088" i="1"/>
  <c r="AE1087" i="1"/>
  <c r="AE1086" i="1"/>
  <c r="AE1085" i="1"/>
  <c r="AE1084" i="1"/>
  <c r="V1085" i="1"/>
  <c r="W1085" i="1"/>
  <c r="V1086" i="1"/>
  <c r="W1086" i="1"/>
  <c r="V1087" i="1"/>
  <c r="W1087" i="1"/>
  <c r="V1088" i="1"/>
  <c r="W1088" i="1"/>
  <c r="V1089" i="1"/>
  <c r="W1089" i="1"/>
  <c r="V1090" i="1"/>
  <c r="W1090" i="1"/>
  <c r="V1091" i="1"/>
  <c r="W1091" i="1"/>
  <c r="V1092" i="1"/>
  <c r="W1092" i="1"/>
  <c r="W1084" i="1"/>
  <c r="V1084" i="1"/>
  <c r="G1085" i="1"/>
  <c r="G1086" i="1"/>
  <c r="G1087" i="1"/>
  <c r="G1088" i="1"/>
  <c r="G1089" i="1"/>
  <c r="G1090" i="1"/>
  <c r="G1091" i="1"/>
  <c r="G1092" i="1"/>
  <c r="G1084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72" i="1"/>
  <c r="AH1045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Y1073" i="1"/>
  <c r="Y1074" i="1"/>
  <c r="Y1075" i="1"/>
  <c r="Y1076" i="1"/>
  <c r="Y1077" i="1"/>
  <c r="Y1078" i="1"/>
  <c r="Y1079" i="1"/>
  <c r="Y1080" i="1"/>
  <c r="Y1081" i="1"/>
  <c r="Y1082" i="1"/>
  <c r="Y1083" i="1"/>
  <c r="Y1072" i="1"/>
  <c r="Y1049" i="1"/>
  <c r="V1082" i="1"/>
  <c r="W1082" i="1"/>
  <c r="V1083" i="1"/>
  <c r="W1083" i="1"/>
  <c r="W1081" i="1"/>
  <c r="V1081" i="1"/>
  <c r="V1079" i="1"/>
  <c r="W1079" i="1"/>
  <c r="V1080" i="1"/>
  <c r="W1080" i="1"/>
  <c r="W1078" i="1"/>
  <c r="V1078" i="1"/>
  <c r="V1076" i="1"/>
  <c r="W1076" i="1"/>
  <c r="V1077" i="1"/>
  <c r="W1077" i="1"/>
  <c r="W1075" i="1"/>
  <c r="V1075" i="1"/>
  <c r="V1073" i="1"/>
  <c r="W1073" i="1"/>
  <c r="V1074" i="1"/>
  <c r="W1074" i="1"/>
  <c r="W1072" i="1"/>
  <c r="V1072" i="1"/>
  <c r="G1083" i="1"/>
  <c r="G1082" i="1"/>
  <c r="G1081" i="1"/>
  <c r="G1080" i="1"/>
  <c r="G1079" i="1"/>
  <c r="G1078" i="1"/>
  <c r="G1077" i="1"/>
  <c r="G1076" i="1"/>
  <c r="G1075" i="1"/>
  <c r="G1073" i="1"/>
  <c r="G1074" i="1"/>
  <c r="G1072" i="1"/>
  <c r="AE1070" i="1"/>
  <c r="AE1071" i="1"/>
  <c r="AF1071" i="1"/>
  <c r="AF1070" i="1"/>
  <c r="AE1069" i="1"/>
  <c r="AF1069" i="1"/>
  <c r="AE1066" i="1"/>
  <c r="AE1067" i="1"/>
  <c r="AE1068" i="1"/>
  <c r="AF1068" i="1"/>
  <c r="AF1067" i="1"/>
  <c r="AF1066" i="1"/>
  <c r="AF1065" i="1"/>
  <c r="AF1064" i="1"/>
  <c r="AF1063" i="1"/>
  <c r="AE1065" i="1"/>
  <c r="AE1064" i="1"/>
  <c r="AE1063" i="1"/>
  <c r="V1070" i="1"/>
  <c r="W1070" i="1"/>
  <c r="V1071" i="1"/>
  <c r="W1071" i="1"/>
  <c r="W1069" i="1"/>
  <c r="V1069" i="1"/>
  <c r="V1067" i="1"/>
  <c r="W1067" i="1"/>
  <c r="V1068" i="1"/>
  <c r="W1068" i="1"/>
  <c r="W1066" i="1"/>
  <c r="V1066" i="1"/>
  <c r="V1064" i="1"/>
  <c r="W1064" i="1"/>
  <c r="V1065" i="1"/>
  <c r="W1065" i="1"/>
  <c r="W1063" i="1"/>
  <c r="V1063" i="1"/>
  <c r="G1064" i="1"/>
  <c r="G1065" i="1"/>
  <c r="G1066" i="1"/>
  <c r="G1067" i="1"/>
  <c r="G1068" i="1"/>
  <c r="G1069" i="1"/>
  <c r="G1070" i="1"/>
  <c r="G1071" i="1"/>
  <c r="G1063" i="1"/>
  <c r="AF1062" i="1"/>
  <c r="AF1061" i="1"/>
  <c r="AF1060" i="1"/>
  <c r="AE1062" i="1"/>
  <c r="AE1061" i="1"/>
  <c r="AE1060" i="1"/>
  <c r="V1061" i="1"/>
  <c r="W1061" i="1"/>
  <c r="V1062" i="1"/>
  <c r="W1062" i="1"/>
  <c r="W1060" i="1"/>
  <c r="V1060" i="1"/>
  <c r="G1061" i="1"/>
  <c r="G1062" i="1"/>
  <c r="G1060" i="1"/>
  <c r="AF1059" i="1"/>
  <c r="AF1058" i="1"/>
  <c r="AF1057" i="1"/>
  <c r="AE1059" i="1"/>
  <c r="AE1058" i="1"/>
  <c r="AE1057" i="1"/>
  <c r="V1058" i="1"/>
  <c r="W1058" i="1"/>
  <c r="V1059" i="1"/>
  <c r="W1059" i="1"/>
  <c r="W1057" i="1"/>
  <c r="V1057" i="1"/>
  <c r="G1058" i="1"/>
  <c r="G1059" i="1"/>
  <c r="G1057" i="1"/>
  <c r="AE1054" i="1"/>
  <c r="AE1055" i="1"/>
  <c r="AE1056" i="1"/>
  <c r="AF1056" i="1"/>
  <c r="AF1055" i="1"/>
  <c r="AF1054" i="1"/>
  <c r="V1055" i="1"/>
  <c r="W1055" i="1"/>
  <c r="V1056" i="1"/>
  <c r="W1056" i="1"/>
  <c r="W1054" i="1"/>
  <c r="V1054" i="1"/>
  <c r="G1055" i="1"/>
  <c r="G1056" i="1"/>
  <c r="G1054" i="1"/>
  <c r="AF1053" i="1"/>
  <c r="AF1052" i="1"/>
  <c r="AF1051" i="1"/>
  <c r="AF1050" i="1"/>
  <c r="AE1053" i="1"/>
  <c r="AE1052" i="1"/>
  <c r="AE1051" i="1"/>
  <c r="AE1050" i="1"/>
  <c r="V1051" i="1"/>
  <c r="W1051" i="1"/>
  <c r="V1052" i="1"/>
  <c r="W1052" i="1"/>
  <c r="V1053" i="1"/>
  <c r="W1053" i="1"/>
  <c r="W1050" i="1"/>
  <c r="V1050" i="1"/>
  <c r="G1051" i="1"/>
  <c r="G1052" i="1"/>
  <c r="G1053" i="1"/>
  <c r="G1050" i="1"/>
  <c r="AH1039" i="1"/>
  <c r="AH1040" i="1"/>
  <c r="AH1041" i="1"/>
  <c r="AH1042" i="1"/>
  <c r="AH1043" i="1"/>
  <c r="AH1044" i="1"/>
  <c r="AH1046" i="1"/>
  <c r="AH1047" i="1"/>
  <c r="AH1048" i="1"/>
  <c r="AH1049" i="1"/>
  <c r="AH1038" i="1"/>
  <c r="AH981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E1049" i="1"/>
  <c r="AE1048" i="1"/>
  <c r="AE1047" i="1"/>
  <c r="AE1046" i="1"/>
  <c r="AE1045" i="1"/>
  <c r="AE1044" i="1"/>
  <c r="AE1043" i="1"/>
  <c r="AE1042" i="1"/>
  <c r="AE1041" i="1"/>
  <c r="AE1040" i="1"/>
  <c r="AE1039" i="1"/>
  <c r="AE1038" i="1"/>
  <c r="V1039" i="1"/>
  <c r="W1039" i="1"/>
  <c r="Y1039" i="1"/>
  <c r="V1040" i="1"/>
  <c r="W1040" i="1"/>
  <c r="Y1040" i="1"/>
  <c r="V1041" i="1"/>
  <c r="W1041" i="1"/>
  <c r="Y1041" i="1"/>
  <c r="V1042" i="1"/>
  <c r="W1042" i="1"/>
  <c r="Y1042" i="1"/>
  <c r="V1043" i="1"/>
  <c r="W1043" i="1"/>
  <c r="Y1043" i="1"/>
  <c r="V1044" i="1"/>
  <c r="W1044" i="1"/>
  <c r="Y1044" i="1"/>
  <c r="V1045" i="1"/>
  <c r="W1045" i="1"/>
  <c r="Y1045" i="1"/>
  <c r="V1046" i="1"/>
  <c r="W1046" i="1"/>
  <c r="Y1046" i="1"/>
  <c r="V1047" i="1"/>
  <c r="W1047" i="1"/>
  <c r="Y1047" i="1"/>
  <c r="V1048" i="1"/>
  <c r="W1048" i="1"/>
  <c r="Y1048" i="1"/>
  <c r="V1049" i="1"/>
  <c r="W1049" i="1"/>
  <c r="Y1038" i="1"/>
  <c r="Y978" i="1"/>
  <c r="W1038" i="1"/>
  <c r="V1038" i="1"/>
  <c r="G1039" i="1"/>
  <c r="G1040" i="1"/>
  <c r="G1041" i="1"/>
  <c r="G1042" i="1"/>
  <c r="G1043" i="1"/>
  <c r="G1044" i="1"/>
  <c r="G1045" i="1"/>
  <c r="G1046" i="1"/>
  <c r="G1047" i="1"/>
  <c r="G1048" i="1"/>
  <c r="G1049" i="1"/>
  <c r="G1038" i="1"/>
  <c r="AE1020" i="1"/>
  <c r="AF1020" i="1"/>
  <c r="AE1021" i="1"/>
  <c r="AF1021" i="1"/>
  <c r="AE1022" i="1"/>
  <c r="AF1022" i="1"/>
  <c r="AE1023" i="1"/>
  <c r="AF1023" i="1"/>
  <c r="AE1024" i="1"/>
  <c r="AF1024" i="1"/>
  <c r="AE1025" i="1"/>
  <c r="AF1025" i="1"/>
  <c r="AE1026" i="1"/>
  <c r="AF1026" i="1"/>
  <c r="AE1027" i="1"/>
  <c r="AF1027" i="1"/>
  <c r="AE1028" i="1"/>
  <c r="AF1028" i="1"/>
  <c r="AE1029" i="1"/>
  <c r="AF1029" i="1"/>
  <c r="AE1030" i="1"/>
  <c r="AF1030" i="1"/>
  <c r="AE1031" i="1"/>
  <c r="AF1031" i="1"/>
  <c r="AE1032" i="1"/>
  <c r="AF1032" i="1"/>
  <c r="AE1033" i="1"/>
  <c r="AF1033" i="1"/>
  <c r="AE1034" i="1"/>
  <c r="AF1034" i="1"/>
  <c r="AE1035" i="1"/>
  <c r="AF1035" i="1"/>
  <c r="AE1036" i="1"/>
  <c r="AF1036" i="1"/>
  <c r="AE1037" i="1"/>
  <c r="AF1037" i="1"/>
  <c r="V1030" i="1"/>
  <c r="W1030" i="1"/>
  <c r="V1031" i="1"/>
  <c r="W1031" i="1"/>
  <c r="V1032" i="1"/>
  <c r="W1032" i="1"/>
  <c r="V1033" i="1"/>
  <c r="W1033" i="1"/>
  <c r="V1034" i="1"/>
  <c r="W1034" i="1"/>
  <c r="V1035" i="1"/>
  <c r="W1035" i="1"/>
  <c r="V1036" i="1"/>
  <c r="W1036" i="1"/>
  <c r="V1037" i="1"/>
  <c r="W1037" i="1"/>
  <c r="W1029" i="1"/>
  <c r="V1029" i="1"/>
  <c r="G1037" i="1"/>
  <c r="G1036" i="1"/>
  <c r="G1035" i="1"/>
  <c r="G1034" i="1"/>
  <c r="G1033" i="1"/>
  <c r="G1032" i="1"/>
  <c r="G1031" i="1"/>
  <c r="G1030" i="1"/>
  <c r="G1029" i="1"/>
  <c r="V1021" i="1"/>
  <c r="W1021" i="1"/>
  <c r="V1022" i="1"/>
  <c r="W1022" i="1"/>
  <c r="V1023" i="1"/>
  <c r="W1023" i="1"/>
  <c r="V1024" i="1"/>
  <c r="W1024" i="1"/>
  <c r="V1025" i="1"/>
  <c r="W1025" i="1"/>
  <c r="V1026" i="1"/>
  <c r="W1026" i="1"/>
  <c r="V1027" i="1"/>
  <c r="W1027" i="1"/>
  <c r="V1028" i="1"/>
  <c r="W1028" i="1"/>
  <c r="W1020" i="1"/>
  <c r="V1020" i="1"/>
  <c r="G1021" i="1"/>
  <c r="G1022" i="1"/>
  <c r="G1023" i="1"/>
  <c r="G1024" i="1"/>
  <c r="G1025" i="1"/>
  <c r="G1026" i="1"/>
  <c r="G1027" i="1"/>
  <c r="G1028" i="1"/>
  <c r="G1020" i="1"/>
  <c r="AF1019" i="1"/>
  <c r="AE1019" i="1"/>
  <c r="AF1018" i="1"/>
  <c r="AE1018" i="1"/>
  <c r="AF1017" i="1"/>
  <c r="AE1017" i="1"/>
  <c r="AF1016" i="1"/>
  <c r="AE1016" i="1"/>
  <c r="W1019" i="1"/>
  <c r="W1018" i="1"/>
  <c r="W1017" i="1"/>
  <c r="W1016" i="1"/>
  <c r="V1019" i="1"/>
  <c r="V1018" i="1"/>
  <c r="V1017" i="1"/>
  <c r="V1016" i="1"/>
  <c r="G1017" i="1"/>
  <c r="G1018" i="1"/>
  <c r="G1019" i="1"/>
  <c r="G1016" i="1"/>
  <c r="AF1015" i="1"/>
  <c r="AF1014" i="1"/>
  <c r="AF1013" i="1"/>
  <c r="AE1015" i="1"/>
  <c r="AE1014" i="1"/>
  <c r="AE1013" i="1"/>
  <c r="W1015" i="1"/>
  <c r="W1014" i="1"/>
  <c r="W1013" i="1"/>
  <c r="V1015" i="1"/>
  <c r="V1014" i="1"/>
  <c r="V1013" i="1"/>
  <c r="G1014" i="1"/>
  <c r="G1015" i="1"/>
  <c r="G1013" i="1"/>
  <c r="AF1012" i="1"/>
  <c r="AF1011" i="1"/>
  <c r="AF1010" i="1"/>
  <c r="AE1012" i="1"/>
  <c r="AE1011" i="1"/>
  <c r="AE1010" i="1"/>
  <c r="W1012" i="1"/>
  <c r="W1011" i="1"/>
  <c r="V1012" i="1"/>
  <c r="V1011" i="1"/>
  <c r="W1010" i="1"/>
  <c r="V1010" i="1"/>
  <c r="G1011" i="1"/>
  <c r="G1012" i="1"/>
  <c r="G1010" i="1"/>
  <c r="AE986" i="1"/>
  <c r="AF986" i="1"/>
  <c r="AE987" i="1"/>
  <c r="AF987" i="1"/>
  <c r="AE988" i="1"/>
  <c r="AF988" i="1"/>
  <c r="AE989" i="1"/>
  <c r="AF989" i="1"/>
  <c r="AE990" i="1"/>
  <c r="AF990" i="1"/>
  <c r="AE991" i="1"/>
  <c r="AF991" i="1"/>
  <c r="AE992" i="1"/>
  <c r="AF992" i="1"/>
  <c r="AE993" i="1"/>
  <c r="AF993" i="1"/>
  <c r="AE994" i="1"/>
  <c r="AF994" i="1"/>
  <c r="AE995" i="1"/>
  <c r="AF995" i="1"/>
  <c r="AE996" i="1"/>
  <c r="AF996" i="1"/>
  <c r="AE997" i="1"/>
  <c r="AF997" i="1"/>
  <c r="AE998" i="1"/>
  <c r="AF998" i="1"/>
  <c r="AE999" i="1"/>
  <c r="AF999" i="1"/>
  <c r="AE1000" i="1"/>
  <c r="AF1000" i="1"/>
  <c r="AE1001" i="1"/>
  <c r="AF1001" i="1"/>
  <c r="AE1002" i="1"/>
  <c r="AF1002" i="1"/>
  <c r="AE1003" i="1"/>
  <c r="AF1003" i="1"/>
  <c r="AE1004" i="1"/>
  <c r="AF1004" i="1"/>
  <c r="AE1005" i="1"/>
  <c r="AF1005" i="1"/>
  <c r="AE1006" i="1"/>
  <c r="AF1006" i="1"/>
  <c r="AE1007" i="1"/>
  <c r="AF1007" i="1"/>
  <c r="AE1008" i="1"/>
  <c r="AF1008" i="1"/>
  <c r="AE1009" i="1"/>
  <c r="AF1009" i="1"/>
  <c r="V1003" i="1"/>
  <c r="W1003" i="1"/>
  <c r="V1004" i="1"/>
  <c r="W1004" i="1"/>
  <c r="V1005" i="1"/>
  <c r="W1005" i="1"/>
  <c r="V1006" i="1"/>
  <c r="W1006" i="1"/>
  <c r="V1007" i="1"/>
  <c r="W1007" i="1"/>
  <c r="V1008" i="1"/>
  <c r="W1008" i="1"/>
  <c r="V1009" i="1"/>
  <c r="W1009" i="1"/>
  <c r="V1002" i="1"/>
  <c r="W1002" i="1"/>
  <c r="V995" i="1"/>
  <c r="W995" i="1"/>
  <c r="V996" i="1"/>
  <c r="W996" i="1"/>
  <c r="V997" i="1"/>
  <c r="W997" i="1"/>
  <c r="V998" i="1"/>
  <c r="W998" i="1"/>
  <c r="V999" i="1"/>
  <c r="W999" i="1"/>
  <c r="V1000" i="1"/>
  <c r="W1000" i="1"/>
  <c r="V1001" i="1"/>
  <c r="W1001" i="1"/>
  <c r="V994" i="1"/>
  <c r="W994" i="1"/>
  <c r="V986" i="1"/>
  <c r="W986" i="1"/>
  <c r="V987" i="1"/>
  <c r="W987" i="1"/>
  <c r="V988" i="1"/>
  <c r="W988" i="1"/>
  <c r="V989" i="1"/>
  <c r="W989" i="1"/>
  <c r="V990" i="1"/>
  <c r="W990" i="1"/>
  <c r="V991" i="1"/>
  <c r="W991" i="1"/>
  <c r="V992" i="1"/>
  <c r="W992" i="1"/>
  <c r="V993" i="1"/>
  <c r="W993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87" i="1"/>
  <c r="G988" i="1"/>
  <c r="G989" i="1"/>
  <c r="G990" i="1"/>
  <c r="G991" i="1"/>
  <c r="G992" i="1"/>
  <c r="G993" i="1"/>
  <c r="G986" i="1"/>
  <c r="AF985" i="1"/>
  <c r="AF984" i="1"/>
  <c r="AF983" i="1"/>
  <c r="AE985" i="1"/>
  <c r="AE984" i="1"/>
  <c r="AE983" i="1"/>
  <c r="V984" i="1"/>
  <c r="W984" i="1"/>
  <c r="V985" i="1"/>
  <c r="W985" i="1"/>
  <c r="W983" i="1"/>
  <c r="V983" i="1"/>
  <c r="G984" i="1"/>
  <c r="G985" i="1"/>
  <c r="G983" i="1"/>
  <c r="AH977" i="1"/>
  <c r="AH978" i="1"/>
  <c r="AH979" i="1"/>
  <c r="AH980" i="1"/>
  <c r="AH982" i="1"/>
  <c r="AE977" i="1"/>
  <c r="AF977" i="1"/>
  <c r="AE978" i="1"/>
  <c r="AF978" i="1"/>
  <c r="AE979" i="1"/>
  <c r="AF979" i="1"/>
  <c r="AE980" i="1"/>
  <c r="AF980" i="1"/>
  <c r="AE981" i="1"/>
  <c r="AF981" i="1"/>
  <c r="AE982" i="1"/>
  <c r="AF982" i="1"/>
  <c r="V978" i="1"/>
  <c r="W978" i="1"/>
  <c r="V979" i="1"/>
  <c r="W979" i="1"/>
  <c r="Y979" i="1"/>
  <c r="V980" i="1"/>
  <c r="W980" i="1"/>
  <c r="Y980" i="1"/>
  <c r="V981" i="1"/>
  <c r="W981" i="1"/>
  <c r="Y981" i="1"/>
  <c r="V982" i="1"/>
  <c r="W982" i="1"/>
  <c r="Y982" i="1"/>
  <c r="Y977" i="1"/>
  <c r="Y956" i="1"/>
  <c r="V977" i="1"/>
  <c r="W977" i="1"/>
  <c r="G978" i="1"/>
  <c r="G979" i="1"/>
  <c r="G980" i="1"/>
  <c r="G981" i="1"/>
  <c r="G982" i="1"/>
  <c r="G977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59" i="1"/>
  <c r="AH916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V972" i="1"/>
  <c r="W972" i="1"/>
  <c r="V973" i="1"/>
  <c r="W973" i="1"/>
  <c r="V974" i="1"/>
  <c r="W974" i="1"/>
  <c r="V975" i="1"/>
  <c r="W975" i="1"/>
  <c r="V976" i="1"/>
  <c r="W976" i="1"/>
  <c r="W971" i="1"/>
  <c r="V971" i="1"/>
  <c r="V966" i="1"/>
  <c r="W966" i="1"/>
  <c r="V967" i="1"/>
  <c r="W967" i="1"/>
  <c r="V968" i="1"/>
  <c r="W968" i="1"/>
  <c r="V969" i="1"/>
  <c r="W969" i="1"/>
  <c r="V970" i="1"/>
  <c r="W970" i="1"/>
  <c r="W965" i="1"/>
  <c r="V965" i="1"/>
  <c r="V960" i="1"/>
  <c r="W960" i="1"/>
  <c r="V961" i="1"/>
  <c r="W961" i="1"/>
  <c r="V962" i="1"/>
  <c r="W962" i="1"/>
  <c r="V963" i="1"/>
  <c r="W963" i="1"/>
  <c r="V964" i="1"/>
  <c r="W964" i="1"/>
  <c r="W959" i="1"/>
  <c r="V959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0" i="1"/>
  <c r="G961" i="1"/>
  <c r="G962" i="1"/>
  <c r="G963" i="1"/>
  <c r="G964" i="1"/>
  <c r="G959" i="1"/>
  <c r="AF958" i="1"/>
  <c r="AE958" i="1"/>
  <c r="AF957" i="1"/>
  <c r="AE957" i="1"/>
  <c r="V958" i="1"/>
  <c r="W958" i="1"/>
  <c r="W957" i="1"/>
  <c r="V957" i="1"/>
  <c r="G958" i="1"/>
  <c r="G957" i="1"/>
  <c r="AF956" i="1"/>
  <c r="AF955" i="1"/>
  <c r="AF954" i="1"/>
  <c r="AF953" i="1"/>
  <c r="AF952" i="1"/>
  <c r="AF951" i="1"/>
  <c r="AF950" i="1"/>
  <c r="AF949" i="1"/>
  <c r="AF948" i="1"/>
  <c r="AE956" i="1"/>
  <c r="AE955" i="1"/>
  <c r="AE954" i="1"/>
  <c r="AE953" i="1"/>
  <c r="AE952" i="1"/>
  <c r="AE951" i="1"/>
  <c r="AE950" i="1"/>
  <c r="AE949" i="1"/>
  <c r="AE948" i="1"/>
  <c r="V949" i="1"/>
  <c r="W949" i="1"/>
  <c r="Y949" i="1"/>
  <c r="V950" i="1"/>
  <c r="W950" i="1"/>
  <c r="Y950" i="1"/>
  <c r="V951" i="1"/>
  <c r="W951" i="1"/>
  <c r="Y951" i="1"/>
  <c r="V952" i="1"/>
  <c r="W952" i="1"/>
  <c r="Y952" i="1"/>
  <c r="V953" i="1"/>
  <c r="W953" i="1"/>
  <c r="Y953" i="1"/>
  <c r="V954" i="1"/>
  <c r="W954" i="1"/>
  <c r="Y954" i="1"/>
  <c r="V955" i="1"/>
  <c r="W955" i="1"/>
  <c r="Y955" i="1"/>
  <c r="V956" i="1"/>
  <c r="W956" i="1"/>
  <c r="W948" i="1"/>
  <c r="Y948" i="1"/>
  <c r="V948" i="1"/>
  <c r="G949" i="1"/>
  <c r="G950" i="1"/>
  <c r="G951" i="1"/>
  <c r="G952" i="1"/>
  <c r="G953" i="1"/>
  <c r="G954" i="1"/>
  <c r="G955" i="1"/>
  <c r="G956" i="1"/>
  <c r="G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E947" i="1"/>
  <c r="AE946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V931" i="1"/>
  <c r="W931" i="1"/>
  <c r="Y931" i="1"/>
  <c r="V932" i="1"/>
  <c r="W932" i="1"/>
  <c r="Y932" i="1"/>
  <c r="V933" i="1"/>
  <c r="W933" i="1"/>
  <c r="Y933" i="1"/>
  <c r="V934" i="1"/>
  <c r="W934" i="1"/>
  <c r="Y934" i="1"/>
  <c r="V935" i="1"/>
  <c r="W935" i="1"/>
  <c r="Y935" i="1"/>
  <c r="V936" i="1"/>
  <c r="W936" i="1"/>
  <c r="Y936" i="1"/>
  <c r="V937" i="1"/>
  <c r="W937" i="1"/>
  <c r="Y937" i="1"/>
  <c r="V938" i="1"/>
  <c r="W938" i="1"/>
  <c r="Y938" i="1"/>
  <c r="V939" i="1"/>
  <c r="W939" i="1"/>
  <c r="Y939" i="1"/>
  <c r="V940" i="1"/>
  <c r="W940" i="1"/>
  <c r="Y940" i="1"/>
  <c r="V941" i="1"/>
  <c r="W941" i="1"/>
  <c r="Y941" i="1"/>
  <c r="V942" i="1"/>
  <c r="W942" i="1"/>
  <c r="Y942" i="1"/>
  <c r="V943" i="1"/>
  <c r="W943" i="1"/>
  <c r="Y943" i="1"/>
  <c r="V944" i="1"/>
  <c r="W944" i="1"/>
  <c r="Y944" i="1"/>
  <c r="V945" i="1"/>
  <c r="W945" i="1"/>
  <c r="Y945" i="1"/>
  <c r="V946" i="1"/>
  <c r="W946" i="1"/>
  <c r="Y946" i="1"/>
  <c r="V947" i="1"/>
  <c r="W947" i="1"/>
  <c r="Y947" i="1"/>
  <c r="W930" i="1"/>
  <c r="Y930" i="1"/>
  <c r="V930" i="1"/>
  <c r="G947" i="1"/>
  <c r="G946" i="1"/>
  <c r="G945" i="1"/>
  <c r="G944" i="1"/>
  <c r="G943" i="1"/>
  <c r="G942" i="1"/>
  <c r="G941" i="1"/>
  <c r="G938" i="1"/>
  <c r="G939" i="1"/>
  <c r="G940" i="1"/>
  <c r="G937" i="1"/>
  <c r="G936" i="1"/>
  <c r="G935" i="1"/>
  <c r="G934" i="1"/>
  <c r="G933" i="1"/>
  <c r="G932" i="1"/>
  <c r="G931" i="1"/>
  <c r="G930" i="1"/>
  <c r="AF921" i="1"/>
  <c r="AF922" i="1"/>
  <c r="AF923" i="1"/>
  <c r="AF924" i="1"/>
  <c r="AF925" i="1"/>
  <c r="AF926" i="1"/>
  <c r="AF927" i="1"/>
  <c r="AF928" i="1"/>
  <c r="AF929" i="1"/>
  <c r="AE929" i="1"/>
  <c r="AE928" i="1"/>
  <c r="AE927" i="1"/>
  <c r="AE926" i="1"/>
  <c r="AE925" i="1"/>
  <c r="AE924" i="1"/>
  <c r="AE923" i="1"/>
  <c r="AE922" i="1"/>
  <c r="AE921" i="1"/>
  <c r="V922" i="1"/>
  <c r="W922" i="1"/>
  <c r="Y922" i="1"/>
  <c r="V923" i="1"/>
  <c r="W923" i="1"/>
  <c r="Y923" i="1"/>
  <c r="V924" i="1"/>
  <c r="W924" i="1"/>
  <c r="Y924" i="1"/>
  <c r="V925" i="1"/>
  <c r="W925" i="1"/>
  <c r="Y925" i="1"/>
  <c r="V926" i="1"/>
  <c r="W926" i="1"/>
  <c r="Y926" i="1"/>
  <c r="V927" i="1"/>
  <c r="W927" i="1"/>
  <c r="Y927" i="1"/>
  <c r="V928" i="1"/>
  <c r="W928" i="1"/>
  <c r="Y928" i="1"/>
  <c r="V929" i="1"/>
  <c r="W929" i="1"/>
  <c r="Y929" i="1"/>
  <c r="Y921" i="1"/>
  <c r="Y917" i="1"/>
  <c r="W921" i="1"/>
  <c r="V921" i="1"/>
  <c r="G922" i="1"/>
  <c r="G923" i="1"/>
  <c r="G924" i="1"/>
  <c r="G925" i="1"/>
  <c r="G926" i="1"/>
  <c r="G927" i="1"/>
  <c r="G928" i="1"/>
  <c r="G929" i="1"/>
  <c r="G921" i="1"/>
  <c r="AF918" i="1"/>
  <c r="AF919" i="1"/>
  <c r="AF920" i="1"/>
  <c r="AE920" i="1"/>
  <c r="AE919" i="1"/>
  <c r="AE918" i="1"/>
  <c r="V919" i="1"/>
  <c r="W919" i="1"/>
  <c r="V920" i="1"/>
  <c r="W920" i="1"/>
  <c r="W918" i="1"/>
  <c r="V918" i="1"/>
  <c r="G919" i="1"/>
  <c r="G920" i="1"/>
  <c r="G918" i="1"/>
  <c r="AH914" i="1"/>
  <c r="AH915" i="1"/>
  <c r="AH917" i="1"/>
  <c r="AH913" i="1"/>
  <c r="AH905" i="1"/>
  <c r="AF917" i="1"/>
  <c r="AF916" i="1"/>
  <c r="AF915" i="1"/>
  <c r="AF914" i="1"/>
  <c r="AF913" i="1"/>
  <c r="AE917" i="1"/>
  <c r="AE916" i="1"/>
  <c r="AE915" i="1"/>
  <c r="AE914" i="1"/>
  <c r="AE913" i="1"/>
  <c r="V914" i="1"/>
  <c r="W914" i="1"/>
  <c r="Y914" i="1"/>
  <c r="V915" i="1"/>
  <c r="W915" i="1"/>
  <c r="Y915" i="1"/>
  <c r="V916" i="1"/>
  <c r="W916" i="1"/>
  <c r="Y916" i="1"/>
  <c r="V917" i="1"/>
  <c r="W917" i="1"/>
  <c r="Y913" i="1"/>
  <c r="Y905" i="1"/>
  <c r="W913" i="1"/>
  <c r="V913" i="1"/>
  <c r="G914" i="1"/>
  <c r="G915" i="1"/>
  <c r="G916" i="1"/>
  <c r="G917" i="1"/>
  <c r="G913" i="1"/>
  <c r="AF912" i="1"/>
  <c r="AF911" i="1"/>
  <c r="AF910" i="1"/>
  <c r="AF909" i="1"/>
  <c r="AF908" i="1"/>
  <c r="AF907" i="1"/>
  <c r="AF906" i="1"/>
  <c r="AE912" i="1"/>
  <c r="AE911" i="1"/>
  <c r="AE910" i="1"/>
  <c r="AE909" i="1"/>
  <c r="AE908" i="1"/>
  <c r="AE907" i="1"/>
  <c r="AE906" i="1"/>
  <c r="V907" i="1"/>
  <c r="W907" i="1"/>
  <c r="V908" i="1"/>
  <c r="W908" i="1"/>
  <c r="V909" i="1"/>
  <c r="W909" i="1"/>
  <c r="V910" i="1"/>
  <c r="W910" i="1"/>
  <c r="V911" i="1"/>
  <c r="W911" i="1"/>
  <c r="V912" i="1"/>
  <c r="W912" i="1"/>
  <c r="W906" i="1"/>
  <c r="V906" i="1"/>
  <c r="G908" i="1"/>
  <c r="G909" i="1"/>
  <c r="G910" i="1"/>
  <c r="G911" i="1"/>
  <c r="G912" i="1"/>
  <c r="G907" i="1"/>
  <c r="G906" i="1"/>
  <c r="AF905" i="1"/>
  <c r="AF904" i="1"/>
  <c r="AH904" i="1"/>
  <c r="AF903" i="1"/>
  <c r="AH903" i="1"/>
  <c r="AF902" i="1"/>
  <c r="AH902" i="1"/>
  <c r="AF901" i="1"/>
  <c r="AH901" i="1"/>
  <c r="AF900" i="1"/>
  <c r="AH900" i="1"/>
  <c r="AF899" i="1"/>
  <c r="AH899" i="1"/>
  <c r="AF898" i="1"/>
  <c r="AH898" i="1"/>
  <c r="AF897" i="1"/>
  <c r="AH897" i="1"/>
  <c r="AF896" i="1"/>
  <c r="AH896" i="1"/>
  <c r="AF895" i="1"/>
  <c r="AH895" i="1"/>
  <c r="AF894" i="1"/>
  <c r="AH894" i="1"/>
  <c r="AF893" i="1"/>
  <c r="AH893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V905" i="1"/>
  <c r="W905" i="1"/>
  <c r="W904" i="1"/>
  <c r="Y904" i="1"/>
  <c r="V904" i="1"/>
  <c r="V902" i="1"/>
  <c r="W902" i="1"/>
  <c r="Y902" i="1"/>
  <c r="V903" i="1"/>
  <c r="W903" i="1"/>
  <c r="Y903" i="1"/>
  <c r="W901" i="1"/>
  <c r="Y901" i="1"/>
  <c r="V901" i="1"/>
  <c r="V898" i="1"/>
  <c r="W898" i="1"/>
  <c r="Y898" i="1"/>
  <c r="V899" i="1"/>
  <c r="W899" i="1"/>
  <c r="Y899" i="1"/>
  <c r="V900" i="1"/>
  <c r="W900" i="1"/>
  <c r="Y900" i="1"/>
  <c r="W897" i="1"/>
  <c r="Y897" i="1"/>
  <c r="V897" i="1"/>
  <c r="V894" i="1"/>
  <c r="W894" i="1"/>
  <c r="Y894" i="1"/>
  <c r="V895" i="1"/>
  <c r="W895" i="1"/>
  <c r="Y895" i="1"/>
  <c r="V896" i="1"/>
  <c r="W896" i="1"/>
  <c r="Y896" i="1"/>
  <c r="W893" i="1"/>
  <c r="Y893" i="1"/>
  <c r="V893" i="1"/>
  <c r="G897" i="1"/>
  <c r="G898" i="1"/>
  <c r="G899" i="1"/>
  <c r="G900" i="1"/>
  <c r="G901" i="1"/>
  <c r="G902" i="1"/>
  <c r="G903" i="1"/>
  <c r="G904" i="1"/>
  <c r="G905" i="1"/>
  <c r="G894" i="1"/>
  <c r="G895" i="1"/>
  <c r="G896" i="1"/>
  <c r="G893" i="1"/>
  <c r="AH885" i="1"/>
  <c r="AH886" i="1"/>
  <c r="AH887" i="1"/>
  <c r="AH888" i="1"/>
  <c r="AH889" i="1"/>
  <c r="AH890" i="1"/>
  <c r="AH891" i="1"/>
  <c r="AH892" i="1"/>
  <c r="AH884" i="1"/>
  <c r="AH872" i="1"/>
  <c r="AF892" i="1"/>
  <c r="AF891" i="1"/>
  <c r="AF890" i="1"/>
  <c r="AF889" i="1"/>
  <c r="AF888" i="1"/>
  <c r="AF887" i="1"/>
  <c r="AF886" i="1"/>
  <c r="AF885" i="1"/>
  <c r="AF884" i="1"/>
  <c r="AE892" i="1"/>
  <c r="AE891" i="1"/>
  <c r="AE890" i="1"/>
  <c r="AE889" i="1"/>
  <c r="AE888" i="1"/>
  <c r="AE887" i="1"/>
  <c r="AE886" i="1"/>
  <c r="AE885" i="1"/>
  <c r="AE884" i="1"/>
  <c r="Y888" i="1"/>
  <c r="V885" i="1"/>
  <c r="W885" i="1"/>
  <c r="Y885" i="1"/>
  <c r="V886" i="1"/>
  <c r="W886" i="1"/>
  <c r="Y886" i="1"/>
  <c r="V887" i="1"/>
  <c r="W887" i="1"/>
  <c r="Y887" i="1"/>
  <c r="V888" i="1"/>
  <c r="W888" i="1"/>
  <c r="V889" i="1"/>
  <c r="W889" i="1"/>
  <c r="Y889" i="1"/>
  <c r="V890" i="1"/>
  <c r="W890" i="1"/>
  <c r="Y890" i="1"/>
  <c r="V891" i="1"/>
  <c r="W891" i="1"/>
  <c r="Y891" i="1"/>
  <c r="V892" i="1"/>
  <c r="W892" i="1"/>
  <c r="Y892" i="1"/>
  <c r="Y884" i="1"/>
  <c r="Y871" i="1"/>
  <c r="W884" i="1"/>
  <c r="V884" i="1"/>
  <c r="G885" i="1"/>
  <c r="G886" i="1"/>
  <c r="G887" i="1"/>
  <c r="G888" i="1"/>
  <c r="G889" i="1"/>
  <c r="G890" i="1"/>
  <c r="G891" i="1"/>
  <c r="G892" i="1"/>
  <c r="G884" i="1"/>
  <c r="AE882" i="1"/>
  <c r="AE883" i="1"/>
  <c r="AF883" i="1"/>
  <c r="AF882" i="1"/>
  <c r="AF881" i="1"/>
  <c r="AE881" i="1"/>
  <c r="AF880" i="1"/>
  <c r="AF879" i="1"/>
  <c r="AF878" i="1"/>
  <c r="AE880" i="1"/>
  <c r="AE879" i="1"/>
  <c r="AE878" i="1"/>
  <c r="AF877" i="1"/>
  <c r="AF876" i="1"/>
  <c r="AF875" i="1"/>
  <c r="AF874" i="1"/>
  <c r="AF873" i="1"/>
  <c r="AE877" i="1"/>
  <c r="AE876" i="1"/>
  <c r="AE875" i="1"/>
  <c r="AE874" i="1"/>
  <c r="AE873" i="1"/>
  <c r="V874" i="1"/>
  <c r="W874" i="1"/>
  <c r="V875" i="1"/>
  <c r="W875" i="1"/>
  <c r="V876" i="1"/>
  <c r="W876" i="1"/>
  <c r="V877" i="1"/>
  <c r="W877" i="1"/>
  <c r="V878" i="1"/>
  <c r="W878" i="1"/>
  <c r="V879" i="1"/>
  <c r="W879" i="1"/>
  <c r="V880" i="1"/>
  <c r="W880" i="1"/>
  <c r="V881" i="1"/>
  <c r="W881" i="1"/>
  <c r="V882" i="1"/>
  <c r="W882" i="1"/>
  <c r="V883" i="1"/>
  <c r="W883" i="1"/>
  <c r="G883" i="1"/>
  <c r="G882" i="1"/>
  <c r="G881" i="1"/>
  <c r="G878" i="1"/>
  <c r="G879" i="1"/>
  <c r="G880" i="1"/>
  <c r="G874" i="1"/>
  <c r="G875" i="1"/>
  <c r="G876" i="1"/>
  <c r="G877" i="1"/>
  <c r="G873" i="1"/>
  <c r="W873" i="1"/>
  <c r="V873" i="1"/>
  <c r="AH871" i="1"/>
  <c r="AH870" i="1"/>
  <c r="AH821" i="1"/>
  <c r="AF872" i="1"/>
  <c r="AE872" i="1"/>
  <c r="AF871" i="1"/>
  <c r="AE871" i="1"/>
  <c r="AF870" i="1"/>
  <c r="AE870" i="1"/>
  <c r="V871" i="1"/>
  <c r="W871" i="1"/>
  <c r="V872" i="1"/>
  <c r="W872" i="1"/>
  <c r="Y872" i="1"/>
  <c r="Y870" i="1"/>
  <c r="W870" i="1"/>
  <c r="V870" i="1"/>
  <c r="G871" i="1"/>
  <c r="G872" i="1"/>
  <c r="G870" i="1"/>
  <c r="AF869" i="1"/>
  <c r="AF868" i="1"/>
  <c r="AF867" i="1"/>
  <c r="AE869" i="1"/>
  <c r="AE868" i="1"/>
  <c r="AE867" i="1"/>
  <c r="V868" i="1"/>
  <c r="W868" i="1"/>
  <c r="Y868" i="1"/>
  <c r="V869" i="1"/>
  <c r="W869" i="1"/>
  <c r="Y869" i="1"/>
  <c r="Y867" i="1"/>
  <c r="Y825" i="1"/>
  <c r="W864" i="1"/>
  <c r="V864" i="1"/>
  <c r="V865" i="1"/>
  <c r="W865" i="1"/>
  <c r="V866" i="1"/>
  <c r="W866" i="1"/>
  <c r="V867" i="1"/>
  <c r="W867" i="1"/>
  <c r="G868" i="1"/>
  <c r="G869" i="1"/>
  <c r="G867" i="1"/>
  <c r="AF859" i="1"/>
  <c r="AF860" i="1"/>
  <c r="AF861" i="1"/>
  <c r="AF862" i="1"/>
  <c r="AF863" i="1"/>
  <c r="AF864" i="1"/>
  <c r="AF865" i="1"/>
  <c r="AF866" i="1"/>
  <c r="AF858" i="1"/>
  <c r="AE866" i="1"/>
  <c r="AE865" i="1"/>
  <c r="AE864" i="1"/>
  <c r="AE863" i="1"/>
  <c r="AE862" i="1"/>
  <c r="AE861" i="1"/>
  <c r="AE860" i="1"/>
  <c r="AE859" i="1"/>
  <c r="AE858" i="1"/>
  <c r="G866" i="1"/>
  <c r="G865" i="1"/>
  <c r="G864" i="1"/>
  <c r="V862" i="1"/>
  <c r="W862" i="1"/>
  <c r="V863" i="1"/>
  <c r="W863" i="1"/>
  <c r="W861" i="1"/>
  <c r="V861" i="1"/>
  <c r="V859" i="1"/>
  <c r="W859" i="1"/>
  <c r="V860" i="1"/>
  <c r="W860" i="1"/>
  <c r="W858" i="1"/>
  <c r="V858" i="1"/>
  <c r="G863" i="1"/>
  <c r="G862" i="1"/>
  <c r="G861" i="1"/>
  <c r="G859" i="1"/>
  <c r="G860" i="1"/>
  <c r="G858" i="1"/>
  <c r="AF857" i="1"/>
  <c r="AC851" i="1"/>
  <c r="AF851" i="1" s="1"/>
  <c r="AC852" i="1"/>
  <c r="AF852" i="1" s="1"/>
  <c r="AC853" i="1"/>
  <c r="AF853" i="1" s="1"/>
  <c r="AC854" i="1"/>
  <c r="AF854" i="1" s="1"/>
  <c r="AC855" i="1"/>
  <c r="AF855" i="1" s="1"/>
  <c r="AC856" i="1"/>
  <c r="AF856" i="1" s="1"/>
  <c r="AC850" i="1"/>
  <c r="AF850" i="1" s="1"/>
  <c r="AE857" i="1"/>
  <c r="AE856" i="1"/>
  <c r="AE855" i="1"/>
  <c r="AE854" i="1"/>
  <c r="AE853" i="1"/>
  <c r="AE852" i="1"/>
  <c r="AE851" i="1"/>
  <c r="AE850" i="1"/>
  <c r="V855" i="1"/>
  <c r="W855" i="1"/>
  <c r="V856" i="1"/>
  <c r="W856" i="1"/>
  <c r="V857" i="1"/>
  <c r="W857" i="1"/>
  <c r="W854" i="1"/>
  <c r="V854" i="1"/>
  <c r="G857" i="1"/>
  <c r="G856" i="1"/>
  <c r="G855" i="1"/>
  <c r="G854" i="1"/>
  <c r="V851" i="1"/>
  <c r="W851" i="1"/>
  <c r="V852" i="1"/>
  <c r="W852" i="1"/>
  <c r="V853" i="1"/>
  <c r="W853" i="1"/>
  <c r="V850" i="1"/>
  <c r="W850" i="1"/>
  <c r="G851" i="1"/>
  <c r="G852" i="1"/>
  <c r="G853" i="1"/>
  <c r="G850" i="1"/>
  <c r="AF849" i="1"/>
  <c r="AF848" i="1"/>
  <c r="AF847" i="1"/>
  <c r="AE849" i="1"/>
  <c r="AE848" i="1"/>
  <c r="AE847" i="1"/>
  <c r="V848" i="1"/>
  <c r="W848" i="1"/>
  <c r="V849" i="1"/>
  <c r="W849" i="1"/>
  <c r="W847" i="1"/>
  <c r="V847" i="1"/>
  <c r="G848" i="1"/>
  <c r="G849" i="1"/>
  <c r="G847" i="1"/>
  <c r="AF846" i="1"/>
  <c r="AF845" i="1"/>
  <c r="AF844" i="1"/>
  <c r="AF843" i="1"/>
  <c r="AF842" i="1"/>
  <c r="AF841" i="1"/>
  <c r="AF840" i="1"/>
  <c r="AE846" i="1"/>
  <c r="AE845" i="1"/>
  <c r="AE844" i="1"/>
  <c r="AE843" i="1"/>
  <c r="AE842" i="1"/>
  <c r="AE841" i="1"/>
  <c r="AE840" i="1"/>
  <c r="V841" i="1"/>
  <c r="W841" i="1"/>
  <c r="V842" i="1"/>
  <c r="W842" i="1"/>
  <c r="V843" i="1"/>
  <c r="W843" i="1"/>
  <c r="V844" i="1"/>
  <c r="W844" i="1"/>
  <c r="V845" i="1"/>
  <c r="W845" i="1"/>
  <c r="V846" i="1"/>
  <c r="W846" i="1"/>
  <c r="W840" i="1"/>
  <c r="V840" i="1"/>
  <c r="G841" i="1"/>
  <c r="G842" i="1"/>
  <c r="G843" i="1"/>
  <c r="G844" i="1"/>
  <c r="G845" i="1"/>
  <c r="G846" i="1"/>
  <c r="G840" i="1"/>
  <c r="AF839" i="1"/>
  <c r="AF838" i="1"/>
  <c r="AF837" i="1"/>
  <c r="AF836" i="1"/>
  <c r="AF835" i="1"/>
  <c r="AF834" i="1"/>
  <c r="AE839" i="1"/>
  <c r="AE838" i="1"/>
  <c r="AE837" i="1"/>
  <c r="AE836" i="1"/>
  <c r="AE835" i="1"/>
  <c r="AE834" i="1"/>
  <c r="V835" i="1"/>
  <c r="W835" i="1"/>
  <c r="V836" i="1"/>
  <c r="W836" i="1"/>
  <c r="V837" i="1"/>
  <c r="W837" i="1"/>
  <c r="V838" i="1"/>
  <c r="W838" i="1"/>
  <c r="V839" i="1"/>
  <c r="W839" i="1"/>
  <c r="W834" i="1"/>
  <c r="V834" i="1"/>
  <c r="G835" i="1"/>
  <c r="G836" i="1"/>
  <c r="G837" i="1"/>
  <c r="G838" i="1"/>
  <c r="G839" i="1"/>
  <c r="G834" i="1"/>
  <c r="AF833" i="1"/>
  <c r="AF832" i="1"/>
  <c r="AF831" i="1"/>
  <c r="AF830" i="1"/>
  <c r="AF829" i="1"/>
  <c r="AE833" i="1"/>
  <c r="AE832" i="1"/>
  <c r="AE831" i="1"/>
  <c r="AE830" i="1"/>
  <c r="AE829" i="1"/>
  <c r="V830" i="1"/>
  <c r="W830" i="1"/>
  <c r="V831" i="1"/>
  <c r="W831" i="1"/>
  <c r="V832" i="1"/>
  <c r="W832" i="1"/>
  <c r="V833" i="1"/>
  <c r="W833" i="1"/>
  <c r="W829" i="1"/>
  <c r="V829" i="1"/>
  <c r="G830" i="1"/>
  <c r="G831" i="1"/>
  <c r="G832" i="1"/>
  <c r="G833" i="1"/>
  <c r="G829" i="1"/>
  <c r="AF828" i="1"/>
  <c r="AF827" i="1"/>
  <c r="AF826" i="1"/>
  <c r="AE828" i="1"/>
  <c r="AE827" i="1"/>
  <c r="AE826" i="1"/>
  <c r="V827" i="1"/>
  <c r="W827" i="1"/>
  <c r="V828" i="1"/>
  <c r="W828" i="1"/>
  <c r="W826" i="1"/>
  <c r="V826" i="1"/>
  <c r="G827" i="1"/>
  <c r="G828" i="1"/>
  <c r="G826" i="1"/>
  <c r="AF825" i="1"/>
  <c r="AH825" i="1"/>
  <c r="AF824" i="1"/>
  <c r="AH824" i="1"/>
  <c r="AF823" i="1"/>
  <c r="AH823" i="1"/>
  <c r="AF822" i="1"/>
  <c r="AH822" i="1"/>
  <c r="AF821" i="1"/>
  <c r="AE825" i="1"/>
  <c r="AE824" i="1"/>
  <c r="AE823" i="1"/>
  <c r="AE822" i="1"/>
  <c r="AE821" i="1"/>
  <c r="V822" i="1"/>
  <c r="W822" i="1"/>
  <c r="Y822" i="1"/>
  <c r="V823" i="1"/>
  <c r="W823" i="1"/>
  <c r="Y823" i="1"/>
  <c r="V824" i="1"/>
  <c r="W824" i="1"/>
  <c r="Y824" i="1"/>
  <c r="V825" i="1"/>
  <c r="W825" i="1"/>
  <c r="Y821" i="1"/>
  <c r="Y799" i="1"/>
  <c r="W821" i="1"/>
  <c r="V821" i="1"/>
  <c r="G822" i="1"/>
  <c r="G823" i="1"/>
  <c r="G824" i="1"/>
  <c r="G825" i="1"/>
  <c r="G821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05" i="1"/>
  <c r="AH793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V806" i="1"/>
  <c r="W806" i="1"/>
  <c r="V807" i="1"/>
  <c r="W807" i="1"/>
  <c r="V808" i="1"/>
  <c r="W808" i="1"/>
  <c r="V809" i="1"/>
  <c r="W809" i="1"/>
  <c r="V810" i="1"/>
  <c r="W810" i="1"/>
  <c r="V811" i="1"/>
  <c r="W811" i="1"/>
  <c r="V812" i="1"/>
  <c r="W812" i="1"/>
  <c r="V813" i="1"/>
  <c r="W813" i="1"/>
  <c r="V814" i="1"/>
  <c r="W814" i="1"/>
  <c r="V815" i="1"/>
  <c r="W815" i="1"/>
  <c r="V816" i="1"/>
  <c r="W816" i="1"/>
  <c r="V817" i="1"/>
  <c r="W817" i="1"/>
  <c r="V818" i="1"/>
  <c r="W818" i="1"/>
  <c r="V819" i="1"/>
  <c r="W819" i="1"/>
  <c r="V820" i="1"/>
  <c r="W820" i="1"/>
  <c r="W805" i="1"/>
  <c r="V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05" i="1"/>
  <c r="AF804" i="1"/>
  <c r="AF803" i="1"/>
  <c r="AF802" i="1"/>
  <c r="AE804" i="1"/>
  <c r="AE803" i="1"/>
  <c r="AE802" i="1"/>
  <c r="W804" i="1"/>
  <c r="W803" i="1"/>
  <c r="W802" i="1"/>
  <c r="V804" i="1"/>
  <c r="V803" i="1"/>
  <c r="V802" i="1"/>
  <c r="G803" i="1"/>
  <c r="G804" i="1"/>
  <c r="G802" i="1"/>
  <c r="AF801" i="1"/>
  <c r="AF800" i="1"/>
  <c r="AE801" i="1"/>
  <c r="AE800" i="1"/>
  <c r="W801" i="1"/>
  <c r="W800" i="1"/>
  <c r="V801" i="1"/>
  <c r="V800" i="1"/>
  <c r="G801" i="1"/>
  <c r="G800" i="1"/>
  <c r="AF799" i="1"/>
  <c r="AH799" i="1"/>
  <c r="AF798" i="1"/>
  <c r="AH798" i="1"/>
  <c r="AF797" i="1"/>
  <c r="AH797" i="1"/>
  <c r="AF796" i="1"/>
  <c r="AH796" i="1"/>
  <c r="AF795" i="1"/>
  <c r="AH795" i="1"/>
  <c r="AF794" i="1"/>
  <c r="AH794" i="1"/>
  <c r="AF793" i="1"/>
  <c r="AF792" i="1"/>
  <c r="AH792" i="1"/>
  <c r="AF791" i="1"/>
  <c r="AH791" i="1"/>
  <c r="AE799" i="1"/>
  <c r="AE798" i="1"/>
  <c r="AE797" i="1"/>
  <c r="AE796" i="1"/>
  <c r="AE795" i="1"/>
  <c r="AE794" i="1"/>
  <c r="AE793" i="1"/>
  <c r="AE792" i="1"/>
  <c r="AE791" i="1"/>
  <c r="V792" i="1"/>
  <c r="W792" i="1"/>
  <c r="Y792" i="1"/>
  <c r="V793" i="1"/>
  <c r="W793" i="1"/>
  <c r="Y793" i="1"/>
  <c r="V794" i="1"/>
  <c r="W794" i="1"/>
  <c r="Y794" i="1"/>
  <c r="V795" i="1"/>
  <c r="W795" i="1"/>
  <c r="Y795" i="1"/>
  <c r="V796" i="1"/>
  <c r="W796" i="1"/>
  <c r="Y796" i="1"/>
  <c r="V797" i="1"/>
  <c r="W797" i="1"/>
  <c r="Y797" i="1"/>
  <c r="V798" i="1"/>
  <c r="W798" i="1"/>
  <c r="Y798" i="1"/>
  <c r="V799" i="1"/>
  <c r="W799" i="1"/>
  <c r="W791" i="1"/>
  <c r="Y791" i="1"/>
  <c r="V791" i="1"/>
  <c r="G792" i="1"/>
  <c r="G793" i="1"/>
  <c r="G794" i="1"/>
  <c r="G795" i="1"/>
  <c r="G796" i="1"/>
  <c r="G797" i="1"/>
  <c r="G798" i="1"/>
  <c r="G799" i="1"/>
  <c r="G791" i="1"/>
  <c r="AH786" i="1"/>
  <c r="AH787" i="1"/>
  <c r="AH788" i="1"/>
  <c r="AH789" i="1"/>
  <c r="AH790" i="1"/>
  <c r="AH785" i="1"/>
  <c r="AH767" i="1"/>
  <c r="AF790" i="1"/>
  <c r="AF789" i="1"/>
  <c r="AF788" i="1"/>
  <c r="AF787" i="1"/>
  <c r="AF786" i="1"/>
  <c r="AF785" i="1"/>
  <c r="AE790" i="1"/>
  <c r="AE789" i="1"/>
  <c r="AE788" i="1"/>
  <c r="AE787" i="1"/>
  <c r="AE786" i="1"/>
  <c r="AE785" i="1"/>
  <c r="V786" i="1"/>
  <c r="W786" i="1"/>
  <c r="Y786" i="1"/>
  <c r="V787" i="1"/>
  <c r="W787" i="1"/>
  <c r="Y787" i="1"/>
  <c r="V788" i="1"/>
  <c r="W788" i="1"/>
  <c r="Y788" i="1"/>
  <c r="V789" i="1"/>
  <c r="W789" i="1"/>
  <c r="Y789" i="1"/>
  <c r="V790" i="1"/>
  <c r="W790" i="1"/>
  <c r="Y790" i="1"/>
  <c r="Y785" i="1"/>
  <c r="Y767" i="1"/>
  <c r="W785" i="1"/>
  <c r="V785" i="1"/>
  <c r="G786" i="1"/>
  <c r="G787" i="1"/>
  <c r="G788" i="1"/>
  <c r="G789" i="1"/>
  <c r="G790" i="1"/>
  <c r="G785" i="1"/>
  <c r="AF776" i="1"/>
  <c r="AF777" i="1"/>
  <c r="AF778" i="1"/>
  <c r="AF779" i="1"/>
  <c r="AF780" i="1"/>
  <c r="AF781" i="1"/>
  <c r="AF782" i="1"/>
  <c r="AF783" i="1"/>
  <c r="AF784" i="1"/>
  <c r="AE784" i="1"/>
  <c r="AE783" i="1"/>
  <c r="AE782" i="1"/>
  <c r="AE781" i="1"/>
  <c r="AE780" i="1"/>
  <c r="AE779" i="1"/>
  <c r="AE778" i="1"/>
  <c r="AE777" i="1"/>
  <c r="AE776" i="1"/>
  <c r="V777" i="1"/>
  <c r="W777" i="1"/>
  <c r="V778" i="1"/>
  <c r="W778" i="1"/>
  <c r="V779" i="1"/>
  <c r="W779" i="1"/>
  <c r="V780" i="1"/>
  <c r="W780" i="1"/>
  <c r="V781" i="1"/>
  <c r="W781" i="1"/>
  <c r="V782" i="1"/>
  <c r="W782" i="1"/>
  <c r="V783" i="1"/>
  <c r="W783" i="1"/>
  <c r="V784" i="1"/>
  <c r="W784" i="1"/>
  <c r="W776" i="1"/>
  <c r="V776" i="1"/>
  <c r="G777" i="1"/>
  <c r="G778" i="1"/>
  <c r="G779" i="1"/>
  <c r="G780" i="1"/>
  <c r="G781" i="1"/>
  <c r="G782" i="1"/>
  <c r="G783" i="1"/>
  <c r="G784" i="1"/>
  <c r="G776" i="1"/>
  <c r="AF775" i="1"/>
  <c r="AE775" i="1"/>
  <c r="AF774" i="1"/>
  <c r="AE774" i="1"/>
  <c r="W775" i="1"/>
  <c r="V775" i="1"/>
  <c r="W774" i="1"/>
  <c r="V774" i="1"/>
  <c r="G775" i="1"/>
  <c r="G774" i="1"/>
  <c r="AF773" i="1"/>
  <c r="AF772" i="1"/>
  <c r="AF771" i="1"/>
  <c r="AF770" i="1"/>
  <c r="AF769" i="1"/>
  <c r="AF768" i="1"/>
  <c r="AE773" i="1"/>
  <c r="AE772" i="1"/>
  <c r="AE771" i="1"/>
  <c r="AE770" i="1"/>
  <c r="AE769" i="1"/>
  <c r="AE768" i="1"/>
  <c r="W773" i="1"/>
  <c r="W772" i="1"/>
  <c r="W771" i="1"/>
  <c r="W770" i="1"/>
  <c r="W769" i="1"/>
  <c r="W768" i="1"/>
  <c r="V768" i="1"/>
  <c r="V769" i="1"/>
  <c r="V770" i="1"/>
  <c r="V771" i="1"/>
  <c r="V772" i="1"/>
  <c r="V773" i="1"/>
  <c r="G769" i="1"/>
  <c r="G770" i="1"/>
  <c r="G771" i="1"/>
  <c r="G772" i="1"/>
  <c r="G773" i="1"/>
  <c r="G768" i="1"/>
  <c r="AH765" i="1"/>
  <c r="AH766" i="1"/>
  <c r="AH764" i="1"/>
  <c r="AH735" i="1"/>
  <c r="AF767" i="1"/>
  <c r="AF766" i="1"/>
  <c r="AF765" i="1"/>
  <c r="AF764" i="1"/>
  <c r="AE767" i="1"/>
  <c r="AE766" i="1"/>
  <c r="AE765" i="1"/>
  <c r="AE764" i="1"/>
  <c r="V765" i="1"/>
  <c r="W765" i="1"/>
  <c r="Y765" i="1"/>
  <c r="V766" i="1"/>
  <c r="W766" i="1"/>
  <c r="Y766" i="1"/>
  <c r="V767" i="1"/>
  <c r="W767" i="1"/>
  <c r="Y764" i="1"/>
  <c r="Y738" i="1"/>
  <c r="W764" i="1"/>
  <c r="V764" i="1"/>
  <c r="G765" i="1"/>
  <c r="G766" i="1"/>
  <c r="G767" i="1"/>
  <c r="G764" i="1"/>
  <c r="AE757" i="1"/>
  <c r="AF757" i="1"/>
  <c r="AE758" i="1"/>
  <c r="AF758" i="1"/>
  <c r="AE759" i="1"/>
  <c r="AF759" i="1"/>
  <c r="AE760" i="1"/>
  <c r="AF760" i="1"/>
  <c r="AE761" i="1"/>
  <c r="AF761" i="1"/>
  <c r="AE762" i="1"/>
  <c r="AF762" i="1"/>
  <c r="AE763" i="1"/>
  <c r="AF763" i="1"/>
  <c r="V758" i="1"/>
  <c r="W758" i="1"/>
  <c r="V759" i="1"/>
  <c r="W759" i="1"/>
  <c r="V760" i="1"/>
  <c r="W760" i="1"/>
  <c r="V761" i="1"/>
  <c r="W761" i="1"/>
  <c r="V762" i="1"/>
  <c r="W762" i="1"/>
  <c r="V763" i="1"/>
  <c r="W763" i="1"/>
  <c r="V757" i="1"/>
  <c r="W757" i="1"/>
  <c r="G758" i="1"/>
  <c r="G759" i="1"/>
  <c r="G760" i="1"/>
  <c r="G761" i="1"/>
  <c r="G762" i="1"/>
  <c r="G763" i="1"/>
  <c r="G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V740" i="1"/>
  <c r="W740" i="1"/>
  <c r="V741" i="1"/>
  <c r="W741" i="1"/>
  <c r="V742" i="1"/>
  <c r="W742" i="1"/>
  <c r="V743" i="1"/>
  <c r="W743" i="1"/>
  <c r="V744" i="1"/>
  <c r="W744" i="1"/>
  <c r="V745" i="1"/>
  <c r="W745" i="1"/>
  <c r="V746" i="1"/>
  <c r="W746" i="1"/>
  <c r="V747" i="1"/>
  <c r="W747" i="1"/>
  <c r="V748" i="1"/>
  <c r="W748" i="1"/>
  <c r="V749" i="1"/>
  <c r="W749" i="1"/>
  <c r="V750" i="1"/>
  <c r="W750" i="1"/>
  <c r="V751" i="1"/>
  <c r="W751" i="1"/>
  <c r="V752" i="1"/>
  <c r="W752" i="1"/>
  <c r="V753" i="1"/>
  <c r="W753" i="1"/>
  <c r="V754" i="1"/>
  <c r="W754" i="1"/>
  <c r="V755" i="1"/>
  <c r="W755" i="1"/>
  <c r="V756" i="1"/>
  <c r="W756" i="1"/>
  <c r="W739" i="1"/>
  <c r="V739" i="1"/>
  <c r="G749" i="1"/>
  <c r="G750" i="1"/>
  <c r="G751" i="1"/>
  <c r="G752" i="1"/>
  <c r="G753" i="1"/>
  <c r="G754" i="1"/>
  <c r="G755" i="1"/>
  <c r="G756" i="1"/>
  <c r="G748" i="1"/>
  <c r="G740" i="1"/>
  <c r="G741" i="1"/>
  <c r="G742" i="1"/>
  <c r="G743" i="1"/>
  <c r="G744" i="1"/>
  <c r="G745" i="1"/>
  <c r="G746" i="1"/>
  <c r="G747" i="1"/>
  <c r="G739" i="1"/>
  <c r="AH733" i="1"/>
  <c r="AH734" i="1"/>
  <c r="AH736" i="1"/>
  <c r="AH737" i="1"/>
  <c r="AH738" i="1"/>
  <c r="AH732" i="1"/>
  <c r="AH627" i="1"/>
  <c r="AF738" i="1"/>
  <c r="AF737" i="1"/>
  <c r="AF736" i="1"/>
  <c r="AF735" i="1"/>
  <c r="AF734" i="1"/>
  <c r="AF733" i="1"/>
  <c r="AF732" i="1"/>
  <c r="AE738" i="1"/>
  <c r="AE737" i="1"/>
  <c r="AE736" i="1"/>
  <c r="AE735" i="1"/>
  <c r="AE734" i="1"/>
  <c r="AE733" i="1"/>
  <c r="AE732" i="1"/>
  <c r="W732" i="1"/>
  <c r="V732" i="1"/>
  <c r="V733" i="1"/>
  <c r="W733" i="1"/>
  <c r="Y733" i="1"/>
  <c r="V734" i="1"/>
  <c r="W734" i="1"/>
  <c r="Y734" i="1"/>
  <c r="V735" i="1"/>
  <c r="W735" i="1"/>
  <c r="Y735" i="1"/>
  <c r="V736" i="1"/>
  <c r="W736" i="1"/>
  <c r="Y736" i="1"/>
  <c r="V737" i="1"/>
  <c r="W737" i="1"/>
  <c r="Y737" i="1"/>
  <c r="V738" i="1"/>
  <c r="W738" i="1"/>
  <c r="Y732" i="1"/>
  <c r="Y722" i="1"/>
  <c r="G733" i="1"/>
  <c r="G734" i="1"/>
  <c r="G735" i="1"/>
  <c r="G736" i="1"/>
  <c r="G737" i="1"/>
  <c r="G738" i="1"/>
  <c r="G732" i="1"/>
  <c r="AF731" i="1"/>
  <c r="AF730" i="1"/>
  <c r="AF729" i="1"/>
  <c r="AF728" i="1"/>
  <c r="AF727" i="1"/>
  <c r="AF726" i="1"/>
  <c r="AF725" i="1"/>
  <c r="AF724" i="1"/>
  <c r="AF723" i="1"/>
  <c r="AE731" i="1"/>
  <c r="AE730" i="1"/>
  <c r="AE729" i="1"/>
  <c r="AE728" i="1"/>
  <c r="AE727" i="1"/>
  <c r="AE726" i="1"/>
  <c r="AE725" i="1"/>
  <c r="AE724" i="1"/>
  <c r="AE723" i="1"/>
  <c r="V730" i="1"/>
  <c r="W730" i="1"/>
  <c r="V731" i="1"/>
  <c r="W731" i="1"/>
  <c r="W729" i="1"/>
  <c r="V729" i="1"/>
  <c r="V727" i="1"/>
  <c r="W727" i="1"/>
  <c r="V728" i="1"/>
  <c r="W728" i="1"/>
  <c r="W726" i="1"/>
  <c r="V726" i="1"/>
  <c r="V724" i="1"/>
  <c r="W724" i="1"/>
  <c r="V725" i="1"/>
  <c r="W725" i="1"/>
  <c r="W723" i="1"/>
  <c r="V723" i="1"/>
  <c r="G731" i="1"/>
  <c r="G730" i="1"/>
  <c r="G729" i="1"/>
  <c r="G728" i="1"/>
  <c r="G727" i="1"/>
  <c r="G726" i="1"/>
  <c r="G724" i="1"/>
  <c r="G725" i="1"/>
  <c r="G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V709" i="1"/>
  <c r="W709" i="1"/>
  <c r="Y709" i="1"/>
  <c r="V710" i="1"/>
  <c r="W710" i="1"/>
  <c r="Y710" i="1"/>
  <c r="V711" i="1"/>
  <c r="W711" i="1"/>
  <c r="Y711" i="1"/>
  <c r="V712" i="1"/>
  <c r="W712" i="1"/>
  <c r="Y712" i="1"/>
  <c r="V713" i="1"/>
  <c r="W713" i="1"/>
  <c r="Y713" i="1"/>
  <c r="V714" i="1"/>
  <c r="W714" i="1"/>
  <c r="Y714" i="1"/>
  <c r="V715" i="1"/>
  <c r="W715" i="1"/>
  <c r="Y715" i="1"/>
  <c r="V716" i="1"/>
  <c r="W716" i="1"/>
  <c r="Y716" i="1"/>
  <c r="V717" i="1"/>
  <c r="W717" i="1"/>
  <c r="Y717" i="1"/>
  <c r="V718" i="1"/>
  <c r="W718" i="1"/>
  <c r="Y718" i="1"/>
  <c r="V719" i="1"/>
  <c r="W719" i="1"/>
  <c r="Y719" i="1"/>
  <c r="V720" i="1"/>
  <c r="W720" i="1"/>
  <c r="Y720" i="1"/>
  <c r="V721" i="1"/>
  <c r="W721" i="1"/>
  <c r="Y721" i="1"/>
  <c r="V722" i="1"/>
  <c r="W722" i="1"/>
  <c r="G722" i="1"/>
  <c r="G721" i="1"/>
  <c r="G720" i="1"/>
  <c r="G719" i="1"/>
  <c r="G718" i="1"/>
  <c r="G717" i="1"/>
  <c r="G716" i="1"/>
  <c r="G715" i="1"/>
  <c r="G714" i="1"/>
  <c r="G713" i="1"/>
  <c r="Y708" i="1"/>
  <c r="W708" i="1"/>
  <c r="V708" i="1"/>
  <c r="G710" i="1"/>
  <c r="G711" i="1"/>
  <c r="G712" i="1"/>
  <c r="G709" i="1"/>
  <c r="G708" i="1"/>
  <c r="AF707" i="1"/>
  <c r="AF706" i="1"/>
  <c r="AF705" i="1"/>
  <c r="AF704" i="1"/>
  <c r="AF703" i="1"/>
  <c r="AF702" i="1"/>
  <c r="AF701" i="1"/>
  <c r="AF700" i="1"/>
  <c r="AF699" i="1"/>
  <c r="AF698" i="1"/>
  <c r="AF697" i="1"/>
  <c r="AE707" i="1"/>
  <c r="AE706" i="1"/>
  <c r="AE705" i="1"/>
  <c r="AE704" i="1"/>
  <c r="AE703" i="1"/>
  <c r="AE702" i="1"/>
  <c r="AE701" i="1"/>
  <c r="AE700" i="1"/>
  <c r="AE699" i="1"/>
  <c r="AE698" i="1"/>
  <c r="AE697" i="1"/>
  <c r="V698" i="1"/>
  <c r="W698" i="1"/>
  <c r="V699" i="1"/>
  <c r="W699" i="1"/>
  <c r="V700" i="1"/>
  <c r="W700" i="1"/>
  <c r="V701" i="1"/>
  <c r="W701" i="1"/>
  <c r="V702" i="1"/>
  <c r="W702" i="1"/>
  <c r="V703" i="1"/>
  <c r="W703" i="1"/>
  <c r="V704" i="1"/>
  <c r="W704" i="1"/>
  <c r="V705" i="1"/>
  <c r="W705" i="1"/>
  <c r="V706" i="1"/>
  <c r="W706" i="1"/>
  <c r="V707" i="1"/>
  <c r="W707" i="1"/>
  <c r="W697" i="1"/>
  <c r="V697" i="1"/>
  <c r="G698" i="1"/>
  <c r="G699" i="1"/>
  <c r="G700" i="1"/>
  <c r="G701" i="1"/>
  <c r="G702" i="1"/>
  <c r="G703" i="1"/>
  <c r="G704" i="1"/>
  <c r="G705" i="1"/>
  <c r="G706" i="1"/>
  <c r="G707" i="1"/>
  <c r="G697" i="1"/>
  <c r="AF696" i="1"/>
  <c r="AF695" i="1"/>
  <c r="AF694" i="1"/>
  <c r="AF693" i="1"/>
  <c r="AE696" i="1"/>
  <c r="AE695" i="1"/>
  <c r="AE694" i="1"/>
  <c r="AE693" i="1"/>
  <c r="V694" i="1"/>
  <c r="W694" i="1"/>
  <c r="V695" i="1"/>
  <c r="W695" i="1"/>
  <c r="V696" i="1"/>
  <c r="W696" i="1"/>
  <c r="W693" i="1"/>
  <c r="V693" i="1"/>
  <c r="G694" i="1"/>
  <c r="G695" i="1"/>
  <c r="G696" i="1"/>
  <c r="G693" i="1"/>
  <c r="AF692" i="1"/>
  <c r="AF691" i="1"/>
  <c r="AF690" i="1"/>
  <c r="AE692" i="1"/>
  <c r="AE691" i="1"/>
  <c r="AE690" i="1"/>
  <c r="V691" i="1"/>
  <c r="W691" i="1"/>
  <c r="V692" i="1"/>
  <c r="W692" i="1"/>
  <c r="W690" i="1"/>
  <c r="V690" i="1"/>
  <c r="G691" i="1"/>
  <c r="G692" i="1"/>
  <c r="G690" i="1"/>
  <c r="AE683" i="1"/>
  <c r="AF683" i="1"/>
  <c r="AE684" i="1"/>
  <c r="AF684" i="1"/>
  <c r="AE685" i="1"/>
  <c r="AF685" i="1"/>
  <c r="AE686" i="1"/>
  <c r="AF686" i="1"/>
  <c r="AE687" i="1"/>
  <c r="AF687" i="1"/>
  <c r="AE688" i="1"/>
  <c r="AF688" i="1"/>
  <c r="AE689" i="1"/>
  <c r="AF689" i="1"/>
  <c r="V689" i="1"/>
  <c r="W689" i="1"/>
  <c r="V684" i="1"/>
  <c r="W684" i="1"/>
  <c r="V685" i="1"/>
  <c r="W685" i="1"/>
  <c r="V686" i="1"/>
  <c r="W686" i="1"/>
  <c r="V687" i="1"/>
  <c r="W687" i="1"/>
  <c r="V688" i="1"/>
  <c r="W688" i="1"/>
  <c r="W683" i="1"/>
  <c r="V683" i="1"/>
  <c r="G684" i="1"/>
  <c r="G685" i="1"/>
  <c r="G686" i="1"/>
  <c r="G687" i="1"/>
  <c r="G688" i="1"/>
  <c r="G689" i="1"/>
  <c r="G683" i="1"/>
  <c r="AF682" i="1"/>
  <c r="AF681" i="1"/>
  <c r="AF680" i="1"/>
  <c r="AF679" i="1"/>
  <c r="AF678" i="1"/>
  <c r="AF677" i="1"/>
  <c r="AF676" i="1"/>
  <c r="AF675" i="1"/>
  <c r="AF674" i="1"/>
  <c r="AE682" i="1"/>
  <c r="AE681" i="1"/>
  <c r="AE680" i="1"/>
  <c r="AE679" i="1"/>
  <c r="AE678" i="1"/>
  <c r="AE677" i="1"/>
  <c r="AE676" i="1"/>
  <c r="AE675" i="1"/>
  <c r="AE674" i="1"/>
  <c r="V681" i="1"/>
  <c r="W681" i="1"/>
  <c r="V682" i="1"/>
  <c r="W682" i="1"/>
  <c r="W680" i="1"/>
  <c r="V680" i="1"/>
  <c r="V678" i="1"/>
  <c r="W678" i="1"/>
  <c r="V679" i="1"/>
  <c r="W679" i="1"/>
  <c r="W677" i="1"/>
  <c r="V677" i="1"/>
  <c r="V675" i="1"/>
  <c r="W675" i="1"/>
  <c r="V676" i="1"/>
  <c r="W676" i="1"/>
  <c r="W674" i="1"/>
  <c r="V674" i="1"/>
  <c r="G675" i="1"/>
  <c r="G676" i="1"/>
  <c r="G677" i="1"/>
  <c r="G678" i="1"/>
  <c r="G679" i="1"/>
  <c r="G680" i="1"/>
  <c r="G681" i="1"/>
  <c r="G682" i="1"/>
  <c r="G674" i="1"/>
  <c r="AF673" i="1"/>
  <c r="AE673" i="1"/>
  <c r="AF672" i="1"/>
  <c r="AE672" i="1"/>
  <c r="W673" i="1"/>
  <c r="W672" i="1"/>
  <c r="V673" i="1"/>
  <c r="V672" i="1"/>
  <c r="G673" i="1"/>
  <c r="G672" i="1"/>
  <c r="AF671" i="1"/>
  <c r="AF670" i="1"/>
  <c r="AF669" i="1"/>
  <c r="AF668" i="1"/>
  <c r="AF667" i="1"/>
  <c r="AF666" i="1"/>
  <c r="AE671" i="1"/>
  <c r="AE670" i="1"/>
  <c r="AE669" i="1"/>
  <c r="AE668" i="1"/>
  <c r="AE667" i="1"/>
  <c r="AE666" i="1"/>
  <c r="V667" i="1"/>
  <c r="W667" i="1"/>
  <c r="V668" i="1"/>
  <c r="W668" i="1"/>
  <c r="V669" i="1"/>
  <c r="W669" i="1"/>
  <c r="V670" i="1"/>
  <c r="W670" i="1"/>
  <c r="V671" i="1"/>
  <c r="W671" i="1"/>
  <c r="W666" i="1"/>
  <c r="V666" i="1"/>
  <c r="G671" i="1"/>
  <c r="G670" i="1"/>
  <c r="G669" i="1"/>
  <c r="G668" i="1"/>
  <c r="G667" i="1"/>
  <c r="G666" i="1"/>
  <c r="AF665" i="1"/>
  <c r="AF664" i="1"/>
  <c r="AF663" i="1"/>
  <c r="AF662" i="1"/>
  <c r="AF661" i="1"/>
  <c r="AF660" i="1"/>
  <c r="AF659" i="1"/>
  <c r="AF658" i="1"/>
  <c r="AF657" i="1"/>
  <c r="AE665" i="1"/>
  <c r="AE664" i="1"/>
  <c r="AE663" i="1"/>
  <c r="AE662" i="1"/>
  <c r="AE661" i="1"/>
  <c r="AE660" i="1"/>
  <c r="AE659" i="1"/>
  <c r="AE658" i="1"/>
  <c r="AE657" i="1"/>
  <c r="V664" i="1"/>
  <c r="W664" i="1"/>
  <c r="V665" i="1"/>
  <c r="W665" i="1"/>
  <c r="W663" i="1"/>
  <c r="V663" i="1"/>
  <c r="V661" i="1"/>
  <c r="W661" i="1"/>
  <c r="V662" i="1"/>
  <c r="W662" i="1"/>
  <c r="W660" i="1"/>
  <c r="V660" i="1"/>
  <c r="V658" i="1"/>
  <c r="W658" i="1"/>
  <c r="V659" i="1"/>
  <c r="W659" i="1"/>
  <c r="W657" i="1"/>
  <c r="V657" i="1"/>
  <c r="AF656" i="1"/>
  <c r="AF655" i="1"/>
  <c r="AF654" i="1"/>
  <c r="AF653" i="1"/>
  <c r="AF652" i="1"/>
  <c r="AF651" i="1"/>
  <c r="AE656" i="1"/>
  <c r="AE655" i="1"/>
  <c r="AE654" i="1"/>
  <c r="AE653" i="1"/>
  <c r="AE652" i="1"/>
  <c r="AE651" i="1"/>
  <c r="V655" i="1"/>
  <c r="W655" i="1"/>
  <c r="V656" i="1"/>
  <c r="W656" i="1"/>
  <c r="W654" i="1"/>
  <c r="V654" i="1"/>
  <c r="V652" i="1"/>
  <c r="W652" i="1"/>
  <c r="V653" i="1"/>
  <c r="W653" i="1"/>
  <c r="W651" i="1"/>
  <c r="V651" i="1"/>
  <c r="G665" i="1"/>
  <c r="G664" i="1"/>
  <c r="G663" i="1"/>
  <c r="G662" i="1"/>
  <c r="G661" i="1"/>
  <c r="G660" i="1"/>
  <c r="G659" i="1"/>
  <c r="G658" i="1"/>
  <c r="G657" i="1"/>
  <c r="G652" i="1"/>
  <c r="G653" i="1"/>
  <c r="G654" i="1"/>
  <c r="G655" i="1"/>
  <c r="G656" i="1"/>
  <c r="G651" i="1"/>
  <c r="AF650" i="1"/>
  <c r="AF649" i="1"/>
  <c r="AF648" i="1"/>
  <c r="AE650" i="1"/>
  <c r="AE649" i="1"/>
  <c r="AE648" i="1"/>
  <c r="V649" i="1"/>
  <c r="W649" i="1"/>
  <c r="V650" i="1"/>
  <c r="W650" i="1"/>
  <c r="W648" i="1"/>
  <c r="V648" i="1"/>
  <c r="G649" i="1"/>
  <c r="G650" i="1"/>
  <c r="G648" i="1"/>
  <c r="AF647" i="1"/>
  <c r="AF646" i="1"/>
  <c r="AF645" i="1"/>
  <c r="AF644" i="1"/>
  <c r="AF643" i="1"/>
  <c r="AF642" i="1"/>
  <c r="AF641" i="1"/>
  <c r="AE647" i="1"/>
  <c r="AE646" i="1"/>
  <c r="AE645" i="1"/>
  <c r="AE644" i="1"/>
  <c r="AE643" i="1"/>
  <c r="AE642" i="1"/>
  <c r="AE641" i="1"/>
  <c r="V647" i="1"/>
  <c r="W647" i="1"/>
  <c r="W646" i="1"/>
  <c r="V646" i="1"/>
  <c r="V645" i="1"/>
  <c r="W645" i="1"/>
  <c r="W644" i="1"/>
  <c r="V644" i="1"/>
  <c r="V642" i="1"/>
  <c r="W642" i="1"/>
  <c r="V643" i="1"/>
  <c r="W643" i="1"/>
  <c r="W641" i="1"/>
  <c r="V641" i="1"/>
  <c r="G642" i="1"/>
  <c r="G643" i="1"/>
  <c r="G644" i="1"/>
  <c r="G645" i="1"/>
  <c r="G646" i="1"/>
  <c r="G647" i="1"/>
  <c r="G641" i="1"/>
  <c r="AF640" i="1"/>
  <c r="AF639" i="1"/>
  <c r="AF638" i="1"/>
  <c r="AF637" i="1"/>
  <c r="AE640" i="1"/>
  <c r="AE639" i="1"/>
  <c r="AE638" i="1"/>
  <c r="AE637" i="1"/>
  <c r="V638" i="1"/>
  <c r="W638" i="1"/>
  <c r="V639" i="1"/>
  <c r="W639" i="1"/>
  <c r="V640" i="1"/>
  <c r="W640" i="1"/>
  <c r="W637" i="1"/>
  <c r="V637" i="1"/>
  <c r="G638" i="1"/>
  <c r="G639" i="1"/>
  <c r="G640" i="1"/>
  <c r="G637" i="1"/>
  <c r="AF636" i="1"/>
  <c r="AF635" i="1"/>
  <c r="AF634" i="1"/>
  <c r="AF633" i="1"/>
  <c r="AF632" i="1"/>
  <c r="AF631" i="1"/>
  <c r="AF630" i="1"/>
  <c r="AF629" i="1"/>
  <c r="AF628" i="1"/>
  <c r="AE636" i="1"/>
  <c r="AE635" i="1"/>
  <c r="AE634" i="1"/>
  <c r="AE633" i="1"/>
  <c r="AE632" i="1"/>
  <c r="AE631" i="1"/>
  <c r="AE630" i="1"/>
  <c r="AE629" i="1"/>
  <c r="AE628" i="1"/>
  <c r="V629" i="1"/>
  <c r="W629" i="1"/>
  <c r="V630" i="1"/>
  <c r="W630" i="1"/>
  <c r="V631" i="1"/>
  <c r="W631" i="1"/>
  <c r="V632" i="1"/>
  <c r="W632" i="1"/>
  <c r="V633" i="1"/>
  <c r="W633" i="1"/>
  <c r="V634" i="1"/>
  <c r="W634" i="1"/>
  <c r="V635" i="1"/>
  <c r="W635" i="1"/>
  <c r="V636" i="1"/>
  <c r="W636" i="1"/>
  <c r="W628" i="1"/>
  <c r="V628" i="1"/>
  <c r="G629" i="1"/>
  <c r="G630" i="1"/>
  <c r="G631" i="1"/>
  <c r="G632" i="1"/>
  <c r="G633" i="1"/>
  <c r="G634" i="1"/>
  <c r="G635" i="1"/>
  <c r="G636" i="1"/>
  <c r="G628" i="1"/>
  <c r="AF627" i="1"/>
  <c r="AF626" i="1"/>
  <c r="AH626" i="1"/>
  <c r="AE627" i="1"/>
  <c r="AE626" i="1"/>
  <c r="AF625" i="1"/>
  <c r="AH625" i="1"/>
  <c r="AE625" i="1"/>
  <c r="V626" i="1"/>
  <c r="W626" i="1"/>
  <c r="Y626" i="1"/>
  <c r="V627" i="1"/>
  <c r="W627" i="1"/>
  <c r="Y627" i="1"/>
  <c r="W625" i="1"/>
  <c r="Y625" i="1"/>
  <c r="V625" i="1"/>
  <c r="G626" i="1"/>
  <c r="G627" i="1"/>
  <c r="G625" i="1"/>
  <c r="AF624" i="1"/>
  <c r="AH624" i="1"/>
  <c r="AF623" i="1"/>
  <c r="AH623" i="1"/>
  <c r="AF622" i="1"/>
  <c r="AH622" i="1"/>
  <c r="AF621" i="1"/>
  <c r="AH621" i="1"/>
  <c r="AE624" i="1"/>
  <c r="AE623" i="1"/>
  <c r="AE622" i="1"/>
  <c r="AE621" i="1"/>
  <c r="AF620" i="1"/>
  <c r="AH620" i="1"/>
  <c r="AF619" i="1"/>
  <c r="AH619" i="1"/>
  <c r="AF618" i="1"/>
  <c r="AH618" i="1"/>
  <c r="AF617" i="1"/>
  <c r="AH617" i="1"/>
  <c r="AE620" i="1"/>
  <c r="AE619" i="1"/>
  <c r="AE618" i="1"/>
  <c r="AE617" i="1"/>
  <c r="AH614" i="1"/>
  <c r="AH615" i="1"/>
  <c r="AH616" i="1"/>
  <c r="AH613" i="1"/>
  <c r="AH589" i="1"/>
  <c r="AF616" i="1"/>
  <c r="AF615" i="1"/>
  <c r="AF614" i="1"/>
  <c r="AF613" i="1"/>
  <c r="AE616" i="1"/>
  <c r="AE615" i="1"/>
  <c r="AE614" i="1"/>
  <c r="AE613" i="1"/>
  <c r="Y614" i="1"/>
  <c r="Y615" i="1"/>
  <c r="Y616" i="1"/>
  <c r="Y617" i="1"/>
  <c r="Y618" i="1"/>
  <c r="Y619" i="1"/>
  <c r="Y620" i="1"/>
  <c r="Y621" i="1"/>
  <c r="Y622" i="1"/>
  <c r="Y623" i="1"/>
  <c r="Y624" i="1"/>
  <c r="Y613" i="1"/>
  <c r="Y580" i="1"/>
  <c r="V622" i="1"/>
  <c r="W622" i="1"/>
  <c r="V623" i="1"/>
  <c r="W623" i="1"/>
  <c r="V624" i="1"/>
  <c r="W624" i="1"/>
  <c r="W621" i="1"/>
  <c r="V621" i="1"/>
  <c r="V618" i="1"/>
  <c r="W618" i="1"/>
  <c r="V619" i="1"/>
  <c r="W619" i="1"/>
  <c r="V620" i="1"/>
  <c r="W620" i="1"/>
  <c r="V617" i="1"/>
  <c r="W617" i="1"/>
  <c r="V614" i="1"/>
  <c r="W614" i="1"/>
  <c r="V615" i="1"/>
  <c r="W615" i="1"/>
  <c r="V616" i="1"/>
  <c r="W616" i="1"/>
  <c r="W613" i="1"/>
  <c r="V613" i="1"/>
  <c r="G624" i="1"/>
  <c r="G623" i="1"/>
  <c r="G622" i="1"/>
  <c r="G621" i="1"/>
  <c r="G620" i="1"/>
  <c r="G619" i="1"/>
  <c r="G618" i="1"/>
  <c r="G617" i="1"/>
  <c r="G614" i="1"/>
  <c r="G615" i="1"/>
  <c r="G616" i="1"/>
  <c r="G613" i="1"/>
  <c r="AF612" i="1"/>
  <c r="AF611" i="1"/>
  <c r="AF610" i="1"/>
  <c r="AF609" i="1"/>
  <c r="AF608" i="1"/>
  <c r="AE612" i="1"/>
  <c r="AE611" i="1"/>
  <c r="AE610" i="1"/>
  <c r="AE609" i="1"/>
  <c r="AE608" i="1"/>
  <c r="V609" i="1"/>
  <c r="W609" i="1"/>
  <c r="V610" i="1"/>
  <c r="W610" i="1"/>
  <c r="V611" i="1"/>
  <c r="W611" i="1"/>
  <c r="V612" i="1"/>
  <c r="W612" i="1"/>
  <c r="W608" i="1"/>
  <c r="V608" i="1"/>
  <c r="G609" i="1"/>
  <c r="G610" i="1"/>
  <c r="G611" i="1"/>
  <c r="G612" i="1"/>
  <c r="G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G607" i="1"/>
  <c r="G606" i="1"/>
  <c r="G605" i="1"/>
  <c r="G604" i="1"/>
  <c r="G603" i="1"/>
  <c r="G602" i="1"/>
  <c r="G601" i="1"/>
  <c r="V607" i="1"/>
  <c r="W607" i="1"/>
  <c r="V602" i="1"/>
  <c r="W602" i="1"/>
  <c r="V603" i="1"/>
  <c r="W603" i="1"/>
  <c r="V604" i="1"/>
  <c r="W604" i="1"/>
  <c r="V605" i="1"/>
  <c r="W605" i="1"/>
  <c r="V606" i="1"/>
  <c r="W606" i="1"/>
  <c r="W601" i="1"/>
  <c r="V601" i="1"/>
  <c r="V595" i="1"/>
  <c r="W595" i="1"/>
  <c r="V596" i="1"/>
  <c r="W596" i="1"/>
  <c r="V597" i="1"/>
  <c r="W597" i="1"/>
  <c r="V598" i="1"/>
  <c r="W598" i="1"/>
  <c r="V599" i="1"/>
  <c r="W599" i="1"/>
  <c r="V600" i="1"/>
  <c r="W600" i="1"/>
  <c r="W594" i="1"/>
  <c r="V594" i="1"/>
  <c r="G595" i="1"/>
  <c r="G596" i="1"/>
  <c r="G597" i="1"/>
  <c r="G598" i="1"/>
  <c r="G599" i="1"/>
  <c r="G600" i="1"/>
  <c r="G594" i="1"/>
  <c r="AF593" i="1"/>
  <c r="AH593" i="1"/>
  <c r="AF592" i="1"/>
  <c r="AH592" i="1"/>
  <c r="AF591" i="1"/>
  <c r="AH591" i="1"/>
  <c r="AF590" i="1"/>
  <c r="AH590" i="1"/>
  <c r="AF589" i="1"/>
  <c r="AF588" i="1"/>
  <c r="AH588" i="1"/>
  <c r="AF587" i="1"/>
  <c r="AH587" i="1"/>
  <c r="AF586" i="1"/>
  <c r="AH586" i="1"/>
  <c r="AF585" i="1"/>
  <c r="AH585" i="1"/>
  <c r="AE593" i="1"/>
  <c r="AE592" i="1"/>
  <c r="AE591" i="1"/>
  <c r="AE590" i="1"/>
  <c r="AE589" i="1"/>
  <c r="AE588" i="1"/>
  <c r="AE587" i="1"/>
  <c r="AE586" i="1"/>
  <c r="AE585" i="1"/>
  <c r="V586" i="1"/>
  <c r="W586" i="1"/>
  <c r="V587" i="1"/>
  <c r="W587" i="1"/>
  <c r="V588" i="1"/>
  <c r="W588" i="1"/>
  <c r="V589" i="1"/>
  <c r="W589" i="1"/>
  <c r="V590" i="1"/>
  <c r="W590" i="1"/>
  <c r="V591" i="1"/>
  <c r="W591" i="1"/>
  <c r="V592" i="1"/>
  <c r="W592" i="1"/>
  <c r="V593" i="1"/>
  <c r="W593" i="1"/>
  <c r="W585" i="1"/>
  <c r="V585" i="1"/>
  <c r="G586" i="1"/>
  <c r="G587" i="1"/>
  <c r="G588" i="1"/>
  <c r="G589" i="1"/>
  <c r="G590" i="1"/>
  <c r="G591" i="1"/>
  <c r="G592" i="1"/>
  <c r="G593" i="1"/>
  <c r="G585" i="1"/>
  <c r="AF584" i="1"/>
  <c r="AH584" i="1"/>
  <c r="AE584" i="1"/>
  <c r="W584" i="1"/>
  <c r="Y584" i="1"/>
  <c r="V584" i="1"/>
  <c r="AF583" i="1"/>
  <c r="AH583" i="1"/>
  <c r="AE583" i="1"/>
  <c r="W583" i="1"/>
  <c r="Y583" i="1"/>
  <c r="V583" i="1"/>
  <c r="AF582" i="1"/>
  <c r="AH582" i="1"/>
  <c r="V582" i="1"/>
  <c r="AE582" i="1"/>
  <c r="W582" i="1"/>
  <c r="Y582" i="1"/>
  <c r="AF581" i="1"/>
  <c r="AH581" i="1"/>
  <c r="AE581" i="1"/>
  <c r="W581" i="1"/>
  <c r="Y581" i="1"/>
  <c r="V581" i="1"/>
  <c r="AF580" i="1"/>
  <c r="AH580" i="1"/>
  <c r="AE580" i="1"/>
  <c r="W580" i="1"/>
  <c r="V580" i="1"/>
  <c r="G581" i="1"/>
  <c r="G582" i="1"/>
  <c r="G583" i="1"/>
  <c r="G584" i="1"/>
  <c r="G580" i="1"/>
  <c r="AH572" i="1"/>
  <c r="AH573" i="1"/>
  <c r="AH574" i="1"/>
  <c r="AH575" i="1"/>
  <c r="AH576" i="1"/>
  <c r="AH577" i="1"/>
  <c r="AH578" i="1"/>
  <c r="AH579" i="1"/>
  <c r="AH571" i="1"/>
  <c r="AH567" i="1"/>
  <c r="AE570" i="1"/>
  <c r="AE579" i="1"/>
  <c r="AF579" i="1"/>
  <c r="AE571" i="1"/>
  <c r="AF571" i="1"/>
  <c r="AE572" i="1"/>
  <c r="AF572" i="1"/>
  <c r="AE573" i="1"/>
  <c r="AF573" i="1"/>
  <c r="AE574" i="1"/>
  <c r="AF574" i="1"/>
  <c r="AE575" i="1"/>
  <c r="AF575" i="1"/>
  <c r="AE576" i="1"/>
  <c r="AF576" i="1"/>
  <c r="AE577" i="1"/>
  <c r="AF577" i="1"/>
  <c r="AE578" i="1"/>
  <c r="AF578" i="1"/>
  <c r="V572" i="1"/>
  <c r="W572" i="1"/>
  <c r="Y572" i="1"/>
  <c r="V573" i="1"/>
  <c r="W573" i="1"/>
  <c r="Y573" i="1"/>
  <c r="V574" i="1"/>
  <c r="W574" i="1"/>
  <c r="Y574" i="1"/>
  <c r="V575" i="1"/>
  <c r="W575" i="1"/>
  <c r="Y575" i="1"/>
  <c r="V576" i="1"/>
  <c r="W576" i="1"/>
  <c r="Y576" i="1"/>
  <c r="V577" i="1"/>
  <c r="W577" i="1"/>
  <c r="Y577" i="1"/>
  <c r="V578" i="1"/>
  <c r="W578" i="1"/>
  <c r="Y578" i="1"/>
  <c r="V579" i="1"/>
  <c r="W579" i="1"/>
  <c r="Y579" i="1"/>
  <c r="W571" i="1"/>
  <c r="Y571" i="1"/>
  <c r="V571" i="1"/>
  <c r="G572" i="1"/>
  <c r="G573" i="1"/>
  <c r="G574" i="1"/>
  <c r="G575" i="1"/>
  <c r="G576" i="1"/>
  <c r="G577" i="1"/>
  <c r="G578" i="1"/>
  <c r="G579" i="1"/>
  <c r="G571" i="1"/>
  <c r="AF570" i="1"/>
  <c r="AF569" i="1"/>
  <c r="AE569" i="1"/>
  <c r="AF568" i="1"/>
  <c r="AE568" i="1"/>
  <c r="V569" i="1"/>
  <c r="W569" i="1"/>
  <c r="Y569" i="1"/>
  <c r="V570" i="1"/>
  <c r="W570" i="1"/>
  <c r="Y570" i="1"/>
  <c r="W568" i="1"/>
  <c r="Y568" i="1"/>
  <c r="V568" i="1"/>
  <c r="G569" i="1"/>
  <c r="G570" i="1"/>
  <c r="G568" i="1"/>
  <c r="AF567" i="1"/>
  <c r="AF566" i="1"/>
  <c r="AH566" i="1"/>
  <c r="AF565" i="1"/>
  <c r="AH565" i="1"/>
  <c r="AF564" i="1"/>
  <c r="AH564" i="1"/>
  <c r="AF563" i="1"/>
  <c r="AH563" i="1"/>
  <c r="AF562" i="1"/>
  <c r="AH562" i="1"/>
  <c r="AF561" i="1"/>
  <c r="AH561" i="1"/>
  <c r="AF560" i="1"/>
  <c r="AH560" i="1"/>
  <c r="AF559" i="1"/>
  <c r="AH559" i="1"/>
  <c r="AE567" i="1"/>
  <c r="AE566" i="1"/>
  <c r="AE565" i="1"/>
  <c r="AE564" i="1"/>
  <c r="AE563" i="1"/>
  <c r="AE562" i="1"/>
  <c r="AE561" i="1"/>
  <c r="AE560" i="1"/>
  <c r="AE559" i="1"/>
  <c r="V560" i="1"/>
  <c r="W560" i="1"/>
  <c r="Y560" i="1"/>
  <c r="V561" i="1"/>
  <c r="W561" i="1"/>
  <c r="Y561" i="1"/>
  <c r="V562" i="1"/>
  <c r="W562" i="1"/>
  <c r="Y562" i="1"/>
  <c r="V563" i="1"/>
  <c r="W563" i="1"/>
  <c r="Y563" i="1"/>
  <c r="V564" i="1"/>
  <c r="W564" i="1"/>
  <c r="Y564" i="1"/>
  <c r="V565" i="1"/>
  <c r="W565" i="1"/>
  <c r="Y565" i="1"/>
  <c r="V566" i="1"/>
  <c r="W566" i="1"/>
  <c r="Y566" i="1"/>
  <c r="V567" i="1"/>
  <c r="W567" i="1"/>
  <c r="Y567" i="1"/>
  <c r="W559" i="1"/>
  <c r="Y559" i="1"/>
  <c r="V559" i="1"/>
  <c r="G560" i="1"/>
  <c r="G561" i="1"/>
  <c r="G562" i="1"/>
  <c r="G563" i="1"/>
  <c r="G564" i="1"/>
  <c r="G565" i="1"/>
  <c r="G566" i="1"/>
  <c r="G567" i="1"/>
  <c r="G559" i="1"/>
  <c r="AE556" i="1"/>
  <c r="AF558" i="1"/>
  <c r="AH558" i="1"/>
  <c r="AF557" i="1"/>
  <c r="AH557" i="1"/>
  <c r="AF556" i="1"/>
  <c r="AH556" i="1"/>
  <c r="AF555" i="1"/>
  <c r="AH555" i="1"/>
  <c r="AF554" i="1"/>
  <c r="AH554" i="1"/>
  <c r="AF553" i="1"/>
  <c r="AH553" i="1"/>
  <c r="AF552" i="1"/>
  <c r="AH552" i="1"/>
  <c r="AF551" i="1"/>
  <c r="AH551" i="1"/>
  <c r="AF550" i="1"/>
  <c r="AH550" i="1"/>
  <c r="AF549" i="1"/>
  <c r="AH549" i="1"/>
  <c r="AF548" i="1"/>
  <c r="AH548" i="1"/>
  <c r="AF547" i="1"/>
  <c r="AH547" i="1"/>
  <c r="AE558" i="1"/>
  <c r="AE557" i="1"/>
  <c r="AE555" i="1"/>
  <c r="AE554" i="1"/>
  <c r="AE553" i="1"/>
  <c r="AE552" i="1"/>
  <c r="AE551" i="1"/>
  <c r="AE550" i="1"/>
  <c r="AE549" i="1"/>
  <c r="AE548" i="1"/>
  <c r="AE547" i="1"/>
  <c r="V548" i="1"/>
  <c r="W548" i="1"/>
  <c r="Y548" i="1"/>
  <c r="V549" i="1"/>
  <c r="W549" i="1"/>
  <c r="Y549" i="1"/>
  <c r="V550" i="1"/>
  <c r="W550" i="1"/>
  <c r="Y550" i="1"/>
  <c r="V551" i="1"/>
  <c r="W551" i="1"/>
  <c r="Y551" i="1"/>
  <c r="V552" i="1"/>
  <c r="W552" i="1"/>
  <c r="Y552" i="1"/>
  <c r="V553" i="1"/>
  <c r="W553" i="1"/>
  <c r="Y553" i="1"/>
  <c r="V554" i="1"/>
  <c r="W554" i="1"/>
  <c r="Y554" i="1"/>
  <c r="V555" i="1"/>
  <c r="W555" i="1"/>
  <c r="Y555" i="1"/>
  <c r="V556" i="1"/>
  <c r="W556" i="1"/>
  <c r="Y556" i="1"/>
  <c r="V557" i="1"/>
  <c r="W557" i="1"/>
  <c r="Y557" i="1"/>
  <c r="V558" i="1"/>
  <c r="W558" i="1"/>
  <c r="Y558" i="1"/>
  <c r="W547" i="1"/>
  <c r="Y547" i="1"/>
  <c r="V547" i="1"/>
  <c r="G548" i="1"/>
  <c r="G549" i="1"/>
  <c r="G550" i="1"/>
  <c r="G551" i="1"/>
  <c r="G552" i="1"/>
  <c r="G553" i="1"/>
  <c r="G554" i="1"/>
  <c r="G555" i="1"/>
  <c r="G556" i="1"/>
  <c r="G557" i="1"/>
  <c r="G558" i="1"/>
  <c r="G547" i="1"/>
  <c r="AF546" i="1"/>
  <c r="AH546" i="1"/>
  <c r="AE546" i="1"/>
  <c r="AF545" i="1"/>
  <c r="AH545" i="1"/>
  <c r="AE545" i="1"/>
  <c r="W546" i="1"/>
  <c r="Y546" i="1"/>
  <c r="W545" i="1"/>
  <c r="Y545" i="1"/>
  <c r="V546" i="1"/>
  <c r="V545" i="1"/>
  <c r="G546" i="1"/>
  <c r="G545" i="1"/>
  <c r="AH541" i="1"/>
  <c r="AH542" i="1"/>
  <c r="AH543" i="1"/>
  <c r="AH544" i="1"/>
  <c r="AH540" i="1"/>
  <c r="AH429" i="1"/>
  <c r="AF544" i="1"/>
  <c r="AF543" i="1"/>
  <c r="AF542" i="1"/>
  <c r="AE544" i="1"/>
  <c r="AE543" i="1"/>
  <c r="AE542" i="1"/>
  <c r="AF541" i="1"/>
  <c r="AE541" i="1"/>
  <c r="AF540" i="1"/>
  <c r="AE540" i="1"/>
  <c r="V544" i="1"/>
  <c r="W544" i="1"/>
  <c r="Y544" i="1"/>
  <c r="V541" i="1"/>
  <c r="W541" i="1"/>
  <c r="Y541" i="1"/>
  <c r="V542" i="1"/>
  <c r="W542" i="1"/>
  <c r="Y542" i="1"/>
  <c r="V543" i="1"/>
  <c r="W543" i="1"/>
  <c r="Y543" i="1"/>
  <c r="Y540" i="1"/>
  <c r="Y493" i="1"/>
  <c r="W540" i="1"/>
  <c r="V540" i="1"/>
  <c r="G541" i="1"/>
  <c r="G542" i="1"/>
  <c r="G543" i="1"/>
  <c r="G544" i="1"/>
  <c r="G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V537" i="1"/>
  <c r="W537" i="1"/>
  <c r="V538" i="1"/>
  <c r="W538" i="1"/>
  <c r="V539" i="1"/>
  <c r="W539" i="1"/>
  <c r="W536" i="1"/>
  <c r="V536" i="1"/>
  <c r="V533" i="1"/>
  <c r="W533" i="1"/>
  <c r="V534" i="1"/>
  <c r="W534" i="1"/>
  <c r="V535" i="1"/>
  <c r="W535" i="1"/>
  <c r="W532" i="1"/>
  <c r="V532" i="1"/>
  <c r="V529" i="1"/>
  <c r="W529" i="1"/>
  <c r="V530" i="1"/>
  <c r="W530" i="1"/>
  <c r="V531" i="1"/>
  <c r="W531" i="1"/>
  <c r="W528" i="1"/>
  <c r="V528" i="1"/>
  <c r="G539" i="1"/>
  <c r="G538" i="1"/>
  <c r="G537" i="1"/>
  <c r="G536" i="1"/>
  <c r="G535" i="1"/>
  <c r="G534" i="1"/>
  <c r="G533" i="1"/>
  <c r="G532" i="1"/>
  <c r="G529" i="1"/>
  <c r="G530" i="1"/>
  <c r="G531" i="1"/>
  <c r="G528" i="1"/>
  <c r="AF527" i="1"/>
  <c r="AF526" i="1"/>
  <c r="AF525" i="1"/>
  <c r="AE527" i="1"/>
  <c r="AE526" i="1"/>
  <c r="AE525" i="1"/>
  <c r="V526" i="1"/>
  <c r="W526" i="1"/>
  <c r="V527" i="1"/>
  <c r="W527" i="1"/>
  <c r="W525" i="1"/>
  <c r="V525" i="1"/>
  <c r="G526" i="1"/>
  <c r="G527" i="1"/>
  <c r="G525" i="1"/>
  <c r="AE520" i="1"/>
  <c r="AF520" i="1"/>
  <c r="AE521" i="1"/>
  <c r="AF521" i="1"/>
  <c r="AE522" i="1"/>
  <c r="AF522" i="1"/>
  <c r="AE523" i="1"/>
  <c r="AF523" i="1"/>
  <c r="AE524" i="1"/>
  <c r="AF524" i="1"/>
  <c r="AF519" i="1"/>
  <c r="AF518" i="1"/>
  <c r="AF517" i="1"/>
  <c r="AF516" i="1"/>
  <c r="AE519" i="1"/>
  <c r="AE518" i="1"/>
  <c r="AE517" i="1"/>
  <c r="AE516" i="1"/>
  <c r="V517" i="1"/>
  <c r="W517" i="1"/>
  <c r="V518" i="1"/>
  <c r="W518" i="1"/>
  <c r="V519" i="1"/>
  <c r="W519" i="1"/>
  <c r="V520" i="1"/>
  <c r="W520" i="1"/>
  <c r="V521" i="1"/>
  <c r="W521" i="1"/>
  <c r="V522" i="1"/>
  <c r="W522" i="1"/>
  <c r="V523" i="1"/>
  <c r="W523" i="1"/>
  <c r="V524" i="1"/>
  <c r="W524" i="1"/>
  <c r="W516" i="1"/>
  <c r="V516" i="1"/>
  <c r="G517" i="1"/>
  <c r="G518" i="1"/>
  <c r="G519" i="1"/>
  <c r="G520" i="1"/>
  <c r="G521" i="1"/>
  <c r="G522" i="1"/>
  <c r="G523" i="1"/>
  <c r="G524" i="1"/>
  <c r="G516" i="1"/>
  <c r="AF515" i="1"/>
  <c r="AF514" i="1"/>
  <c r="AF513" i="1"/>
  <c r="AF512" i="1"/>
  <c r="AE515" i="1"/>
  <c r="AE514" i="1"/>
  <c r="AE513" i="1"/>
  <c r="AE512" i="1"/>
  <c r="V513" i="1"/>
  <c r="W513" i="1"/>
  <c r="V514" i="1"/>
  <c r="W514" i="1"/>
  <c r="V515" i="1"/>
  <c r="W515" i="1"/>
  <c r="W512" i="1"/>
  <c r="V512" i="1"/>
  <c r="G513" i="1"/>
  <c r="G514" i="1"/>
  <c r="G515" i="1"/>
  <c r="G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V507" i="1"/>
  <c r="W507" i="1"/>
  <c r="V508" i="1"/>
  <c r="W508" i="1"/>
  <c r="V509" i="1"/>
  <c r="W509" i="1"/>
  <c r="V510" i="1"/>
  <c r="W510" i="1"/>
  <c r="V511" i="1"/>
  <c r="W511" i="1"/>
  <c r="W506" i="1"/>
  <c r="V506" i="1"/>
  <c r="V501" i="1"/>
  <c r="W501" i="1"/>
  <c r="V502" i="1"/>
  <c r="W502" i="1"/>
  <c r="V503" i="1"/>
  <c r="W503" i="1"/>
  <c r="V504" i="1"/>
  <c r="W504" i="1"/>
  <c r="V505" i="1"/>
  <c r="W505" i="1"/>
  <c r="W500" i="1"/>
  <c r="V500" i="1"/>
  <c r="G501" i="1"/>
  <c r="G502" i="1"/>
  <c r="G503" i="1"/>
  <c r="G504" i="1"/>
  <c r="G505" i="1"/>
  <c r="G506" i="1"/>
  <c r="G507" i="1"/>
  <c r="G508" i="1"/>
  <c r="G509" i="1"/>
  <c r="G510" i="1"/>
  <c r="G511" i="1"/>
  <c r="G500" i="1"/>
  <c r="AF499" i="1"/>
  <c r="AE499" i="1"/>
  <c r="AF498" i="1"/>
  <c r="AE498" i="1"/>
  <c r="AF497" i="1"/>
  <c r="AE497" i="1"/>
  <c r="AF496" i="1"/>
  <c r="AE496" i="1"/>
  <c r="V497" i="1"/>
  <c r="W497" i="1"/>
  <c r="V498" i="1"/>
  <c r="W498" i="1"/>
  <c r="V499" i="1"/>
  <c r="W499" i="1"/>
  <c r="W496" i="1"/>
  <c r="V496" i="1"/>
  <c r="G497" i="1"/>
  <c r="G498" i="1"/>
  <c r="G499" i="1"/>
  <c r="G496" i="1"/>
  <c r="AE484" i="1"/>
  <c r="AF484" i="1"/>
  <c r="AE485" i="1"/>
  <c r="AF485" i="1"/>
  <c r="AE486" i="1"/>
  <c r="AF486" i="1"/>
  <c r="AE487" i="1"/>
  <c r="AF487" i="1"/>
  <c r="AE488" i="1"/>
  <c r="AF488" i="1"/>
  <c r="AE489" i="1"/>
  <c r="AF489" i="1"/>
  <c r="AE490" i="1"/>
  <c r="AF490" i="1"/>
  <c r="AE491" i="1"/>
  <c r="AF491" i="1"/>
  <c r="AE492" i="1"/>
  <c r="AF492" i="1"/>
  <c r="AE493" i="1"/>
  <c r="AF493" i="1"/>
  <c r="AE494" i="1"/>
  <c r="AF494" i="1"/>
  <c r="AE495" i="1"/>
  <c r="AF495" i="1"/>
  <c r="V491" i="1"/>
  <c r="W491" i="1"/>
  <c r="Y491" i="1"/>
  <c r="V492" i="1"/>
  <c r="W492" i="1"/>
  <c r="Y492" i="1"/>
  <c r="V493" i="1"/>
  <c r="W493" i="1"/>
  <c r="V494" i="1"/>
  <c r="W494" i="1"/>
  <c r="Y494" i="1"/>
  <c r="V495" i="1"/>
  <c r="W495" i="1"/>
  <c r="Y495" i="1"/>
  <c r="W490" i="1"/>
  <c r="Y490" i="1"/>
  <c r="V490" i="1"/>
  <c r="V485" i="1"/>
  <c r="W485" i="1"/>
  <c r="Y485" i="1"/>
  <c r="V486" i="1"/>
  <c r="W486" i="1"/>
  <c r="Y486" i="1"/>
  <c r="V487" i="1"/>
  <c r="W487" i="1"/>
  <c r="Y487" i="1"/>
  <c r="V488" i="1"/>
  <c r="W488" i="1"/>
  <c r="Y488" i="1"/>
  <c r="V489" i="1"/>
  <c r="W489" i="1"/>
  <c r="Y489" i="1"/>
  <c r="Y484" i="1"/>
  <c r="Y389" i="1"/>
  <c r="W484" i="1"/>
  <c r="V484" i="1"/>
  <c r="G495" i="1"/>
  <c r="G488" i="1"/>
  <c r="G489" i="1"/>
  <c r="G490" i="1"/>
  <c r="G491" i="1"/>
  <c r="G492" i="1"/>
  <c r="G493" i="1"/>
  <c r="G494" i="1"/>
  <c r="G485" i="1"/>
  <c r="G486" i="1"/>
  <c r="G487" i="1"/>
  <c r="G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V480" i="1"/>
  <c r="W480" i="1"/>
  <c r="V481" i="1"/>
  <c r="W481" i="1"/>
  <c r="V482" i="1"/>
  <c r="W482" i="1"/>
  <c r="V483" i="1"/>
  <c r="W483" i="1"/>
  <c r="W479" i="1"/>
  <c r="V479" i="1"/>
  <c r="V475" i="1"/>
  <c r="W475" i="1"/>
  <c r="V476" i="1"/>
  <c r="W476" i="1"/>
  <c r="V477" i="1"/>
  <c r="W477" i="1"/>
  <c r="V478" i="1"/>
  <c r="W478" i="1"/>
  <c r="W474" i="1"/>
  <c r="V474" i="1"/>
  <c r="V470" i="1"/>
  <c r="W470" i="1"/>
  <c r="V471" i="1"/>
  <c r="W471" i="1"/>
  <c r="V472" i="1"/>
  <c r="W472" i="1"/>
  <c r="V473" i="1"/>
  <c r="W473" i="1"/>
  <c r="W469" i="1"/>
  <c r="V469" i="1"/>
  <c r="G483" i="1"/>
  <c r="G482" i="1"/>
  <c r="G481" i="1"/>
  <c r="G480" i="1"/>
  <c r="G479" i="1"/>
  <c r="G478" i="1"/>
  <c r="G477" i="1"/>
  <c r="G476" i="1"/>
  <c r="G475" i="1"/>
  <c r="G474" i="1"/>
  <c r="G470" i="1"/>
  <c r="G471" i="1"/>
  <c r="G472" i="1"/>
  <c r="G473" i="1"/>
  <c r="G469" i="1"/>
  <c r="AF468" i="1"/>
  <c r="AF467" i="1"/>
  <c r="AF466" i="1"/>
  <c r="AF465" i="1"/>
  <c r="AF464" i="1"/>
  <c r="AE468" i="1"/>
  <c r="AE467" i="1"/>
  <c r="AE466" i="1"/>
  <c r="AE465" i="1"/>
  <c r="AE464" i="1"/>
  <c r="V465" i="1"/>
  <c r="W465" i="1"/>
  <c r="V466" i="1"/>
  <c r="W466" i="1"/>
  <c r="V467" i="1"/>
  <c r="W467" i="1"/>
  <c r="V468" i="1"/>
  <c r="W468" i="1"/>
  <c r="W464" i="1"/>
  <c r="V464" i="1"/>
  <c r="G465" i="1"/>
  <c r="G466" i="1"/>
  <c r="G467" i="1"/>
  <c r="G468" i="1"/>
  <c r="G464" i="1"/>
  <c r="AE462" i="1"/>
  <c r="AF462" i="1"/>
  <c r="AE463" i="1"/>
  <c r="AF463" i="1"/>
  <c r="AF461" i="1"/>
  <c r="AE461" i="1"/>
  <c r="V462" i="1"/>
  <c r="W462" i="1"/>
  <c r="V463" i="1"/>
  <c r="W463" i="1"/>
  <c r="W461" i="1"/>
  <c r="V461" i="1"/>
  <c r="G462" i="1"/>
  <c r="G463" i="1"/>
  <c r="G461" i="1"/>
  <c r="AF460" i="1"/>
  <c r="AF459" i="1"/>
  <c r="AF458" i="1"/>
  <c r="AF457" i="1"/>
  <c r="AF456" i="1"/>
  <c r="AF455" i="1"/>
  <c r="AF454" i="1"/>
  <c r="AF453" i="1"/>
  <c r="AE460" i="1"/>
  <c r="AE459" i="1"/>
  <c r="AE458" i="1"/>
  <c r="AE457" i="1"/>
  <c r="AE456" i="1"/>
  <c r="AE455" i="1"/>
  <c r="AE454" i="1"/>
  <c r="AE453" i="1"/>
  <c r="V454" i="1"/>
  <c r="W454" i="1"/>
  <c r="V455" i="1"/>
  <c r="W455" i="1"/>
  <c r="V456" i="1"/>
  <c r="W456" i="1"/>
  <c r="V457" i="1"/>
  <c r="W457" i="1"/>
  <c r="V458" i="1"/>
  <c r="W458" i="1"/>
  <c r="V459" i="1"/>
  <c r="W459" i="1"/>
  <c r="V460" i="1"/>
  <c r="W460" i="1"/>
  <c r="W453" i="1"/>
  <c r="V453" i="1"/>
  <c r="G454" i="1"/>
  <c r="G455" i="1"/>
  <c r="G456" i="1"/>
  <c r="G457" i="1"/>
  <c r="G458" i="1"/>
  <c r="G459" i="1"/>
  <c r="G460" i="1"/>
  <c r="G453" i="1"/>
  <c r="AF452" i="1"/>
  <c r="AF451" i="1"/>
  <c r="AF450" i="1"/>
  <c r="AF449" i="1"/>
  <c r="AF448" i="1"/>
  <c r="AF447" i="1"/>
  <c r="AE452" i="1"/>
  <c r="AE451" i="1"/>
  <c r="AE450" i="1"/>
  <c r="AE449" i="1"/>
  <c r="AE448" i="1"/>
  <c r="AE447" i="1"/>
  <c r="V448" i="1"/>
  <c r="W448" i="1"/>
  <c r="V449" i="1"/>
  <c r="W449" i="1"/>
  <c r="V450" i="1"/>
  <c r="W450" i="1"/>
  <c r="V451" i="1"/>
  <c r="W451" i="1"/>
  <c r="V452" i="1"/>
  <c r="W452" i="1"/>
  <c r="W447" i="1"/>
  <c r="V447" i="1"/>
  <c r="G448" i="1"/>
  <c r="G449" i="1"/>
  <c r="G450" i="1"/>
  <c r="G451" i="1"/>
  <c r="G452" i="1"/>
  <c r="G447" i="1"/>
  <c r="AF446" i="1"/>
  <c r="AF445" i="1"/>
  <c r="AF444" i="1"/>
  <c r="AF443" i="1"/>
  <c r="AF442" i="1"/>
  <c r="AF441" i="1"/>
  <c r="AF440" i="1"/>
  <c r="AF439" i="1"/>
  <c r="AE446" i="1"/>
  <c r="AE445" i="1"/>
  <c r="AE444" i="1"/>
  <c r="AE443" i="1"/>
  <c r="AE442" i="1"/>
  <c r="AE441" i="1"/>
  <c r="AE440" i="1"/>
  <c r="AE439" i="1"/>
  <c r="V440" i="1"/>
  <c r="W440" i="1"/>
  <c r="V441" i="1"/>
  <c r="W441" i="1"/>
  <c r="V442" i="1"/>
  <c r="W442" i="1"/>
  <c r="V443" i="1"/>
  <c r="W443" i="1"/>
  <c r="V444" i="1"/>
  <c r="W444" i="1"/>
  <c r="V445" i="1"/>
  <c r="W445" i="1"/>
  <c r="V446" i="1"/>
  <c r="W446" i="1"/>
  <c r="W439" i="1"/>
  <c r="V439" i="1"/>
  <c r="G445" i="1"/>
  <c r="G446" i="1"/>
  <c r="G444" i="1"/>
  <c r="G443" i="1"/>
  <c r="G440" i="1"/>
  <c r="G441" i="1"/>
  <c r="G442" i="1"/>
  <c r="G439" i="1"/>
  <c r="V433" i="1"/>
  <c r="W433" i="1"/>
  <c r="V434" i="1"/>
  <c r="W434" i="1"/>
  <c r="V435" i="1"/>
  <c r="W435" i="1"/>
  <c r="V436" i="1"/>
  <c r="W436" i="1"/>
  <c r="V437" i="1"/>
  <c r="W437" i="1"/>
  <c r="V438" i="1"/>
  <c r="W438" i="1"/>
  <c r="AF435" i="1"/>
  <c r="AF434" i="1"/>
  <c r="AF433" i="1"/>
  <c r="AE435" i="1"/>
  <c r="AE434" i="1"/>
  <c r="AE433" i="1"/>
  <c r="G438" i="1"/>
  <c r="G437" i="1"/>
  <c r="G436" i="1"/>
  <c r="AE436" i="1"/>
  <c r="AF438" i="1"/>
  <c r="AF437" i="1"/>
  <c r="AF436" i="1"/>
  <c r="AE438" i="1"/>
  <c r="AE437" i="1"/>
  <c r="G434" i="1"/>
  <c r="G435" i="1"/>
  <c r="G433" i="1"/>
  <c r="AH427" i="1"/>
  <c r="AH428" i="1"/>
  <c r="AH430" i="1"/>
  <c r="AH431" i="1"/>
  <c r="AH432" i="1"/>
  <c r="AH426" i="1"/>
  <c r="AF432" i="1"/>
  <c r="AF431" i="1"/>
  <c r="AF430" i="1"/>
  <c r="AF429" i="1"/>
  <c r="AF428" i="1"/>
  <c r="AF427" i="1"/>
  <c r="AF426" i="1"/>
  <c r="AE432" i="1"/>
  <c r="AE431" i="1"/>
  <c r="AE430" i="1"/>
  <c r="AE429" i="1"/>
  <c r="AE428" i="1"/>
  <c r="AE427" i="1"/>
  <c r="AE426" i="1"/>
  <c r="V427" i="1"/>
  <c r="W427" i="1"/>
  <c r="Y427" i="1"/>
  <c r="V428" i="1"/>
  <c r="W428" i="1"/>
  <c r="Y428" i="1"/>
  <c r="V429" i="1"/>
  <c r="W429" i="1"/>
  <c r="Y429" i="1"/>
  <c r="V430" i="1"/>
  <c r="W430" i="1"/>
  <c r="Y430" i="1"/>
  <c r="V431" i="1"/>
  <c r="W431" i="1"/>
  <c r="Y431" i="1"/>
  <c r="V432" i="1"/>
  <c r="W432" i="1"/>
  <c r="Y432" i="1"/>
  <c r="Y426" i="1"/>
  <c r="W426" i="1"/>
  <c r="V426" i="1"/>
  <c r="G427" i="1"/>
  <c r="G428" i="1"/>
  <c r="G429" i="1"/>
  <c r="G430" i="1"/>
  <c r="G431" i="1"/>
  <c r="G432" i="1"/>
  <c r="G426" i="1"/>
  <c r="AF425" i="1"/>
  <c r="AF424" i="1"/>
  <c r="AE425" i="1"/>
  <c r="AE424" i="1"/>
  <c r="W425" i="1"/>
  <c r="W424" i="1"/>
  <c r="V425" i="1"/>
  <c r="V424" i="1"/>
  <c r="G425" i="1"/>
  <c r="G424" i="1"/>
  <c r="AF423" i="1"/>
  <c r="AF422" i="1"/>
  <c r="AF421" i="1"/>
  <c r="AF420" i="1"/>
  <c r="AF419" i="1"/>
  <c r="AF418" i="1"/>
  <c r="AF417" i="1"/>
  <c r="AE423" i="1"/>
  <c r="AE422" i="1"/>
  <c r="AE421" i="1"/>
  <c r="AE420" i="1"/>
  <c r="AE419" i="1"/>
  <c r="AE418" i="1"/>
  <c r="AE417" i="1"/>
  <c r="V418" i="1"/>
  <c r="W418" i="1"/>
  <c r="V419" i="1"/>
  <c r="W419" i="1"/>
  <c r="V420" i="1"/>
  <c r="W420" i="1"/>
  <c r="V421" i="1"/>
  <c r="W421" i="1"/>
  <c r="V422" i="1"/>
  <c r="W422" i="1"/>
  <c r="V423" i="1"/>
  <c r="W423" i="1"/>
  <c r="W417" i="1"/>
  <c r="V417" i="1"/>
  <c r="G422" i="1"/>
  <c r="G423" i="1"/>
  <c r="G421" i="1"/>
  <c r="G420" i="1"/>
  <c r="G419" i="1"/>
  <c r="G418" i="1"/>
  <c r="G417" i="1"/>
  <c r="AF416" i="1"/>
  <c r="AE416" i="1"/>
  <c r="W416" i="1"/>
  <c r="V416" i="1"/>
  <c r="G416" i="1"/>
  <c r="AF415" i="1"/>
  <c r="AF414" i="1"/>
  <c r="AF413" i="1"/>
  <c r="AF412" i="1"/>
  <c r="AF411" i="1"/>
  <c r="AE415" i="1"/>
  <c r="AE414" i="1"/>
  <c r="AE413" i="1"/>
  <c r="AE412" i="1"/>
  <c r="AE411" i="1"/>
  <c r="V412" i="1"/>
  <c r="W412" i="1"/>
  <c r="V413" i="1"/>
  <c r="W413" i="1"/>
  <c r="V414" i="1"/>
  <c r="W414" i="1"/>
  <c r="V415" i="1"/>
  <c r="W415" i="1"/>
  <c r="G412" i="1"/>
  <c r="G413" i="1"/>
  <c r="G414" i="1"/>
  <c r="G415" i="1"/>
  <c r="AF410" i="1"/>
  <c r="AF409" i="1"/>
  <c r="AF408" i="1"/>
  <c r="AF407" i="1"/>
  <c r="AF406" i="1"/>
  <c r="AE410" i="1"/>
  <c r="AE409" i="1"/>
  <c r="AE408" i="1"/>
  <c r="AE407" i="1"/>
  <c r="AE406" i="1"/>
  <c r="V406" i="1"/>
  <c r="W406" i="1"/>
  <c r="V407" i="1"/>
  <c r="W407" i="1"/>
  <c r="V408" i="1"/>
  <c r="W408" i="1"/>
  <c r="V409" i="1"/>
  <c r="W409" i="1"/>
  <c r="G406" i="1"/>
  <c r="G407" i="1"/>
  <c r="G408" i="1"/>
  <c r="G409" i="1"/>
  <c r="AF405" i="1"/>
  <c r="AF404" i="1"/>
  <c r="AF403" i="1"/>
  <c r="AF402" i="1"/>
  <c r="AF401" i="1"/>
  <c r="AE405" i="1"/>
  <c r="AE404" i="1"/>
  <c r="AE403" i="1"/>
  <c r="AE402" i="1"/>
  <c r="AE401" i="1"/>
  <c r="V401" i="1"/>
  <c r="W401" i="1"/>
  <c r="V402" i="1"/>
  <c r="W402" i="1"/>
  <c r="V403" i="1"/>
  <c r="W403" i="1"/>
  <c r="V404" i="1"/>
  <c r="W404" i="1"/>
  <c r="G401" i="1"/>
  <c r="G402" i="1"/>
  <c r="G403" i="1"/>
  <c r="G404" i="1"/>
  <c r="AF400" i="1"/>
  <c r="AF399" i="1"/>
  <c r="AF398" i="1"/>
  <c r="AF397" i="1"/>
  <c r="AE400" i="1"/>
  <c r="AE399" i="1"/>
  <c r="AE398" i="1"/>
  <c r="AE397" i="1"/>
  <c r="V397" i="1"/>
  <c r="W397" i="1"/>
  <c r="V398" i="1"/>
  <c r="W398" i="1"/>
  <c r="V399" i="1"/>
  <c r="W399" i="1"/>
  <c r="V400" i="1"/>
  <c r="W400" i="1"/>
  <c r="G399" i="1"/>
  <c r="G397" i="1"/>
  <c r="G398" i="1"/>
  <c r="G400" i="1"/>
  <c r="AF396" i="1"/>
  <c r="AE396" i="1"/>
  <c r="V405" i="1"/>
  <c r="W405" i="1"/>
  <c r="V410" i="1"/>
  <c r="W410" i="1"/>
  <c r="V411" i="1"/>
  <c r="W411" i="1"/>
  <c r="W396" i="1"/>
  <c r="V396" i="1"/>
  <c r="G405" i="1"/>
  <c r="G410" i="1"/>
  <c r="G411" i="1"/>
  <c r="G396" i="1"/>
  <c r="AF395" i="1"/>
  <c r="AH395" i="1"/>
  <c r="AF394" i="1"/>
  <c r="AH394" i="1"/>
  <c r="AF393" i="1"/>
  <c r="AH393" i="1"/>
  <c r="AE395" i="1"/>
  <c r="AE394" i="1"/>
  <c r="AE393" i="1"/>
  <c r="V394" i="1"/>
  <c r="W394" i="1"/>
  <c r="Y394" i="1"/>
  <c r="V395" i="1"/>
  <c r="W395" i="1"/>
  <c r="Y395" i="1"/>
  <c r="W393" i="1"/>
  <c r="Y393" i="1"/>
  <c r="V393" i="1"/>
  <c r="AF392" i="1"/>
  <c r="AH392" i="1"/>
  <c r="AF391" i="1"/>
  <c r="AH391" i="1"/>
  <c r="AF390" i="1"/>
  <c r="AH390" i="1"/>
  <c r="AE392" i="1"/>
  <c r="AE391" i="1"/>
  <c r="AE390" i="1"/>
  <c r="V391" i="1"/>
  <c r="W391" i="1"/>
  <c r="Y391" i="1"/>
  <c r="V392" i="1"/>
  <c r="W392" i="1"/>
  <c r="Y392" i="1"/>
  <c r="W390" i="1"/>
  <c r="Y390" i="1"/>
  <c r="V390" i="1"/>
  <c r="AH387" i="1"/>
  <c r="AH388" i="1"/>
  <c r="AH389" i="1"/>
  <c r="AF389" i="1"/>
  <c r="AF388" i="1"/>
  <c r="AF387" i="1"/>
  <c r="AE389" i="1"/>
  <c r="AE388" i="1"/>
  <c r="AE387" i="1"/>
  <c r="V388" i="1"/>
  <c r="W388" i="1"/>
  <c r="Y388" i="1"/>
  <c r="V389" i="1"/>
  <c r="W389" i="1"/>
  <c r="Y387" i="1"/>
  <c r="W387" i="1"/>
  <c r="V387" i="1"/>
  <c r="AH385" i="1"/>
  <c r="AH386" i="1"/>
  <c r="AH384" i="1"/>
  <c r="AF386" i="1"/>
  <c r="AF385" i="1"/>
  <c r="AF384" i="1"/>
  <c r="AE386" i="1"/>
  <c r="AE385" i="1"/>
  <c r="AE384" i="1"/>
  <c r="V385" i="1"/>
  <c r="W385" i="1"/>
  <c r="Y385" i="1"/>
  <c r="V386" i="1"/>
  <c r="W386" i="1"/>
  <c r="Y386" i="1"/>
  <c r="Y384" i="1"/>
  <c r="W384" i="1"/>
  <c r="V384" i="1"/>
  <c r="G385" i="1"/>
  <c r="G386" i="1"/>
  <c r="G387" i="1"/>
  <c r="G388" i="1"/>
  <c r="G389" i="1"/>
  <c r="G390" i="1"/>
  <c r="G391" i="1"/>
  <c r="G392" i="1"/>
  <c r="G393" i="1"/>
  <c r="G394" i="1"/>
  <c r="G395" i="1"/>
  <c r="G384" i="1"/>
  <c r="AF383" i="1"/>
  <c r="AF382" i="1"/>
  <c r="AF381" i="1"/>
  <c r="AF380" i="1"/>
  <c r="AE383" i="1"/>
  <c r="AE382" i="1"/>
  <c r="AE381" i="1"/>
  <c r="AE380" i="1"/>
  <c r="V381" i="1"/>
  <c r="W381" i="1"/>
  <c r="V382" i="1"/>
  <c r="W382" i="1"/>
  <c r="V383" i="1"/>
  <c r="W383" i="1"/>
  <c r="W380" i="1"/>
  <c r="V380" i="1"/>
  <c r="G381" i="1"/>
  <c r="G382" i="1"/>
  <c r="G383" i="1"/>
  <c r="G380" i="1"/>
  <c r="AH379" i="1"/>
  <c r="AF379" i="1"/>
  <c r="AE379" i="1"/>
  <c r="W379" i="1"/>
  <c r="Y379" i="1"/>
  <c r="V379" i="1"/>
  <c r="AF378" i="1"/>
  <c r="AH378" i="1"/>
  <c r="AE378" i="1"/>
  <c r="W378" i="1"/>
  <c r="Y378" i="1"/>
  <c r="V378" i="1"/>
  <c r="G378" i="1"/>
  <c r="G379" i="1"/>
  <c r="AH373" i="1"/>
  <c r="AH374" i="1"/>
  <c r="AH375" i="1"/>
  <c r="AH376" i="1"/>
  <c r="AH377" i="1"/>
  <c r="AH372" i="1"/>
  <c r="AE372" i="1"/>
  <c r="AE373" i="1"/>
  <c r="AE374" i="1"/>
  <c r="AE375" i="1"/>
  <c r="AE376" i="1"/>
  <c r="AE377" i="1"/>
  <c r="AF377" i="1"/>
  <c r="AF376" i="1"/>
  <c r="AF375" i="1"/>
  <c r="AF374" i="1"/>
  <c r="AF373" i="1"/>
  <c r="AF372" i="1"/>
  <c r="V373" i="1"/>
  <c r="W373" i="1"/>
  <c r="Y373" i="1"/>
  <c r="V374" i="1"/>
  <c r="W374" i="1"/>
  <c r="Y374" i="1"/>
  <c r="V375" i="1"/>
  <c r="W375" i="1"/>
  <c r="Y375" i="1"/>
  <c r="V376" i="1"/>
  <c r="W376" i="1"/>
  <c r="Y376" i="1"/>
  <c r="V377" i="1"/>
  <c r="W377" i="1"/>
  <c r="Y377" i="1"/>
  <c r="Y372" i="1"/>
  <c r="W372" i="1"/>
  <c r="V372" i="1"/>
  <c r="G373" i="1"/>
  <c r="G374" i="1"/>
  <c r="G375" i="1"/>
  <c r="G376" i="1"/>
  <c r="G377" i="1"/>
  <c r="G372" i="1"/>
  <c r="AE371" i="1"/>
  <c r="AF371" i="1"/>
  <c r="AF370" i="1"/>
  <c r="AF369" i="1"/>
  <c r="AF368" i="1"/>
  <c r="AF367" i="1"/>
  <c r="AF366" i="1"/>
  <c r="AF365" i="1"/>
  <c r="AF364" i="1"/>
  <c r="AF363" i="1"/>
  <c r="AF362" i="1"/>
  <c r="AE362" i="1"/>
  <c r="AE370" i="1"/>
  <c r="AE369" i="1"/>
  <c r="AE368" i="1"/>
  <c r="AE367" i="1"/>
  <c r="AE366" i="1"/>
  <c r="AE365" i="1"/>
  <c r="AE364" i="1"/>
  <c r="AE363" i="1"/>
  <c r="V363" i="1"/>
  <c r="W363" i="1"/>
  <c r="V364" i="1"/>
  <c r="W364" i="1"/>
  <c r="V365" i="1"/>
  <c r="W365" i="1"/>
  <c r="V366" i="1"/>
  <c r="W366" i="1"/>
  <c r="V367" i="1"/>
  <c r="W367" i="1"/>
  <c r="V368" i="1"/>
  <c r="W368" i="1"/>
  <c r="V369" i="1"/>
  <c r="W369" i="1"/>
  <c r="V370" i="1"/>
  <c r="W370" i="1"/>
  <c r="V371" i="1"/>
  <c r="W371" i="1"/>
  <c r="W362" i="1"/>
  <c r="V362" i="1"/>
  <c r="G363" i="1"/>
  <c r="G364" i="1"/>
  <c r="G365" i="1"/>
  <c r="G366" i="1"/>
  <c r="G367" i="1"/>
  <c r="G368" i="1"/>
  <c r="G369" i="1"/>
  <c r="G370" i="1"/>
  <c r="G371" i="1"/>
  <c r="G362" i="1"/>
  <c r="AE353" i="1"/>
  <c r="AF353" i="1"/>
  <c r="AE354" i="1"/>
  <c r="AF354" i="1"/>
  <c r="AE355" i="1"/>
  <c r="AF355" i="1"/>
  <c r="AE356" i="1"/>
  <c r="AF356" i="1"/>
  <c r="AE357" i="1"/>
  <c r="AF357" i="1"/>
  <c r="AE358" i="1"/>
  <c r="AF358" i="1"/>
  <c r="AE359" i="1"/>
  <c r="AF359" i="1"/>
  <c r="AE360" i="1"/>
  <c r="AF360" i="1"/>
  <c r="AE361" i="1"/>
  <c r="AF361" i="1"/>
  <c r="V354" i="1"/>
  <c r="W354" i="1"/>
  <c r="V355" i="1"/>
  <c r="W355" i="1"/>
  <c r="V356" i="1"/>
  <c r="W356" i="1"/>
  <c r="V357" i="1"/>
  <c r="W357" i="1"/>
  <c r="V358" i="1"/>
  <c r="W358" i="1"/>
  <c r="V359" i="1"/>
  <c r="W359" i="1"/>
  <c r="V360" i="1"/>
  <c r="W360" i="1"/>
  <c r="V361" i="1"/>
  <c r="W361" i="1"/>
  <c r="W353" i="1"/>
  <c r="V353" i="1"/>
  <c r="G354" i="1"/>
  <c r="G355" i="1"/>
  <c r="G356" i="1"/>
  <c r="G357" i="1"/>
  <c r="G358" i="1"/>
  <c r="G359" i="1"/>
  <c r="G360" i="1"/>
  <c r="G361" i="1"/>
  <c r="G353" i="1"/>
  <c r="AH351" i="1"/>
  <c r="AH352" i="1"/>
  <c r="AH350" i="1"/>
  <c r="AF352" i="1"/>
  <c r="AF351" i="1"/>
  <c r="AE352" i="1"/>
  <c r="AE351" i="1"/>
  <c r="AF350" i="1"/>
  <c r="AE350" i="1"/>
  <c r="V351" i="1"/>
  <c r="W351" i="1"/>
  <c r="Y351" i="1"/>
  <c r="V352" i="1"/>
  <c r="W352" i="1"/>
  <c r="Y352" i="1"/>
  <c r="Y350" i="1"/>
  <c r="W350" i="1"/>
  <c r="V350" i="1"/>
  <c r="G351" i="1"/>
  <c r="G352" i="1"/>
  <c r="G350" i="1"/>
  <c r="AF349" i="1"/>
  <c r="AF348" i="1"/>
  <c r="AF347" i="1"/>
  <c r="AF346" i="1"/>
  <c r="AF345" i="1"/>
  <c r="AF344" i="1"/>
  <c r="AF343" i="1"/>
  <c r="AF342" i="1"/>
  <c r="AE349" i="1"/>
  <c r="AE348" i="1"/>
  <c r="AE347" i="1"/>
  <c r="AE346" i="1"/>
  <c r="AE345" i="1"/>
  <c r="AE344" i="1"/>
  <c r="AE343" i="1"/>
  <c r="AE342" i="1"/>
  <c r="V343" i="1"/>
  <c r="W343" i="1"/>
  <c r="V344" i="1"/>
  <c r="W344" i="1"/>
  <c r="V345" i="1"/>
  <c r="W345" i="1"/>
  <c r="V346" i="1"/>
  <c r="W346" i="1"/>
  <c r="V347" i="1"/>
  <c r="W347" i="1"/>
  <c r="V348" i="1"/>
  <c r="W348" i="1"/>
  <c r="V349" i="1"/>
  <c r="W349" i="1"/>
  <c r="W342" i="1"/>
  <c r="V342" i="1"/>
  <c r="G343" i="1"/>
  <c r="G344" i="1"/>
  <c r="G345" i="1"/>
  <c r="G346" i="1"/>
  <c r="G347" i="1"/>
  <c r="G348" i="1"/>
  <c r="G349" i="1"/>
  <c r="G342" i="1"/>
  <c r="AF341" i="1"/>
  <c r="AF340" i="1"/>
  <c r="AF339" i="1"/>
  <c r="AE341" i="1"/>
  <c r="AE340" i="1"/>
  <c r="AE339" i="1"/>
  <c r="V340" i="1"/>
  <c r="W340" i="1"/>
  <c r="V341" i="1"/>
  <c r="W341" i="1"/>
  <c r="W339" i="1"/>
  <c r="V339" i="1"/>
  <c r="G340" i="1"/>
  <c r="G341" i="1"/>
  <c r="G339" i="1"/>
  <c r="AF338" i="1"/>
  <c r="AF337" i="1"/>
  <c r="AF336" i="1"/>
  <c r="AF335" i="1"/>
  <c r="AF334" i="1"/>
  <c r="AF333" i="1"/>
  <c r="AF332" i="1"/>
  <c r="AF331" i="1"/>
  <c r="AF330" i="1"/>
  <c r="AE338" i="1"/>
  <c r="AE337" i="1"/>
  <c r="AE336" i="1"/>
  <c r="AE335" i="1"/>
  <c r="AE334" i="1"/>
  <c r="AE333" i="1"/>
  <c r="AE332" i="1"/>
  <c r="AE331" i="1"/>
  <c r="AE330" i="1"/>
  <c r="V331" i="1"/>
  <c r="W331" i="1"/>
  <c r="V332" i="1"/>
  <c r="W332" i="1"/>
  <c r="V333" i="1"/>
  <c r="W333" i="1"/>
  <c r="V334" i="1"/>
  <c r="W334" i="1"/>
  <c r="V335" i="1"/>
  <c r="W335" i="1"/>
  <c r="V336" i="1"/>
  <c r="W336" i="1"/>
  <c r="V337" i="1"/>
  <c r="W337" i="1"/>
  <c r="V338" i="1"/>
  <c r="W338" i="1"/>
  <c r="W330" i="1"/>
  <c r="V330" i="1"/>
  <c r="G331" i="1"/>
  <c r="G332" i="1"/>
  <c r="G333" i="1"/>
  <c r="G334" i="1"/>
  <c r="G335" i="1"/>
  <c r="G336" i="1"/>
  <c r="G337" i="1"/>
  <c r="G338" i="1"/>
  <c r="G330" i="1"/>
  <c r="AF329" i="1"/>
  <c r="AF328" i="1"/>
  <c r="AF327" i="1"/>
  <c r="AF326" i="1"/>
  <c r="AF325" i="1"/>
  <c r="AF324" i="1"/>
  <c r="AF323" i="1"/>
  <c r="AF322" i="1"/>
  <c r="AF321" i="1"/>
  <c r="AE329" i="1"/>
  <c r="AE328" i="1"/>
  <c r="AE327" i="1"/>
  <c r="AE326" i="1"/>
  <c r="AE325" i="1"/>
  <c r="AE324" i="1"/>
  <c r="AE323" i="1"/>
  <c r="AE322" i="1"/>
  <c r="AE321" i="1"/>
  <c r="V322" i="1"/>
  <c r="W322" i="1"/>
  <c r="V323" i="1"/>
  <c r="W323" i="1"/>
  <c r="V324" i="1"/>
  <c r="W324" i="1"/>
  <c r="V325" i="1"/>
  <c r="W325" i="1"/>
  <c r="V326" i="1"/>
  <c r="W326" i="1"/>
  <c r="V327" i="1"/>
  <c r="W327" i="1"/>
  <c r="V328" i="1"/>
  <c r="W328" i="1"/>
  <c r="V329" i="1"/>
  <c r="W329" i="1"/>
  <c r="W321" i="1"/>
  <c r="V321" i="1"/>
  <c r="G322" i="1"/>
  <c r="G323" i="1"/>
  <c r="G324" i="1"/>
  <c r="G325" i="1"/>
  <c r="G326" i="1"/>
  <c r="G327" i="1"/>
  <c r="G328" i="1"/>
  <c r="G329" i="1"/>
  <c r="G321" i="1"/>
  <c r="AF320" i="1"/>
  <c r="AF319" i="1"/>
  <c r="AF318" i="1"/>
  <c r="AF317" i="1"/>
  <c r="AF316" i="1"/>
  <c r="AF315" i="1"/>
  <c r="AE320" i="1"/>
  <c r="AE319" i="1"/>
  <c r="AE318" i="1"/>
  <c r="AE317" i="1"/>
  <c r="AE316" i="1"/>
  <c r="AE315" i="1"/>
  <c r="V319" i="1"/>
  <c r="W319" i="1"/>
  <c r="V320" i="1"/>
  <c r="W320" i="1"/>
  <c r="W318" i="1"/>
  <c r="V318" i="1"/>
  <c r="V316" i="1"/>
  <c r="W316" i="1"/>
  <c r="V317" i="1"/>
  <c r="W317" i="1"/>
  <c r="W315" i="1"/>
  <c r="V315" i="1"/>
  <c r="G320" i="1"/>
  <c r="G319" i="1"/>
  <c r="G318" i="1"/>
  <c r="G316" i="1"/>
  <c r="G317" i="1"/>
  <c r="G315" i="1"/>
  <c r="AF314" i="1"/>
  <c r="AE314" i="1"/>
  <c r="W314" i="1"/>
  <c r="V314" i="1"/>
  <c r="G314" i="1"/>
  <c r="AF313" i="1"/>
  <c r="AH313" i="1"/>
  <c r="AF312" i="1"/>
  <c r="AH312" i="1"/>
  <c r="AF311" i="1"/>
  <c r="AH311" i="1"/>
  <c r="AF310" i="1"/>
  <c r="AH310" i="1"/>
  <c r="AE313" i="1"/>
  <c r="AE312" i="1"/>
  <c r="AE311" i="1"/>
  <c r="AE310" i="1"/>
  <c r="G311" i="1"/>
  <c r="V311" i="1"/>
  <c r="W311" i="1"/>
  <c r="Y311" i="1"/>
  <c r="G312" i="1"/>
  <c r="V312" i="1"/>
  <c r="W312" i="1"/>
  <c r="Y312" i="1"/>
  <c r="G313" i="1"/>
  <c r="V313" i="1"/>
  <c r="W313" i="1"/>
  <c r="Y313" i="1"/>
  <c r="W310" i="1"/>
  <c r="Y310" i="1"/>
  <c r="V310" i="1"/>
  <c r="G310" i="1"/>
  <c r="AH301" i="1"/>
  <c r="AH302" i="1"/>
  <c r="AH303" i="1"/>
  <c r="AH304" i="1"/>
  <c r="AH305" i="1"/>
  <c r="AH306" i="1"/>
  <c r="AH307" i="1"/>
  <c r="AH308" i="1"/>
  <c r="AH309" i="1"/>
  <c r="AH300" i="1"/>
  <c r="AH237" i="1"/>
  <c r="AF309" i="1"/>
  <c r="AF308" i="1"/>
  <c r="AF307" i="1"/>
  <c r="AF306" i="1"/>
  <c r="AF305" i="1"/>
  <c r="AF304" i="1"/>
  <c r="AF303" i="1"/>
  <c r="AF302" i="1"/>
  <c r="AF301" i="1"/>
  <c r="AF300" i="1"/>
  <c r="AE309" i="1"/>
  <c r="AE308" i="1"/>
  <c r="AE307" i="1"/>
  <c r="AE306" i="1"/>
  <c r="AE305" i="1"/>
  <c r="AE304" i="1"/>
  <c r="AE303" i="1"/>
  <c r="AE302" i="1"/>
  <c r="AE301" i="1"/>
  <c r="AE300" i="1"/>
  <c r="V301" i="1"/>
  <c r="W301" i="1"/>
  <c r="Y301" i="1"/>
  <c r="V302" i="1"/>
  <c r="W302" i="1"/>
  <c r="Y302" i="1"/>
  <c r="V303" i="1"/>
  <c r="W303" i="1"/>
  <c r="Y303" i="1"/>
  <c r="V304" i="1"/>
  <c r="W304" i="1"/>
  <c r="Y304" i="1"/>
  <c r="V305" i="1"/>
  <c r="W305" i="1"/>
  <c r="Y305" i="1"/>
  <c r="V306" i="1"/>
  <c r="W306" i="1"/>
  <c r="Y306" i="1"/>
  <c r="V307" i="1"/>
  <c r="W307" i="1"/>
  <c r="Y307" i="1"/>
  <c r="V308" i="1"/>
  <c r="W308" i="1"/>
  <c r="Y308" i="1"/>
  <c r="V309" i="1"/>
  <c r="W309" i="1"/>
  <c r="Y309" i="1"/>
  <c r="G301" i="1"/>
  <c r="G302" i="1"/>
  <c r="G303" i="1"/>
  <c r="G304" i="1"/>
  <c r="G305" i="1"/>
  <c r="G306" i="1"/>
  <c r="G307" i="1"/>
  <c r="G308" i="1"/>
  <c r="G309" i="1"/>
  <c r="Y300" i="1"/>
  <c r="Y235" i="1"/>
  <c r="W300" i="1"/>
  <c r="V300" i="1"/>
  <c r="G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V284" i="1"/>
  <c r="W284" i="1"/>
  <c r="V285" i="1"/>
  <c r="W285" i="1"/>
  <c r="V286" i="1"/>
  <c r="W286" i="1"/>
  <c r="V287" i="1"/>
  <c r="W287" i="1"/>
  <c r="V288" i="1"/>
  <c r="W288" i="1"/>
  <c r="V289" i="1"/>
  <c r="W289" i="1"/>
  <c r="V290" i="1"/>
  <c r="W290" i="1"/>
  <c r="V291" i="1"/>
  <c r="W291" i="1"/>
  <c r="V292" i="1"/>
  <c r="W292" i="1"/>
  <c r="V293" i="1"/>
  <c r="W293" i="1"/>
  <c r="V294" i="1"/>
  <c r="W294" i="1"/>
  <c r="V295" i="1"/>
  <c r="W295" i="1"/>
  <c r="V296" i="1"/>
  <c r="W296" i="1"/>
  <c r="V297" i="1"/>
  <c r="W297" i="1"/>
  <c r="V298" i="1"/>
  <c r="W298" i="1"/>
  <c r="V299" i="1"/>
  <c r="W299" i="1"/>
  <c r="W283" i="1"/>
  <c r="V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283" i="1"/>
  <c r="AF282" i="1"/>
  <c r="AF281" i="1"/>
  <c r="AF280" i="1"/>
  <c r="AF279" i="1"/>
  <c r="AF278" i="1"/>
  <c r="AF277" i="1"/>
  <c r="AE282" i="1"/>
  <c r="AE281" i="1"/>
  <c r="AE280" i="1"/>
  <c r="AE279" i="1"/>
  <c r="AE278" i="1"/>
  <c r="AE277" i="1"/>
  <c r="W282" i="1"/>
  <c r="V282" i="1"/>
  <c r="G282" i="1"/>
  <c r="W281" i="1"/>
  <c r="V281" i="1"/>
  <c r="G281" i="1"/>
  <c r="W280" i="1"/>
  <c r="V280" i="1"/>
  <c r="G280" i="1"/>
  <c r="V278" i="1"/>
  <c r="W278" i="1"/>
  <c r="V279" i="1"/>
  <c r="W279" i="1"/>
  <c r="W277" i="1"/>
  <c r="V277" i="1"/>
  <c r="G278" i="1"/>
  <c r="G279" i="1"/>
  <c r="G277" i="1"/>
  <c r="AF270" i="1"/>
  <c r="AF271" i="1"/>
  <c r="AF272" i="1"/>
  <c r="AF273" i="1"/>
  <c r="AF274" i="1"/>
  <c r="AF275" i="1"/>
  <c r="AF276" i="1"/>
  <c r="AF269" i="1"/>
  <c r="AF268" i="1"/>
  <c r="AF267" i="1"/>
  <c r="AF266" i="1"/>
  <c r="AF265" i="1"/>
  <c r="AF264" i="1"/>
  <c r="AF263" i="1"/>
  <c r="AF262" i="1"/>
  <c r="AF261" i="1"/>
  <c r="AF260" i="1"/>
  <c r="AF259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V260" i="1"/>
  <c r="W260" i="1"/>
  <c r="V261" i="1"/>
  <c r="W261" i="1"/>
  <c r="V262" i="1"/>
  <c r="W262" i="1"/>
  <c r="V263" i="1"/>
  <c r="W263" i="1"/>
  <c r="V264" i="1"/>
  <c r="W264" i="1"/>
  <c r="V265" i="1"/>
  <c r="W265" i="1"/>
  <c r="V266" i="1"/>
  <c r="W266" i="1"/>
  <c r="V267" i="1"/>
  <c r="W267" i="1"/>
  <c r="V268" i="1"/>
  <c r="W268" i="1"/>
  <c r="V269" i="1"/>
  <c r="W269" i="1"/>
  <c r="V270" i="1"/>
  <c r="W270" i="1"/>
  <c r="V271" i="1"/>
  <c r="W271" i="1"/>
  <c r="V272" i="1"/>
  <c r="W272" i="1"/>
  <c r="V273" i="1"/>
  <c r="W273" i="1"/>
  <c r="V274" i="1"/>
  <c r="W274" i="1"/>
  <c r="V275" i="1"/>
  <c r="W275" i="1"/>
  <c r="V276" i="1"/>
  <c r="W276" i="1"/>
  <c r="W259" i="1"/>
  <c r="V238" i="1"/>
  <c r="W238" i="1"/>
  <c r="V239" i="1"/>
  <c r="W239" i="1"/>
  <c r="V240" i="1"/>
  <c r="W240" i="1"/>
  <c r="V241" i="1"/>
  <c r="W241" i="1"/>
  <c r="V242" i="1"/>
  <c r="W242" i="1"/>
  <c r="V243" i="1"/>
  <c r="W243" i="1"/>
  <c r="V244" i="1"/>
  <c r="W244" i="1"/>
  <c r="V245" i="1"/>
  <c r="W245" i="1"/>
  <c r="V246" i="1"/>
  <c r="W246" i="1"/>
  <c r="V247" i="1"/>
  <c r="W247" i="1"/>
  <c r="V248" i="1"/>
  <c r="W248" i="1"/>
  <c r="V249" i="1"/>
  <c r="W249" i="1"/>
  <c r="V250" i="1"/>
  <c r="W250" i="1"/>
  <c r="V251" i="1"/>
  <c r="W251" i="1"/>
  <c r="V252" i="1"/>
  <c r="W252" i="1"/>
  <c r="V253" i="1"/>
  <c r="W253" i="1"/>
  <c r="V254" i="1"/>
  <c r="W254" i="1"/>
  <c r="V256" i="1"/>
  <c r="W256" i="1"/>
  <c r="V257" i="1"/>
  <c r="W257" i="1"/>
  <c r="V258" i="1"/>
  <c r="W258" i="1"/>
  <c r="V259" i="1"/>
  <c r="G269" i="1"/>
  <c r="G270" i="1"/>
  <c r="G271" i="1"/>
  <c r="G272" i="1"/>
  <c r="G273" i="1"/>
  <c r="G274" i="1"/>
  <c r="G275" i="1"/>
  <c r="G276" i="1"/>
  <c r="G268" i="1"/>
  <c r="G260" i="1"/>
  <c r="G261" i="1"/>
  <c r="G262" i="1"/>
  <c r="G263" i="1"/>
  <c r="G264" i="1"/>
  <c r="G265" i="1"/>
  <c r="G266" i="1"/>
  <c r="G267" i="1"/>
  <c r="G259" i="1"/>
  <c r="AE256" i="1"/>
  <c r="AF256" i="1"/>
  <c r="AE257" i="1"/>
  <c r="AF257" i="1"/>
  <c r="AE258" i="1"/>
  <c r="AF258" i="1"/>
  <c r="G256" i="1"/>
  <c r="G257" i="1"/>
  <c r="G258" i="1"/>
  <c r="AE253" i="1"/>
  <c r="AF253" i="1"/>
  <c r="AE254" i="1"/>
  <c r="AF254" i="1"/>
  <c r="AE255" i="1"/>
  <c r="AF255" i="1"/>
  <c r="R255" i="1"/>
  <c r="S255" i="1"/>
  <c r="T255" i="1"/>
  <c r="U255" i="1"/>
  <c r="U256" i="1" s="1"/>
  <c r="U257" i="1" s="1"/>
  <c r="X255" i="1"/>
  <c r="Y255" i="1"/>
  <c r="Q255" i="1"/>
  <c r="G254" i="1"/>
  <c r="G255" i="1"/>
  <c r="G253" i="1"/>
  <c r="G252" i="1"/>
  <c r="G251" i="1"/>
  <c r="G248" i="1"/>
  <c r="G249" i="1"/>
  <c r="G250" i="1"/>
  <c r="G247" i="1"/>
  <c r="G246" i="1"/>
  <c r="G245" i="1"/>
  <c r="G244" i="1"/>
  <c r="G241" i="1"/>
  <c r="G242" i="1"/>
  <c r="G243" i="1"/>
  <c r="G240" i="1"/>
  <c r="G239" i="1"/>
  <c r="G238" i="1"/>
  <c r="AH235" i="1"/>
  <c r="AH236" i="1"/>
  <c r="AF237" i="1"/>
  <c r="AF236" i="1"/>
  <c r="AF235" i="1"/>
  <c r="AE237" i="1"/>
  <c r="AE236" i="1"/>
  <c r="AE235" i="1"/>
  <c r="V236" i="1"/>
  <c r="W236" i="1"/>
  <c r="Y236" i="1"/>
  <c r="V237" i="1"/>
  <c r="W237" i="1"/>
  <c r="Y237" i="1"/>
  <c r="W235" i="1"/>
  <c r="V235" i="1"/>
  <c r="AH233" i="1"/>
  <c r="AH234" i="1"/>
  <c r="AH232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11" i="1"/>
  <c r="AE234" i="1"/>
  <c r="AE233" i="1"/>
  <c r="AE232" i="1"/>
  <c r="V233" i="1"/>
  <c r="W233" i="1"/>
  <c r="Y233" i="1"/>
  <c r="V234" i="1"/>
  <c r="W234" i="1"/>
  <c r="Y234" i="1"/>
  <c r="Y232" i="1"/>
  <c r="W232" i="1"/>
  <c r="V232" i="1"/>
  <c r="G237" i="1"/>
  <c r="G236" i="1"/>
  <c r="G235" i="1"/>
  <c r="G234" i="1"/>
  <c r="G233" i="1"/>
  <c r="G232" i="1"/>
  <c r="AE231" i="1"/>
  <c r="AE230" i="1"/>
  <c r="AE229" i="1"/>
  <c r="V230" i="1"/>
  <c r="W230" i="1"/>
  <c r="V231" i="1"/>
  <c r="W231" i="1"/>
  <c r="W229" i="1"/>
  <c r="V229" i="1"/>
  <c r="AE228" i="1"/>
  <c r="AE227" i="1"/>
  <c r="AE226" i="1"/>
  <c r="V227" i="1"/>
  <c r="W227" i="1"/>
  <c r="V228" i="1"/>
  <c r="W228" i="1"/>
  <c r="W226" i="1"/>
  <c r="V226" i="1"/>
  <c r="G227" i="1"/>
  <c r="G228" i="1"/>
  <c r="G229" i="1"/>
  <c r="G230" i="1"/>
  <c r="G231" i="1"/>
  <c r="G226" i="1"/>
  <c r="AE225" i="1"/>
  <c r="AE224" i="1"/>
  <c r="AE223" i="1"/>
  <c r="AE222" i="1"/>
  <c r="V224" i="1"/>
  <c r="W224" i="1"/>
  <c r="V225" i="1"/>
  <c r="W225" i="1"/>
  <c r="W223" i="1"/>
  <c r="V223" i="1"/>
  <c r="W222" i="1"/>
  <c r="V222" i="1"/>
  <c r="G225" i="1"/>
  <c r="G224" i="1"/>
  <c r="G223" i="1"/>
  <c r="G222" i="1"/>
  <c r="AE221" i="1"/>
  <c r="AE220" i="1"/>
  <c r="AE219" i="1"/>
  <c r="AE218" i="1"/>
  <c r="W221" i="1"/>
  <c r="V221" i="1"/>
  <c r="W220" i="1"/>
  <c r="V220" i="1"/>
  <c r="W219" i="1"/>
  <c r="V219" i="1"/>
  <c r="W218" i="1"/>
  <c r="V218" i="1"/>
  <c r="G221" i="1"/>
  <c r="G220" i="1"/>
  <c r="G219" i="1"/>
  <c r="G218" i="1"/>
  <c r="AE217" i="1"/>
  <c r="AE216" i="1"/>
  <c r="AE215" i="1"/>
  <c r="AE214" i="1"/>
  <c r="W217" i="1"/>
  <c r="V217" i="1"/>
  <c r="W216" i="1"/>
  <c r="V216" i="1"/>
  <c r="W215" i="1"/>
  <c r="V215" i="1"/>
  <c r="W214" i="1"/>
  <c r="V214" i="1"/>
  <c r="V201" i="1"/>
  <c r="W201" i="1"/>
  <c r="V202" i="1"/>
  <c r="W202" i="1"/>
  <c r="G217" i="1"/>
  <c r="G216" i="1"/>
  <c r="G215" i="1"/>
  <c r="G214" i="1"/>
  <c r="AE213" i="1"/>
  <c r="AE212" i="1"/>
  <c r="AE211" i="1"/>
  <c r="AF210" i="1"/>
  <c r="AE210" i="1"/>
  <c r="W213" i="1"/>
  <c r="V213" i="1"/>
  <c r="W212" i="1"/>
  <c r="V212" i="1"/>
  <c r="G213" i="1"/>
  <c r="G212" i="1"/>
  <c r="W211" i="1"/>
  <c r="V211" i="1"/>
  <c r="W210" i="1"/>
  <c r="V210" i="1"/>
  <c r="G210" i="1"/>
  <c r="G211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V208" i="1"/>
  <c r="W208" i="1"/>
  <c r="V209" i="1"/>
  <c r="W209" i="1"/>
  <c r="W207" i="1"/>
  <c r="V207" i="1"/>
  <c r="V205" i="1"/>
  <c r="W205" i="1"/>
  <c r="V206" i="1"/>
  <c r="W206" i="1"/>
  <c r="W204" i="1"/>
  <c r="V204" i="1"/>
  <c r="V203" i="1"/>
  <c r="W203" i="1"/>
  <c r="V199" i="1"/>
  <c r="W199" i="1"/>
  <c r="V200" i="1"/>
  <c r="W200" i="1"/>
  <c r="V198" i="1"/>
  <c r="W198" i="1"/>
  <c r="G209" i="1"/>
  <c r="G208" i="1"/>
  <c r="G207" i="1"/>
  <c r="G206" i="1"/>
  <c r="G205" i="1"/>
  <c r="G204" i="1"/>
  <c r="G203" i="1"/>
  <c r="G202" i="1"/>
  <c r="G201" i="1"/>
  <c r="G199" i="1"/>
  <c r="G200" i="1"/>
  <c r="G198" i="1"/>
  <c r="AF197" i="1"/>
  <c r="AE197" i="1"/>
  <c r="AF196" i="1"/>
  <c r="AE196" i="1"/>
  <c r="AF195" i="1"/>
  <c r="AE195" i="1"/>
  <c r="X197" i="1"/>
  <c r="Y197" i="1"/>
  <c r="S197" i="1"/>
  <c r="T197" i="1"/>
  <c r="U197" i="1"/>
  <c r="O197" i="1"/>
  <c r="P197" i="1"/>
  <c r="Q197" i="1"/>
  <c r="R197" i="1"/>
  <c r="N197" i="1"/>
  <c r="W196" i="1"/>
  <c r="V196" i="1"/>
  <c r="W195" i="1"/>
  <c r="V195" i="1"/>
  <c r="G196" i="1"/>
  <c r="G197" i="1"/>
  <c r="G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V176" i="1"/>
  <c r="W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W185" i="1"/>
  <c r="V186" i="1"/>
  <c r="W186" i="1"/>
  <c r="V187" i="1"/>
  <c r="W187" i="1"/>
  <c r="V188" i="1"/>
  <c r="W188" i="1"/>
  <c r="V189" i="1"/>
  <c r="W189" i="1"/>
  <c r="V190" i="1"/>
  <c r="W190" i="1"/>
  <c r="V191" i="1"/>
  <c r="W191" i="1"/>
  <c r="V192" i="1"/>
  <c r="W192" i="1"/>
  <c r="V193" i="1"/>
  <c r="W193" i="1"/>
  <c r="V194" i="1"/>
  <c r="W194" i="1"/>
  <c r="W175" i="1"/>
  <c r="V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V166" i="1"/>
  <c r="W166" i="1"/>
  <c r="V167" i="1"/>
  <c r="W167" i="1"/>
  <c r="V168" i="1"/>
  <c r="W168" i="1"/>
  <c r="V169" i="1"/>
  <c r="W169" i="1"/>
  <c r="V170" i="1"/>
  <c r="W170" i="1"/>
  <c r="V171" i="1"/>
  <c r="W171" i="1"/>
  <c r="V172" i="1"/>
  <c r="W172" i="1"/>
  <c r="V173" i="1"/>
  <c r="W173" i="1"/>
  <c r="V174" i="1"/>
  <c r="W174" i="1"/>
  <c r="W165" i="1"/>
  <c r="V16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V164" i="1"/>
  <c r="W164" i="1"/>
  <c r="W155" i="1"/>
  <c r="V15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W145" i="1"/>
  <c r="V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V134" i="1"/>
  <c r="W134" i="1"/>
  <c r="Y134" i="1"/>
  <c r="V135" i="1"/>
  <c r="W135" i="1"/>
  <c r="Y135" i="1"/>
  <c r="V136" i="1"/>
  <c r="W136" i="1"/>
  <c r="Y136" i="1"/>
  <c r="V137" i="1"/>
  <c r="W137" i="1"/>
  <c r="Y137" i="1"/>
  <c r="V138" i="1"/>
  <c r="W138" i="1"/>
  <c r="Y138" i="1"/>
  <c r="V139" i="1"/>
  <c r="W139" i="1"/>
  <c r="Y139" i="1"/>
  <c r="V140" i="1"/>
  <c r="W140" i="1"/>
  <c r="Y140" i="1"/>
  <c r="V141" i="1"/>
  <c r="W141" i="1"/>
  <c r="Y141" i="1"/>
  <c r="V142" i="1"/>
  <c r="W142" i="1"/>
  <c r="Y142" i="1"/>
  <c r="V143" i="1"/>
  <c r="W143" i="1"/>
  <c r="Y143" i="1"/>
  <c r="V144" i="1"/>
  <c r="W144" i="1"/>
  <c r="Y144" i="1"/>
  <c r="Y133" i="1"/>
  <c r="W133" i="1"/>
  <c r="V133" i="1"/>
  <c r="G134" i="1"/>
  <c r="G135" i="1"/>
  <c r="G136" i="1"/>
  <c r="G137" i="1"/>
  <c r="G138" i="1"/>
  <c r="G139" i="1"/>
  <c r="G140" i="1"/>
  <c r="G141" i="1"/>
  <c r="G142" i="1"/>
  <c r="G143" i="1"/>
  <c r="G144" i="1"/>
  <c r="G133" i="1"/>
  <c r="AF132" i="1"/>
  <c r="AE132" i="1"/>
  <c r="V132" i="1"/>
  <c r="W132" i="1"/>
  <c r="G132" i="1"/>
  <c r="AF131" i="1"/>
  <c r="AE131" i="1"/>
  <c r="W131" i="1"/>
  <c r="V131" i="1"/>
  <c r="G131" i="1"/>
  <c r="AF130" i="1"/>
  <c r="AE130" i="1"/>
  <c r="W130" i="1"/>
  <c r="V130" i="1"/>
  <c r="G130" i="1"/>
  <c r="AF129" i="1"/>
  <c r="AH129" i="1"/>
  <c r="AF128" i="1"/>
  <c r="AH128" i="1"/>
  <c r="AF127" i="1"/>
  <c r="AH127" i="1"/>
  <c r="AF126" i="1"/>
  <c r="AH126" i="1"/>
  <c r="AE129" i="1"/>
  <c r="AE128" i="1"/>
  <c r="AE127" i="1"/>
  <c r="AE126" i="1"/>
  <c r="Y129" i="1"/>
  <c r="W129" i="1"/>
  <c r="V129" i="1"/>
  <c r="G129" i="1"/>
  <c r="Y128" i="1"/>
  <c r="W128" i="1"/>
  <c r="V128" i="1"/>
  <c r="G128" i="1"/>
  <c r="Y127" i="1"/>
  <c r="W127" i="1"/>
  <c r="V127" i="1"/>
  <c r="G127" i="1"/>
  <c r="Y126" i="1"/>
  <c r="W126" i="1"/>
  <c r="V126" i="1"/>
  <c r="G126" i="1"/>
  <c r="AF125" i="1"/>
  <c r="AH125" i="1"/>
  <c r="AF124" i="1"/>
  <c r="AH124" i="1"/>
  <c r="AF123" i="1"/>
  <c r="AH123" i="1"/>
  <c r="AF122" i="1"/>
  <c r="AH122" i="1"/>
  <c r="AE125" i="1"/>
  <c r="AE124" i="1"/>
  <c r="AE123" i="1"/>
  <c r="AE122" i="1"/>
  <c r="V123" i="1"/>
  <c r="W123" i="1"/>
  <c r="Y123" i="1"/>
  <c r="V124" i="1"/>
  <c r="W124" i="1"/>
  <c r="Y124" i="1"/>
  <c r="V125" i="1"/>
  <c r="W125" i="1"/>
  <c r="Y125" i="1"/>
  <c r="W122" i="1"/>
  <c r="Y122" i="1"/>
  <c r="V122" i="1"/>
  <c r="G123" i="1"/>
  <c r="G124" i="1"/>
  <c r="G125" i="1"/>
  <c r="G122" i="1"/>
  <c r="AH115" i="1"/>
  <c r="AH116" i="1"/>
  <c r="AH117" i="1"/>
  <c r="AH118" i="1"/>
  <c r="AH119" i="1"/>
  <c r="AH120" i="1"/>
  <c r="AH121" i="1"/>
  <c r="AH114" i="1"/>
  <c r="AF121" i="1"/>
  <c r="AF120" i="1"/>
  <c r="AF119" i="1"/>
  <c r="AF118" i="1"/>
  <c r="AF117" i="1"/>
  <c r="AF116" i="1"/>
  <c r="AF115" i="1"/>
  <c r="AF114" i="1"/>
  <c r="AE121" i="1"/>
  <c r="AE120" i="1"/>
  <c r="AE119" i="1"/>
  <c r="AE118" i="1"/>
  <c r="AE117" i="1"/>
  <c r="AE116" i="1"/>
  <c r="AE115" i="1"/>
  <c r="AE114" i="1"/>
  <c r="V115" i="1"/>
  <c r="W115" i="1"/>
  <c r="Y115" i="1"/>
  <c r="V116" i="1"/>
  <c r="W116" i="1"/>
  <c r="Y116" i="1"/>
  <c r="V117" i="1"/>
  <c r="W117" i="1"/>
  <c r="Y117" i="1"/>
  <c r="V118" i="1"/>
  <c r="W118" i="1"/>
  <c r="Y118" i="1"/>
  <c r="V119" i="1"/>
  <c r="W119" i="1"/>
  <c r="Y119" i="1"/>
  <c r="V120" i="1"/>
  <c r="W120" i="1"/>
  <c r="Y120" i="1"/>
  <c r="V121" i="1"/>
  <c r="W121" i="1"/>
  <c r="Y121" i="1"/>
  <c r="Y114" i="1"/>
  <c r="W114" i="1"/>
  <c r="V114" i="1"/>
  <c r="G115" i="1"/>
  <c r="G116" i="1"/>
  <c r="G117" i="1"/>
  <c r="G118" i="1"/>
  <c r="G119" i="1"/>
  <c r="G120" i="1"/>
  <c r="G121" i="1"/>
  <c r="G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V111" i="1"/>
  <c r="W111" i="1"/>
  <c r="V112" i="1"/>
  <c r="W112" i="1"/>
  <c r="V113" i="1"/>
  <c r="W113" i="1"/>
  <c r="W110" i="1"/>
  <c r="V110" i="1"/>
  <c r="V107" i="1"/>
  <c r="W107" i="1"/>
  <c r="V108" i="1"/>
  <c r="W108" i="1"/>
  <c r="V109" i="1"/>
  <c r="W109" i="1"/>
  <c r="W106" i="1"/>
  <c r="V106" i="1"/>
  <c r="V103" i="1"/>
  <c r="W103" i="1"/>
  <c r="V104" i="1"/>
  <c r="W104" i="1"/>
  <c r="V105" i="1"/>
  <c r="W105" i="1"/>
  <c r="W102" i="1"/>
  <c r="V102" i="1"/>
  <c r="G103" i="1"/>
  <c r="G104" i="1"/>
  <c r="G105" i="1"/>
  <c r="G106" i="1"/>
  <c r="G107" i="1"/>
  <c r="G108" i="1"/>
  <c r="G109" i="1"/>
  <c r="G110" i="1"/>
  <c r="G111" i="1"/>
  <c r="G112" i="1"/>
  <c r="G113" i="1"/>
  <c r="G102" i="1"/>
  <c r="AF101" i="1"/>
  <c r="AF100" i="1"/>
  <c r="AF99" i="1"/>
  <c r="AF98" i="1"/>
  <c r="AF97" i="1"/>
  <c r="AF96" i="1"/>
  <c r="AE101" i="1"/>
  <c r="AE100" i="1"/>
  <c r="AE99" i="1"/>
  <c r="AE98" i="1"/>
  <c r="AE97" i="1"/>
  <c r="AE96" i="1"/>
  <c r="V97" i="1"/>
  <c r="W97" i="1"/>
  <c r="V98" i="1"/>
  <c r="W98" i="1"/>
  <c r="V99" i="1"/>
  <c r="W99" i="1"/>
  <c r="V100" i="1"/>
  <c r="W100" i="1"/>
  <c r="V101" i="1"/>
  <c r="W101" i="1"/>
  <c r="W96" i="1"/>
  <c r="V96" i="1"/>
  <c r="G97" i="1"/>
  <c r="G98" i="1"/>
  <c r="G99" i="1"/>
  <c r="G100" i="1"/>
  <c r="G101" i="1"/>
  <c r="G96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80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W80" i="1"/>
  <c r="V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80" i="1"/>
  <c r="V75" i="1"/>
  <c r="W75" i="1"/>
  <c r="V76" i="1"/>
  <c r="W76" i="1"/>
  <c r="V77" i="1"/>
  <c r="W77" i="1"/>
  <c r="V78" i="1"/>
  <c r="W78" i="1"/>
  <c r="V79" i="1"/>
  <c r="W79" i="1"/>
  <c r="W74" i="1"/>
  <c r="V74" i="1"/>
  <c r="G75" i="1"/>
  <c r="G76" i="1"/>
  <c r="G77" i="1"/>
  <c r="G78" i="1"/>
  <c r="G79" i="1"/>
  <c r="G74" i="1"/>
  <c r="AH67" i="1"/>
  <c r="AH68" i="1"/>
  <c r="AH69" i="1"/>
  <c r="AH70" i="1"/>
  <c r="AH71" i="1"/>
  <c r="AH72" i="1"/>
  <c r="AH73" i="1"/>
  <c r="AH66" i="1"/>
  <c r="AF73" i="1"/>
  <c r="AE73" i="1"/>
  <c r="AF72" i="1"/>
  <c r="AE72" i="1"/>
  <c r="AF71" i="1"/>
  <c r="AE71" i="1"/>
  <c r="AF70" i="1"/>
  <c r="AE70" i="1"/>
  <c r="AF69" i="1"/>
  <c r="AE69" i="1"/>
  <c r="AF68" i="1"/>
  <c r="AE68" i="1"/>
  <c r="AF67" i="1"/>
  <c r="AE67" i="1"/>
  <c r="AF66" i="1"/>
  <c r="AE66" i="1"/>
  <c r="Y68" i="1"/>
  <c r="Y69" i="1"/>
  <c r="Y70" i="1"/>
  <c r="Y71" i="1"/>
  <c r="Y72" i="1"/>
  <c r="Y73" i="1"/>
  <c r="W73" i="1"/>
  <c r="V73" i="1"/>
  <c r="W72" i="1"/>
  <c r="V72" i="1"/>
  <c r="W71" i="1"/>
  <c r="V71" i="1"/>
  <c r="W70" i="1"/>
  <c r="V70" i="1"/>
  <c r="W69" i="1"/>
  <c r="V69" i="1"/>
  <c r="W68" i="1"/>
  <c r="V68" i="1"/>
  <c r="Y67" i="1"/>
  <c r="W67" i="1"/>
  <c r="V67" i="1"/>
  <c r="Y66" i="1"/>
  <c r="W66" i="1"/>
  <c r="V66" i="1"/>
  <c r="G67" i="1"/>
  <c r="G68" i="1"/>
  <c r="G69" i="1"/>
  <c r="G70" i="1"/>
  <c r="G71" i="1"/>
  <c r="G72" i="1"/>
  <c r="G73" i="1"/>
  <c r="G66" i="1"/>
  <c r="AF57" i="1"/>
  <c r="AF58" i="1"/>
  <c r="AF59" i="1"/>
  <c r="AF60" i="1"/>
  <c r="AF61" i="1"/>
  <c r="AF62" i="1"/>
  <c r="AF63" i="1"/>
  <c r="AF64" i="1"/>
  <c r="AF65" i="1"/>
  <c r="AF56" i="1"/>
  <c r="AF55" i="1"/>
  <c r="AF54" i="1"/>
  <c r="AF53" i="1"/>
  <c r="AF52" i="1"/>
  <c r="AF51" i="1"/>
  <c r="AF50" i="1"/>
  <c r="AF49" i="1"/>
  <c r="AF48" i="1"/>
  <c r="AF47" i="1"/>
  <c r="AF4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G54" i="1"/>
  <c r="G55" i="1"/>
  <c r="G56" i="1"/>
  <c r="G57" i="1"/>
  <c r="G58" i="1"/>
  <c r="G59" i="1"/>
  <c r="G60" i="1"/>
  <c r="G61" i="1"/>
  <c r="G62" i="1"/>
  <c r="G63" i="1"/>
  <c r="G64" i="1"/>
  <c r="G65" i="1"/>
  <c r="G53" i="1"/>
  <c r="G52" i="1"/>
  <c r="G51" i="1"/>
  <c r="G50" i="1"/>
  <c r="G49" i="1"/>
  <c r="G48" i="1"/>
  <c r="G47" i="1"/>
  <c r="G46" i="1"/>
  <c r="W46" i="1"/>
  <c r="V46" i="1"/>
  <c r="AF45" i="1"/>
  <c r="AF44" i="1"/>
  <c r="AF43" i="1"/>
  <c r="AF42" i="1"/>
  <c r="AF41" i="1"/>
  <c r="AF40" i="1"/>
  <c r="AF39" i="1"/>
  <c r="AF38" i="1"/>
  <c r="AE45" i="1"/>
  <c r="AE44" i="1"/>
  <c r="AE43" i="1"/>
  <c r="AE42" i="1"/>
  <c r="AE41" i="1"/>
  <c r="AE40" i="1"/>
  <c r="AE39" i="1"/>
  <c r="AE38" i="1"/>
  <c r="AF37" i="1"/>
  <c r="AE37" i="1"/>
  <c r="G38" i="1"/>
  <c r="V38" i="1"/>
  <c r="W38" i="1"/>
  <c r="Y38" i="1"/>
  <c r="G39" i="1"/>
  <c r="V39" i="1"/>
  <c r="W39" i="1"/>
  <c r="Y39" i="1"/>
  <c r="G40" i="1"/>
  <c r="V40" i="1"/>
  <c r="W40" i="1"/>
  <c r="Y40" i="1"/>
  <c r="G41" i="1"/>
  <c r="V41" i="1"/>
  <c r="W41" i="1"/>
  <c r="Y41" i="1"/>
  <c r="G42" i="1"/>
  <c r="V42" i="1"/>
  <c r="W42" i="1"/>
  <c r="Y42" i="1"/>
  <c r="G43" i="1"/>
  <c r="V43" i="1"/>
  <c r="W43" i="1"/>
  <c r="Y43" i="1"/>
  <c r="G44" i="1"/>
  <c r="V44" i="1"/>
  <c r="W44" i="1"/>
  <c r="Y44" i="1"/>
  <c r="G45" i="1"/>
  <c r="V45" i="1"/>
  <c r="W45" i="1"/>
  <c r="Y45" i="1"/>
  <c r="Y37" i="1"/>
  <c r="W37" i="1"/>
  <c r="V37" i="1"/>
  <c r="G37" i="1"/>
  <c r="AF36" i="1"/>
  <c r="AE36" i="1"/>
  <c r="AF35" i="1"/>
  <c r="AE35" i="1"/>
  <c r="AF34" i="1"/>
  <c r="AE34" i="1"/>
  <c r="V34" i="1"/>
  <c r="W34" i="1"/>
  <c r="V35" i="1"/>
  <c r="W35" i="1"/>
  <c r="V36" i="1"/>
  <c r="W36" i="1"/>
  <c r="G34" i="1"/>
  <c r="G35" i="1"/>
  <c r="G36" i="1"/>
  <c r="AF33" i="1"/>
  <c r="AE33" i="1"/>
  <c r="AF32" i="1"/>
  <c r="AE32" i="1"/>
  <c r="AF31" i="1"/>
  <c r="AE31" i="1"/>
  <c r="AF30" i="1"/>
  <c r="AE30" i="1"/>
  <c r="V31" i="1"/>
  <c r="W31" i="1"/>
  <c r="V32" i="1"/>
  <c r="W32" i="1"/>
  <c r="V33" i="1"/>
  <c r="W33" i="1"/>
  <c r="W30" i="1"/>
  <c r="V30" i="1"/>
  <c r="G31" i="1"/>
  <c r="G32" i="1"/>
  <c r="G33" i="1"/>
  <c r="G30" i="1"/>
  <c r="AH25" i="1"/>
  <c r="AH26" i="1"/>
  <c r="AH27" i="1"/>
  <c r="AH28" i="1"/>
  <c r="AH29" i="1"/>
  <c r="AH24" i="1"/>
  <c r="AF29" i="1"/>
  <c r="AF28" i="1"/>
  <c r="AF27" i="1"/>
  <c r="AE29" i="1"/>
  <c r="AE28" i="1"/>
  <c r="AE27" i="1"/>
  <c r="AF26" i="1"/>
  <c r="AF25" i="1"/>
  <c r="AE26" i="1"/>
  <c r="AE25" i="1"/>
  <c r="AF24" i="1"/>
  <c r="AE24" i="1"/>
  <c r="Y27" i="1"/>
  <c r="Y28" i="1"/>
  <c r="Y29" i="1"/>
  <c r="V28" i="1"/>
  <c r="W28" i="1"/>
  <c r="V29" i="1"/>
  <c r="W29" i="1"/>
  <c r="W27" i="1"/>
  <c r="V27" i="1"/>
  <c r="V25" i="1"/>
  <c r="W25" i="1"/>
  <c r="Y25" i="1"/>
  <c r="V26" i="1"/>
  <c r="W26" i="1"/>
  <c r="Y26" i="1"/>
  <c r="Y24" i="1"/>
  <c r="W24" i="1"/>
  <c r="V24" i="1"/>
  <c r="G25" i="1"/>
  <c r="G26" i="1"/>
  <c r="G27" i="1"/>
  <c r="G28" i="1"/>
  <c r="G29" i="1"/>
  <c r="G24" i="1"/>
  <c r="AF23" i="1"/>
  <c r="AF22" i="1"/>
  <c r="AE23" i="1"/>
  <c r="AE22" i="1"/>
  <c r="V22" i="1"/>
  <c r="W22" i="1"/>
  <c r="V23" i="1"/>
  <c r="W23" i="1"/>
  <c r="G22" i="1"/>
  <c r="G23" i="1"/>
  <c r="AF21" i="1"/>
  <c r="AF20" i="1"/>
  <c r="AF19" i="1"/>
  <c r="AF18" i="1"/>
  <c r="AF17" i="1"/>
  <c r="AE21" i="1"/>
  <c r="AE20" i="1"/>
  <c r="AE19" i="1"/>
  <c r="AE18" i="1"/>
  <c r="AE17" i="1"/>
  <c r="V18" i="1"/>
  <c r="W18" i="1"/>
  <c r="V19" i="1"/>
  <c r="W19" i="1"/>
  <c r="V20" i="1"/>
  <c r="W20" i="1"/>
  <c r="V21" i="1"/>
  <c r="W21" i="1"/>
  <c r="W17" i="1"/>
  <c r="V17" i="1"/>
  <c r="G18" i="1"/>
  <c r="G19" i="1"/>
  <c r="G20" i="1"/>
  <c r="G21" i="1"/>
  <c r="G17" i="1"/>
  <c r="AF2" i="1"/>
  <c r="AF3" i="1"/>
  <c r="AF4" i="1"/>
  <c r="AF5" i="1"/>
  <c r="AF6" i="1"/>
  <c r="AF7" i="1"/>
  <c r="AE2" i="1"/>
  <c r="AE3" i="1"/>
  <c r="AE4" i="1"/>
  <c r="AE5" i="1"/>
  <c r="AE6" i="1"/>
  <c r="AE7" i="1"/>
  <c r="AF9" i="1"/>
  <c r="AF10" i="1"/>
  <c r="AF11" i="1"/>
  <c r="AF12" i="1"/>
  <c r="AF13" i="1"/>
  <c r="AF14" i="1"/>
  <c r="AF15" i="1"/>
  <c r="AF16" i="1"/>
  <c r="AF8" i="1"/>
  <c r="AE9" i="1"/>
  <c r="AE10" i="1"/>
  <c r="AE11" i="1"/>
  <c r="AE12" i="1"/>
  <c r="AE13" i="1"/>
  <c r="AE14" i="1"/>
  <c r="AE15" i="1"/>
  <c r="AE16" i="1"/>
  <c r="AE8" i="1"/>
  <c r="Y9" i="1"/>
  <c r="Y10" i="1"/>
  <c r="Y11" i="1"/>
  <c r="Y12" i="1"/>
  <c r="Y13" i="1"/>
  <c r="Y14" i="1"/>
  <c r="Y15" i="1"/>
  <c r="Y16" i="1"/>
  <c r="Y8" i="1"/>
  <c r="G9" i="1"/>
  <c r="V9" i="1"/>
  <c r="W9" i="1"/>
  <c r="G10" i="1"/>
  <c r="V10" i="1"/>
  <c r="W10" i="1"/>
  <c r="G11" i="1"/>
  <c r="V11" i="1"/>
  <c r="W11" i="1"/>
  <c r="G12" i="1"/>
  <c r="V12" i="1"/>
  <c r="W12" i="1"/>
  <c r="G13" i="1"/>
  <c r="V13" i="1"/>
  <c r="W13" i="1"/>
  <c r="G14" i="1"/>
  <c r="V14" i="1"/>
  <c r="W14" i="1"/>
  <c r="G15" i="1"/>
  <c r="V15" i="1"/>
  <c r="W15" i="1"/>
  <c r="G16" i="1"/>
  <c r="V16" i="1"/>
  <c r="W16" i="1"/>
  <c r="G8" i="1"/>
  <c r="W8" i="1"/>
  <c r="V8" i="1"/>
  <c r="V3" i="1"/>
  <c r="W3" i="1"/>
  <c r="V4" i="1"/>
  <c r="W4" i="1"/>
  <c r="V5" i="1"/>
  <c r="W5" i="1"/>
  <c r="V6" i="1"/>
  <c r="W6" i="1"/>
  <c r="V7" i="1"/>
  <c r="W7" i="1"/>
  <c r="W2" i="1"/>
  <c r="V2" i="1"/>
  <c r="G3" i="1"/>
  <c r="G4" i="1"/>
  <c r="G5" i="1"/>
  <c r="G6" i="1"/>
  <c r="G7" i="1"/>
  <c r="G2" i="1"/>
  <c r="W255" i="1" l="1"/>
  <c r="V197" i="1"/>
  <c r="V255" i="1"/>
  <c r="W197" i="1"/>
  <c r="U25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8DC543-7F7F-46A7-A2CC-2926C5E500D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F2CAB57-A2AB-494C-811D-174A13499E47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<sst xmlns="http://schemas.openxmlformats.org/spreadsheetml/2006/main" count="481" uniqueCount="284">
  <si>
    <t>time (min)</t>
  </si>
  <si>
    <t>temp(C)</t>
  </si>
  <si>
    <t>Pressurei(MPa)</t>
  </si>
  <si>
    <t>Biomass Loading(g)</t>
  </si>
  <si>
    <t>size of reactor(ml)</t>
  </si>
  <si>
    <t>water(ml)</t>
  </si>
  <si>
    <t>Sv_BL</t>
  </si>
  <si>
    <t>protein(%)</t>
  </si>
  <si>
    <t>Lipid(%)</t>
  </si>
  <si>
    <t>Carbohydrate(%)</t>
  </si>
  <si>
    <t>Ci(%)</t>
  </si>
  <si>
    <t>Hi(%)</t>
  </si>
  <si>
    <t>Ni(%)</t>
  </si>
  <si>
    <t>Oi(%)</t>
  </si>
  <si>
    <t>H_Ci</t>
  </si>
  <si>
    <t>O_Ci</t>
  </si>
  <si>
    <t>HHVo(Mj/kg)</t>
  </si>
  <si>
    <t>Cel</t>
  </si>
  <si>
    <t>Hemi_cel</t>
  </si>
  <si>
    <t>Lig</t>
  </si>
  <si>
    <t>Bio_char(%)</t>
  </si>
  <si>
    <t>VM(%)</t>
  </si>
  <si>
    <t>FC(%)</t>
  </si>
  <si>
    <t>Si(%)</t>
  </si>
  <si>
    <t>MC (%)</t>
  </si>
  <si>
    <t>Ref</t>
  </si>
  <si>
    <t>biomass</t>
  </si>
  <si>
    <t>https://doi.org/10.1016/j.wasman.2023.06.009</t>
  </si>
  <si>
    <t>food waste</t>
  </si>
  <si>
    <t>https://doi.org/10.1016/j.jenvman.2023.118612</t>
  </si>
  <si>
    <t>loquat fruit</t>
  </si>
  <si>
    <t>HHVi(Mj/kg)</t>
  </si>
  <si>
    <t>Ashi</t>
  </si>
  <si>
    <t>Co(%)</t>
  </si>
  <si>
    <t>Ho(%)</t>
  </si>
  <si>
    <t>No(%)</t>
  </si>
  <si>
    <t>Oo(%)</t>
  </si>
  <si>
    <t>So(%)</t>
  </si>
  <si>
    <t>H_Co</t>
  </si>
  <si>
    <t>O_Co</t>
  </si>
  <si>
    <t>Asho</t>
  </si>
  <si>
    <t>https://doi.org/10.1016/j.wasman.2023.07.004</t>
  </si>
  <si>
    <t xml:space="preserve">almond shell </t>
  </si>
  <si>
    <t xml:space="preserve">microalgae (MA) </t>
  </si>
  <si>
    <t>sewage sludge (SS)</t>
  </si>
  <si>
    <t>https://doi.org/10.1016/j.wasman.2023.11.039</t>
  </si>
  <si>
    <t>https://doi.org/10.1016/j.biombioe.2024.107061</t>
  </si>
  <si>
    <t>orange peel waste</t>
  </si>
  <si>
    <t>https://doi.org/10.1016/j.apenergy.2022.120136</t>
  </si>
  <si>
    <t>coconut shell</t>
  </si>
  <si>
    <t>https://doi.org/10.1016/j.jenvman.2023.119132</t>
  </si>
  <si>
    <t>https://doi.org/10.1016/j.indcrop.2022.115891</t>
  </si>
  <si>
    <t>bamboo</t>
  </si>
  <si>
    <t>https://doi.org/10.1016/j.proci.2022.07.184</t>
  </si>
  <si>
    <t xml:space="preserve"> raw sludge</t>
  </si>
  <si>
    <t>https://doi.org/10.1016/j.egyr.2022.10.183</t>
  </si>
  <si>
    <t xml:space="preserve">Empty fruit bunches </t>
  </si>
  <si>
    <t>https://doi.org/10.1016/j.jenvman.2022.116854</t>
  </si>
  <si>
    <t xml:space="preserve">cow dung </t>
  </si>
  <si>
    <t>https://doi.org/10.1016/j.chemosphere.2021.132787</t>
  </si>
  <si>
    <t>corn residue</t>
  </si>
  <si>
    <t>https://doi.org/10.1016/j.biortech.2022.126968</t>
  </si>
  <si>
    <t>spirulina</t>
  </si>
  <si>
    <t>https://doi.org/10.1016/j.wasman.2022.07.009</t>
  </si>
  <si>
    <t>Dewatered dyeing sludge</t>
  </si>
  <si>
    <t>https://doi.org/10.1016/j.scitotenv.2023.163104</t>
  </si>
  <si>
    <t>https://doi.org/10.1016/j.wasman.2022.11.012</t>
  </si>
  <si>
    <t>sewage sludge</t>
  </si>
  <si>
    <t>https://doi.org/10.1016/j.renene.2021.05.112</t>
  </si>
  <si>
    <t>beet pulp</t>
  </si>
  <si>
    <t>https://doi.org/10.1016/j.wasman.2019.09.009</t>
  </si>
  <si>
    <t>digestate origin</t>
  </si>
  <si>
    <t>https://doi.org/10.1007/s13399-015-0163-9</t>
  </si>
  <si>
    <t>wheat straw</t>
  </si>
  <si>
    <t>https://doi.org/10.1016/j.biortech.2021.126395</t>
  </si>
  <si>
    <t xml:space="preserve">Food waste </t>
  </si>
  <si>
    <t>https://doi.org/10.3390/en12091586</t>
  </si>
  <si>
    <t>Agricultural residue</t>
  </si>
  <si>
    <t>manure</t>
  </si>
  <si>
    <t>https://doi.org/10.1016/j.biortech.2021.125164</t>
  </si>
  <si>
    <t>https://doi.org/10.1016/j.biombioe.2020.105875</t>
  </si>
  <si>
    <t>alperujo</t>
  </si>
  <si>
    <t>https://doi.org/10.1016/j.gce.2023.08.004</t>
  </si>
  <si>
    <t>rice and lettuce</t>
  </si>
  <si>
    <t>USF</t>
  </si>
  <si>
    <t>https://doi.org/10.1016/j.wasman.2022.07.029</t>
  </si>
  <si>
    <t>https://doi.org/10.1016/j.biteb.2022.101276</t>
  </si>
  <si>
    <t>https://doi.org/10.1016/j.renene.2020.03.112</t>
  </si>
  <si>
    <t xml:space="preserve">olive wastes </t>
  </si>
  <si>
    <t>https://doi.org/10.1016/j.enconman.2021.114433</t>
  </si>
  <si>
    <t>biowaste</t>
  </si>
  <si>
    <t>https://doi.org/10.1016/j.biortech.2020.123395</t>
  </si>
  <si>
    <t>apple waste</t>
  </si>
  <si>
    <t>https://doi.org/10.1016/j.biteb.2021.100691</t>
  </si>
  <si>
    <t>yard waste</t>
  </si>
  <si>
    <t>https://doi.org/10.1016/j.csite.2021.101255</t>
  </si>
  <si>
    <t>aquatic biomass</t>
  </si>
  <si>
    <t>https://doi.org/10.1016/j.chemosphere.2021.132785</t>
  </si>
  <si>
    <t>rape straw</t>
  </si>
  <si>
    <t>https://doi.org/10.1016/j.apenergy.2020.114818</t>
  </si>
  <si>
    <t>Maize straw</t>
  </si>
  <si>
    <t>https://doi.org/10.1016/j.renene.2022.01.049</t>
  </si>
  <si>
    <t>foodwaste</t>
  </si>
  <si>
    <t>Sewage digestate</t>
  </si>
  <si>
    <t>https://doi.org/10.1016/j.renene.2020.05.021</t>
  </si>
  <si>
    <t>https://doi.org/10.1016/j.biombioe.2024.107130</t>
  </si>
  <si>
    <t>penicillin mycelial residues</t>
  </si>
  <si>
    <t>https://doi.org/10.1016/j.biortech.2021.125187</t>
  </si>
  <si>
    <t>https://doi.org/10.1016/j.biortech.2021.125872</t>
  </si>
  <si>
    <t>https://doi.org/10.1016/j.biteb.2021.100720</t>
  </si>
  <si>
    <t>watermelon and pineapple peels</t>
  </si>
  <si>
    <t>https://doi.org/10.1016/j.biortech.2021.126009</t>
  </si>
  <si>
    <t xml:space="preserve"> poplar sawdust</t>
  </si>
  <si>
    <t>digestate and manure</t>
  </si>
  <si>
    <t>https://doi.org/10.1016/j.biortech.2020.124543</t>
  </si>
  <si>
    <t xml:space="preserve">Spirulina platensis </t>
  </si>
  <si>
    <t>https://doi.org/10.1016/j.biortech.2020.124450</t>
  </si>
  <si>
    <t xml:space="preserve">cotton textile waste </t>
  </si>
  <si>
    <t>https://doi.org/10.1016/j.wasman.2020.11.040</t>
  </si>
  <si>
    <t>Refuse Derived Fuel</t>
  </si>
  <si>
    <t>https://doi.org/10.1016/j.biortech.2020.124410</t>
  </si>
  <si>
    <t>Food waste</t>
  </si>
  <si>
    <t>https://doi.org/10.1016/j.biortech.2020.123148</t>
  </si>
  <si>
    <t>microalgae</t>
  </si>
  <si>
    <t>https://doi.org/10.1016/j.wasman.2020.03.004</t>
  </si>
  <si>
    <t>https://doi.org/10.1016/j.renene.2020.04.124</t>
  </si>
  <si>
    <t>Virginia mallow</t>
  </si>
  <si>
    <t>https://doi.org/10.1016/j.ecoleng.2021.106173</t>
  </si>
  <si>
    <t>municipal sewage sludge</t>
  </si>
  <si>
    <t>https://doi.org/10.1016/j.enconman.2023.116864</t>
  </si>
  <si>
    <t>kitchen waste and poplar sawdust</t>
  </si>
  <si>
    <t>https://doi.org/10.1016/j.renene.2020.07.003</t>
  </si>
  <si>
    <t>https://doi.org/10.1016/j.biortech.2016.01.068</t>
  </si>
  <si>
    <t>https://doi.org/10.1016/j.biortech.2018.03.003</t>
  </si>
  <si>
    <t>algal</t>
  </si>
  <si>
    <t>https://doi.org/10.1016/j.biortech.2022.127694</t>
  </si>
  <si>
    <t>https://doi.org/10.1016/j.wasman.2021.07.023</t>
  </si>
  <si>
    <t>inus halepensis cones</t>
  </si>
  <si>
    <t>https://doi.org/10.1016/j.biortech.2022.127258</t>
  </si>
  <si>
    <t>pulp and paper industry sludge</t>
  </si>
  <si>
    <t>https://doi.org/10.1016/j.biortech.2021.125110</t>
  </si>
  <si>
    <t>original digestate</t>
  </si>
  <si>
    <t>https://doi.org/10.1016/j.biortech.2014.03.052</t>
  </si>
  <si>
    <t>Grape pomace</t>
  </si>
  <si>
    <t>https://doi.org/10.1016/j.enconman.2020.113218</t>
  </si>
  <si>
    <t>maize silage digestate</t>
  </si>
  <si>
    <t>https://doi.org/10.1016/j.biortech.2016.12.015</t>
  </si>
  <si>
    <t>https://doi.org/10.1016/j.chemosphere.2021.133209</t>
  </si>
  <si>
    <t>https://doi.org/10.1016/j.jenvman.2017.06.018</t>
  </si>
  <si>
    <t>Pinewood sawdust</t>
  </si>
  <si>
    <t>https://doi.org/10.1016/j.chemosphere.2021.131313</t>
  </si>
  <si>
    <t>https://doi.org/10.1016/j.biombioe.2019.01.035</t>
  </si>
  <si>
    <t>corn stover</t>
  </si>
  <si>
    <t>https://doi.org/10.1016/j.cej.2022.140239</t>
  </si>
  <si>
    <t>https://doi.org/10.1016/j.jece.2021.106604</t>
  </si>
  <si>
    <t>Alnus</t>
  </si>
  <si>
    <t>https://doi.org/10.1016/j.enconman.2020.113353</t>
  </si>
  <si>
    <t>sludge</t>
  </si>
  <si>
    <t>https://doi.org/10.1016/j.biortech.2019.121959</t>
  </si>
  <si>
    <t>food wastes</t>
  </si>
  <si>
    <t>https://doi.org/10.1016/j.biortech.2019.122113</t>
  </si>
  <si>
    <t>https://doi.org/10.1016/j.chemosphere.2019.05.066</t>
  </si>
  <si>
    <t>Chlorella</t>
  </si>
  <si>
    <t>https://doi.org/10.1016/j.biortech.2018.02.127</t>
  </si>
  <si>
    <t>Bamboo sawdust</t>
  </si>
  <si>
    <t>https://doi.org/10.1016/j.biortech.2016.08.098</t>
  </si>
  <si>
    <t xml:space="preserve">tobacco stalk </t>
  </si>
  <si>
    <t>https://doi.org/10.1016/j.wasman.2020.07.026</t>
  </si>
  <si>
    <t>Ammonium sulphate</t>
  </si>
  <si>
    <t>coal-biomass</t>
  </si>
  <si>
    <t>https://doi.org/10.1016/j.enconman.2018.12.009</t>
  </si>
  <si>
    <t>https://doi.org/10.1016/j.biortech.2019.122653</t>
  </si>
  <si>
    <t>Defective coffee beans</t>
  </si>
  <si>
    <t>https://doi.org/10.1016/j.biortech.2019.121347</t>
  </si>
  <si>
    <t>sewage sludge and food waste</t>
  </si>
  <si>
    <t>https://doi.org/10.1016/j.energy.2020.117717</t>
  </si>
  <si>
    <t>wood biomass</t>
  </si>
  <si>
    <t>https://doi.org/10.1016/j.wasman.2019.04.005</t>
  </si>
  <si>
    <t>food waste and coal</t>
  </si>
  <si>
    <t>https://doi.org/10.1016/j.wasman.2019.04.056</t>
  </si>
  <si>
    <t xml:space="preserve">yard waste </t>
  </si>
  <si>
    <t>https://doi.org/10.1016/j.apenergy.2018.07.088</t>
  </si>
  <si>
    <t>granular sludge</t>
  </si>
  <si>
    <t>https://doi.org/10.1016/j.biortech.2021.125972</t>
  </si>
  <si>
    <t>segregated HWW</t>
  </si>
  <si>
    <t>https://doi.org/10.1016/j.biortech.2017.10.096</t>
  </si>
  <si>
    <t>sweet potato waste</t>
  </si>
  <si>
    <t>https://doi.org/10.1016/j.biortech.2018.07.059</t>
  </si>
  <si>
    <t>waste-woody</t>
  </si>
  <si>
    <t>https://doi.org/10.1016/j.biortech.2017.09.098</t>
  </si>
  <si>
    <t>wastes with bamboo</t>
  </si>
  <si>
    <t>https://doi.org/10.1016/j.jenvman.2019.06.067</t>
  </si>
  <si>
    <t>waste</t>
  </si>
  <si>
    <t>https://doi.org/10.1016/j.biortech.2017.09.072</t>
  </si>
  <si>
    <t>Opuntia ficus-indica</t>
  </si>
  <si>
    <t>https://doi.org/10.1016/j.apenergy.2019.02.050</t>
  </si>
  <si>
    <t>sawdust</t>
  </si>
  <si>
    <t>https://doi.org/10.1016/j.applthermaleng.2020.116232</t>
  </si>
  <si>
    <t>Shenfu bituminous coal</t>
  </si>
  <si>
    <t>https://doi.org/10.1016/j.wasman.2019.09.021</t>
  </si>
  <si>
    <t>ligno biomass</t>
  </si>
  <si>
    <t>https://doi.org/10.1016/j.biortech.2012.05.060</t>
  </si>
  <si>
    <t>corn stalk</t>
  </si>
  <si>
    <t>https://doi.org/10.1016/j.biortech.2019.02.130</t>
  </si>
  <si>
    <t>huge dead leaves</t>
  </si>
  <si>
    <t>https://doi.org/10.1016/j.biortech.2017.04.012</t>
  </si>
  <si>
    <t>Watermelon peel</t>
  </si>
  <si>
    <t>https://doi.org/10.1016/j.wasman.2015.05.013</t>
  </si>
  <si>
    <t>Agro-industrial waste</t>
  </si>
  <si>
    <t>https://doi.org/10.1016/j.biortech.2020.122763</t>
  </si>
  <si>
    <t>corncob</t>
  </si>
  <si>
    <t>https://doi.org/10.1016/j.wasman.2020.09.009</t>
  </si>
  <si>
    <t>https://doi.org/10.1016/j.biortech.2015.06.115</t>
  </si>
  <si>
    <t>Orange pomace</t>
  </si>
  <si>
    <t>https://doi.org/10.1016/j.applthermaleng.2015.08.064</t>
  </si>
  <si>
    <t>paper sludge</t>
  </si>
  <si>
    <t>https://doi.org/10.1016/j.biortech.2016.08.071</t>
  </si>
  <si>
    <t xml:space="preserve"> corn silage</t>
  </si>
  <si>
    <t>https://doi.org/10.1016/j.apenergy.2013.04.084</t>
  </si>
  <si>
    <t>https://doi.org/10.1016/j.jenvman.2020.110067</t>
  </si>
  <si>
    <t>waste biomass</t>
  </si>
  <si>
    <t>https://doi.org/10.1016/j.biortech.2018.07.006</t>
  </si>
  <si>
    <t>790 paper</t>
  </si>
  <si>
    <t>https://doi.org/10.1016/j.biortech.2012.09.042</t>
  </si>
  <si>
    <t>fruit bunches</t>
  </si>
  <si>
    <t>https://doi.org/10.1016/j.biortech.2012.01.093</t>
  </si>
  <si>
    <t>black liquor</t>
  </si>
  <si>
    <t>https://doi.org/10.1016/j.fuproc.2017.08.016</t>
  </si>
  <si>
    <t xml:space="preserve">Miscanthus </t>
  </si>
  <si>
    <t>https://doi.org/10.1016/j.enconman.2015.08.031</t>
  </si>
  <si>
    <t xml:space="preserve">miscanthus </t>
  </si>
  <si>
    <t>https://doi.org/10.1016/j.jenvman.2018.12.072</t>
  </si>
  <si>
    <t>swine manure</t>
  </si>
  <si>
    <t>835 paper</t>
  </si>
  <si>
    <t>https://doi.org/10.1016/j.jestch.2016.08.015</t>
  </si>
  <si>
    <t>macrophyte Potamogeton lucens</t>
  </si>
  <si>
    <t>https://doi.org/10.1016/j.biortech.2015.01.118</t>
  </si>
  <si>
    <t>solid waste</t>
  </si>
  <si>
    <t>https://doi.org/10.1016/j.biortech.2017.06.117</t>
  </si>
  <si>
    <t>https://doi.org/10.1016/j.biortech.2016.08.027</t>
  </si>
  <si>
    <t>Poultry litter</t>
  </si>
  <si>
    <t>https://doi.org/10.1016/j.biortech.2017.09.076</t>
  </si>
  <si>
    <t>849 paper</t>
  </si>
  <si>
    <t>https://doi.org/10.1016/j.biortech.2018.02.021</t>
  </si>
  <si>
    <t>Musetti brand</t>
  </si>
  <si>
    <t>https://doi.org/10.1016/j.biortech.2016.05.110</t>
  </si>
  <si>
    <t>Arthrospira platensis</t>
  </si>
  <si>
    <t>https://doi.org/10.1016/j.wasman.2015.04.016</t>
  </si>
  <si>
    <t>tomato-peel</t>
  </si>
  <si>
    <t>https://doi.org/10.1016/j.egyr.2019.11.050</t>
  </si>
  <si>
    <t>Maize residues</t>
  </si>
  <si>
    <t>https://doi.org/10.1016/j.biortech.2015.02.024</t>
  </si>
  <si>
    <t>https://doi.org/10.1016/j.biortech.2018.07.002</t>
  </si>
  <si>
    <t xml:space="preserve">penicillin mycelia waste </t>
  </si>
  <si>
    <t>https://doi.org/10.1016/j.biortech.2019.121385</t>
  </si>
  <si>
    <t>910 paper</t>
  </si>
  <si>
    <t xml:space="preserve"> spirulina</t>
  </si>
  <si>
    <t>https://doi.org/10.1016/j.enconman.2018.01.003</t>
  </si>
  <si>
    <t>Miscanthus × giganteus</t>
  </si>
  <si>
    <t>https://doi.org/10.1016/j.biortech.2019.122117</t>
  </si>
  <si>
    <t>The BSG</t>
  </si>
  <si>
    <t>https://doi.org/10.1016/j.biortech.2018.06.084</t>
  </si>
  <si>
    <t>biomass and swine manure</t>
  </si>
  <si>
    <t>https://doi.org/10.1016/j.biombioe.2018.11.016</t>
  </si>
  <si>
    <t>https://doi.org/10.1016/j.biortech.2019.121329</t>
  </si>
  <si>
    <t>paper wastes</t>
  </si>
  <si>
    <t>https://doi.org/10.1016/j.wasman.2018.05.022</t>
  </si>
  <si>
    <t>https://doi.org/10.1016/j.enconman.2013.11.026</t>
  </si>
  <si>
    <t>Raw sludge</t>
  </si>
  <si>
    <t>https://doi.org/10.1016/j.biortech.2017.10.046</t>
  </si>
  <si>
    <t>Cunninghamia lanceolata (Lamb.)</t>
  </si>
  <si>
    <t>https://doi.org/10.1016/j.apenergy.2014.08.094</t>
  </si>
  <si>
    <t>miscanthus</t>
  </si>
  <si>
    <t>1000 paper</t>
  </si>
  <si>
    <t>https://doi.org/10.1016/j.biortech.2021.125954</t>
  </si>
  <si>
    <t>https://doi.org/10.1016/j.scitotenv.2022.156494</t>
  </si>
  <si>
    <t>https://doi.org/10.1016/j.apenergy.2020.115264</t>
  </si>
  <si>
    <t>https://doi.org/10.1016/j.biortech.2021.124976</t>
  </si>
  <si>
    <t xml:space="preserve"> lignocellulosic biomass</t>
  </si>
  <si>
    <t>1062 paper</t>
  </si>
  <si>
    <t>https://doi.org/10.1016/j.biteb.2020.100453</t>
  </si>
  <si>
    <t xml:space="preserve">sewage sludge </t>
  </si>
  <si>
    <t>1200 paper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</si>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</sst>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0" xfId="42"/>
    <xf numFmtId="0" fontId="0" fillId="0" borderId="10" xfId="0" applyBorder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EEB5552-B92B-48D9-BD02-B1E81D39CB25}" autoFormatId="16" applyNumberFormats="0" applyBorderFormats="0" applyFontFormats="0" applyPatternFormats="0" applyAlignmentFormats="0" applyWidthHeightFormats="0">
  <queryTableRefresh nextId="45">
    <queryTableFields count="36">
      <queryTableField id="1" name="time (min)" tableColumnId="1"/>
      <queryTableField id="2" name="temp(C)" tableColumnId="2"/>
      <queryTableField id="3" name="Pressurei(MPa)" tableColumnId="3"/>
      <queryTableField id="4" name="Biomass Loading(g)" tableColumnId="4"/>
      <queryTableField id="5" name="size of reactor(ml)" tableColumnId="5"/>
      <queryTableField id="6" name="water(ml)" tableColumnId="6"/>
      <queryTableField id="7" name="Sv_BL" tableColumnId="7"/>
      <queryTableField id="8" name="protein(%)" tableColumnId="8"/>
      <queryTableField id="9" name="Lipid(%)" tableColumnId="9"/>
      <queryTableField id="10" name="Carbohydrate(%)" tableColumnId="10"/>
      <queryTableField id="11" name="Cel" tableColumnId="11"/>
      <queryTableField id="12" name="Hemi_cel" tableColumnId="12"/>
      <queryTableField id="13" name="Lig" tableColumnId="13"/>
      <queryTableField id="14" name="MC (%)" tableColumnId="14"/>
      <queryTableField id="15" name="VM(%)" tableColumnId="15"/>
      <queryTableField id="16" name="FC(%)" tableColumnId="16"/>
      <queryTableField id="17" name="Ci(%)" tableColumnId="17"/>
      <queryTableField id="18" name="Hi(%)" tableColumnId="18"/>
      <queryTableField id="19" name="Ni(%)" tableColumnId="19"/>
      <queryTableField id="20" name="Oi(%)" tableColumnId="20"/>
      <queryTableField id="21" name="Si(%)" tableColumnId="21"/>
      <queryTableField id="22" name="H_Ci" tableColumnId="22"/>
      <queryTableField id="23" name="O_Ci" tableColumnId="23"/>
      <queryTableField id="24" name="Ashi" tableColumnId="24"/>
      <queryTableField id="25" name="HHVi(Mj/kg)" tableColumnId="25"/>
      <queryTableField id="26" name="Co(%)" tableColumnId="26"/>
      <queryTableField id="27" name="Ho(%)" tableColumnId="27"/>
      <queryTableField id="28" name="No(%)" tableColumnId="28"/>
      <queryTableField id="29" name="Oo(%)" tableColumnId="29"/>
      <queryTableField id="30" name="So(%)" tableColumnId="30"/>
      <queryTableField id="31" name="H_Co" tableColumnId="31"/>
      <queryTableField id="32" name="O_Co" tableColumnId="32"/>
      <queryTableField id="33" name="Asho" tableColumnId="33"/>
      <queryTableField id="34" name="HHVo(Mj/kg)" tableColumnId="34"/>
      <queryTableField id="35" name="Bio_char(%)" tableColumnId="35"/>
      <queryTableField id="36" name="Ref" tableColumnId="36"/>
    </queryTableFields>
    <queryTableDeletedFields count="2">
      <deletedField name="biomass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27F897-B6E2-40E3-A5BB-5D49C9186B35}" name="Table1_2" displayName="Table1_2" ref="A1:AJ1092" tableType="queryTable" totalsRowShown="0">
  <autoFilter ref="A1:AJ1092" xr:uid="{CA27F897-B6E2-40E3-A5BB-5D49C9186B35}"/>
  <tableColumns count="36">
    <tableColumn id="1" xr3:uid="{2FC76D5C-D99F-4E90-911D-02219677C2D2}" uniqueName="1" name="time (min)" queryTableFieldId="1"/>
    <tableColumn id="2" xr3:uid="{6B04D5CF-923E-4558-AF02-DF641E10E803}" uniqueName="2" name="temp(C)" queryTableFieldId="2"/>
    <tableColumn id="3" xr3:uid="{B38AB014-942E-487A-A80E-4C45F8E527B4}" uniqueName="3" name="Pressurei(MPa)" queryTableFieldId="3"/>
    <tableColumn id="4" xr3:uid="{61CBA374-F16E-4F20-95B5-185CEA66FEDC}" uniqueName="4" name="Biomass Loading(g)" queryTableFieldId="4"/>
    <tableColumn id="5" xr3:uid="{7B50B520-58F3-4566-A334-1259D632CBB4}" uniqueName="5" name="size of reactor(ml)" queryTableFieldId="5"/>
    <tableColumn id="6" xr3:uid="{0E40799D-5736-4D21-9212-D924E0ADAD73}" uniqueName="6" name="water(ml)" queryTableFieldId="6"/>
    <tableColumn id="7" xr3:uid="{9C45B226-D53C-4669-A5C8-775175C5419F}" uniqueName="7" name="Sv_BL" queryTableFieldId="7"/>
    <tableColumn id="8" xr3:uid="{A7AF6896-C333-4F36-B69B-5F2D1D2FFF67}" uniqueName="8" name="protein(%)" queryTableFieldId="8"/>
    <tableColumn id="9" xr3:uid="{73E7BF2C-5AF7-4409-A6EB-73D7F8E2E4CB}" uniqueName="9" name="Lipid(%)" queryTableFieldId="9"/>
    <tableColumn id="10" xr3:uid="{561273DB-281D-4F82-AC7D-E847C05EBED2}" uniqueName="10" name="Carbohydrate(%)" queryTableFieldId="10"/>
    <tableColumn id="11" xr3:uid="{EB3E0BAA-B421-4F91-9111-C1FA7D02FBC1}" uniqueName="11" name="Cel" queryTableFieldId="11"/>
    <tableColumn id="12" xr3:uid="{64F98498-6D00-4E48-8AF9-B9E472904F13}" uniqueName="12" name="Hemi_cel" queryTableFieldId="12"/>
    <tableColumn id="13" xr3:uid="{B9B1157E-ED6F-49E9-97EA-421E54DA39A1}" uniqueName="13" name="Lig" queryTableFieldId="13"/>
    <tableColumn id="14" xr3:uid="{F70A825F-E1EC-4AEB-8B30-95D05D72C093}" uniqueName="14" name="MC (%)" queryTableFieldId="14"/>
    <tableColumn id="15" xr3:uid="{7AD9DF06-1700-49E8-857F-ED345EC6FFD0}" uniqueName="15" name="VM(%)" queryTableFieldId="15"/>
    <tableColumn id="16" xr3:uid="{EF957049-B1D4-46A1-A02A-8FFFD127D498}" uniqueName="16" name="FC(%)" queryTableFieldId="16"/>
    <tableColumn id="17" xr3:uid="{43F40BA2-F395-47A7-B6DD-70DCF7C0F4BE}" uniqueName="17" name="Ci(%)" queryTableFieldId="17"/>
    <tableColumn id="18" xr3:uid="{09F0E0AD-C83D-465F-860A-E58410E5E2D7}" uniqueName="18" name="Hi(%)" queryTableFieldId="18"/>
    <tableColumn id="19" xr3:uid="{C025ABAC-3B12-480A-B345-9AAAFB7B5282}" uniqueName="19" name="Ni(%)" queryTableFieldId="19"/>
    <tableColumn id="20" xr3:uid="{C89B91D1-331C-4CB5-BE36-F55803F50A25}" uniqueName="20" name="Oi(%)" queryTableFieldId="20"/>
    <tableColumn id="21" xr3:uid="{7D04DFBC-B5E7-46E6-84AC-B2C56108A0CA}" uniqueName="21" name="Si(%)" queryTableFieldId="21"/>
    <tableColumn id="22" xr3:uid="{5AACA659-2A64-4161-8D8D-4D6951CD5B54}" uniqueName="22" name="H_Ci" queryTableFieldId="22"/>
    <tableColumn id="23" xr3:uid="{5F58FD31-477E-457C-B1B4-224876BEED6F}" uniqueName="23" name="O_Ci" queryTableFieldId="23"/>
    <tableColumn id="24" xr3:uid="{80E2D314-D38F-44A8-888B-F5AB3D4F9370}" uniqueName="24" name="Ashi" queryTableFieldId="24"/>
    <tableColumn id="25" xr3:uid="{A68FCD0D-BE7B-40AC-8B4D-8C4D0CF5F924}" uniqueName="25" name="HHVi(Mj/kg)" queryTableFieldId="25"/>
    <tableColumn id="26" xr3:uid="{28FF087D-8650-4828-83AB-D35C9822B0DC}" uniqueName="26" name="Co(%)" queryTableFieldId="26"/>
    <tableColumn id="27" xr3:uid="{A6F1135D-2B04-48BE-A77A-AB4FE912FDBA}" uniqueName="27" name="Ho(%)" queryTableFieldId="27"/>
    <tableColumn id="28" xr3:uid="{7A66BB7A-3680-4E19-B018-C1BA589E28C3}" uniqueName="28" name="No(%)" queryTableFieldId="28"/>
    <tableColumn id="29" xr3:uid="{43FA9A8F-E28D-40A7-9BA3-AB52DF694CAF}" uniqueName="29" name="Oo(%)" queryTableFieldId="29"/>
    <tableColumn id="30" xr3:uid="{DE024FF7-AFB5-4936-8799-A8119CADD0B4}" uniqueName="30" name="So(%)" queryTableFieldId="30"/>
    <tableColumn id="31" xr3:uid="{126EC561-4366-4E6C-BC47-DB6A9675D4AD}" uniqueName="31" name="H_Co" queryTableFieldId="31"/>
    <tableColumn id="32" xr3:uid="{ED41C46B-EC63-4E86-8B12-A008A50E00F8}" uniqueName="32" name="O_Co" queryTableFieldId="32"/>
    <tableColumn id="33" xr3:uid="{AB595EFE-BFED-413C-9B7C-415F97989DEC}" uniqueName="33" name="Asho" queryTableFieldId="33"/>
    <tableColumn id="34" xr3:uid="{DE02A3C4-9D64-4C7D-A03F-098BE2AD73FA}" uniqueName="34" name="HHVo(Mj/kg)" queryTableFieldId="34"/>
    <tableColumn id="35" xr3:uid="{08DBB63F-0AE9-4D01-BFE9-EC15AE85F768}" uniqueName="35" name="Bio_char(%)" queryTableFieldId="35"/>
    <tableColumn id="36" xr3:uid="{2D076DEE-DD51-49EF-A5B6-C9BF1DA9101C}" uniqueName="36" name="Ref" queryTableFieldId="36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BDDFF-1F04-4262-9F2C-D70B042D9F1A}" name="Table1" displayName="Table1" ref="A1:AL1092" totalsRowShown="0">
  <autoFilter ref="A1:AL1092" xr:uid="{903BDDFF-1F04-4262-9F2C-D70B042D9F1A}"/>
  <tableColumns count="38">
    <tableColumn id="1" xr3:uid="{6077108E-8E6D-4891-A373-AC9B438A838A}" name="time (min)"/>
    <tableColumn id="2" xr3:uid="{309E2231-24CD-4D6B-B68C-7D5162E7AD1B}" name="temp(C)"/>
    <tableColumn id="3" xr3:uid="{29C8C6AD-38C8-4426-93D6-4ADB52F2366A}" name="Pressurei(MPa)"/>
    <tableColumn id="4" xr3:uid="{01448044-89BD-471F-9FBC-F89CEBA3D903}" name="Biomass Loading(g)"/>
    <tableColumn id="5" xr3:uid="{72DD6C26-40D3-46CA-ABB5-E6B9FD39BC46}" name="size of reactor(ml)"/>
    <tableColumn id="6" xr3:uid="{65C1AA8D-B48A-46BD-8647-3963BDD0137A}" name="water(ml)"/>
    <tableColumn id="7" xr3:uid="{00B380E1-4443-4556-8DE1-6B5CA621401D}" name="Sv_BL" dataDxfId="4">
      <calculatedColumnFormula>F2/D2</calculatedColumnFormula>
    </tableColumn>
    <tableColumn id="8" xr3:uid="{33CBA04D-7EC5-417C-9DD6-BC2DEAE3E2DF}" name="protein(%)"/>
    <tableColumn id="9" xr3:uid="{7379B2AF-5D91-4620-B706-8537CEDCA678}" name="Lipid(%)"/>
    <tableColumn id="10" xr3:uid="{999232F3-80BD-4C83-BD22-D301A8E4A2BF}" name="Carbohydrate(%)"/>
    <tableColumn id="11" xr3:uid="{6A85282B-99CA-44EF-A528-6FE04ABFD6DC}" name="Cel"/>
    <tableColumn id="12" xr3:uid="{C446DB9F-FFF9-4F5D-B2A1-07E0F82AFA5A}" name="Hemi_cel"/>
    <tableColumn id="13" xr3:uid="{9E969732-D291-4AB1-ABDA-2DD91D1F3033}" name="Lig"/>
    <tableColumn id="14" xr3:uid="{8A243C2B-1D0D-4BF9-81D4-27BE3A875679}" name="MC (%)"/>
    <tableColumn id="15" xr3:uid="{A3A31765-9CFE-4009-9757-52FF26944839}" name="VM(%)"/>
    <tableColumn id="16" xr3:uid="{F49C7421-7C04-4BC5-A48C-723B73C05E55}" name="FC(%)" dataDxfId="3"/>
    <tableColumn id="17" xr3:uid="{185DADFD-CA34-41C6-B6C8-4359965B9930}" name="Ci(%)"/>
    <tableColumn id="18" xr3:uid="{D44D1C1C-AEFF-4B18-80B0-1266DCDC5DDF}" name="Hi(%)"/>
    <tableColumn id="19" xr3:uid="{9F2F9C91-165C-43CD-9580-E3D863744C62}" name="Ni(%)"/>
    <tableColumn id="20" xr3:uid="{971D5178-6751-48AA-8FB1-27099065901C}" name="Oi(%)"/>
    <tableColumn id="21" xr3:uid="{DEB4B233-26BB-4688-A2D8-653E835C8CF0}" name="Si(%)"/>
    <tableColumn id="22" xr3:uid="{79C6455E-E9FB-40C4-83ED-D9FD11F53EF1}" name="H_Ci">
      <calculatedColumnFormula>(R2/1)/(Q2/12)</calculatedColumnFormula>
    </tableColumn>
    <tableColumn id="23" xr3:uid="{9B584EA7-507E-4071-9FFD-A7932F4A51E2}" name="O_Ci">
      <calculatedColumnFormula>(T2/16)/(Q2/12)</calculatedColumnFormula>
    </tableColumn>
    <tableColumn id="24" xr3:uid="{28982C48-7320-4177-8809-892A74454160}" name="Ashi"/>
    <tableColumn id="25" xr3:uid="{3EA9C9A7-9361-4FD5-B6EB-D8283D53F5CD}" name="HHVi(Mj/kg)" dataDxfId="2"/>
    <tableColumn id="26" xr3:uid="{801A5493-C4BC-4D83-92DB-034C6C594C42}" name="Co(%)"/>
    <tableColumn id="27" xr3:uid="{DF088C8B-4310-4964-A527-DE08272BEF12}" name="Ho(%)"/>
    <tableColumn id="28" xr3:uid="{6556C31B-2CBF-4A02-869A-DA0661C85880}" name="No(%)"/>
    <tableColumn id="29" xr3:uid="{8C7E4A26-E222-4945-9464-54348757B6F3}" name="Oo(%)"/>
    <tableColumn id="30" xr3:uid="{1649CDD6-E667-4597-9518-D493E4D84FBD}" name="So(%)"/>
    <tableColumn id="31" xr3:uid="{3ABCFA86-0996-49E7-B77F-40EFC7DA3E0D}" name="H_Co">
      <calculatedColumnFormula>(AA2/1)/(Z2/12)</calculatedColumnFormula>
    </tableColumn>
    <tableColumn id="32" xr3:uid="{71BDFCC6-2925-4CC4-89E2-0C4CDFA78E38}" name="O_Co">
      <calculatedColumnFormula>(AC2/16)/(Z2/12)</calculatedColumnFormula>
    </tableColumn>
    <tableColumn id="33" xr3:uid="{3728C2E6-CE18-4CD9-AD43-0982A0D9B309}" name="Asho" dataDxfId="1"/>
    <tableColumn id="34" xr3:uid="{087D6FF6-695C-4472-9BDA-AEEF17C60F25}" name="HHVo(Mj/kg)"/>
    <tableColumn id="35" xr3:uid="{B0B82858-7E13-42EF-8739-64E173582182}" name="Bio_char(%)" dataDxfId="0"/>
    <tableColumn id="36" xr3:uid="{F00F8823-6984-4BF4-82C3-1F60DC4FF915}" name="Ref"/>
    <tableColumn id="37" xr3:uid="{44E507BE-0BFA-4A4E-9D0A-EF6EEF92E73A}" name="biomass"/>
    <tableColumn id="38" xr3:uid="{5366716A-08C2-4A0B-968D-33672BB5FFC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gyr.2022.10.183" TargetMode="External"/><Relationship Id="rId13" Type="http://schemas.openxmlformats.org/officeDocument/2006/relationships/hyperlink" Target="https://doi.org/10.1016/j.scitotenv.2023.163104" TargetMode="External"/><Relationship Id="rId18" Type="http://schemas.openxmlformats.org/officeDocument/2006/relationships/hyperlink" Target="https://doi.org/10.1016/j.biombioe.2020.105875" TargetMode="External"/><Relationship Id="rId3" Type="http://schemas.openxmlformats.org/officeDocument/2006/relationships/hyperlink" Target="https://doi.org/10.1016/j.wasman.2023.11.039" TargetMode="External"/><Relationship Id="rId21" Type="http://schemas.openxmlformats.org/officeDocument/2006/relationships/hyperlink" Target="https://doi.org/10.1016/j.renene.2020.03.112" TargetMode="External"/><Relationship Id="rId7" Type="http://schemas.openxmlformats.org/officeDocument/2006/relationships/hyperlink" Target="https://doi.org/10.1016/j.proci.2022.07.184" TargetMode="External"/><Relationship Id="rId12" Type="http://schemas.openxmlformats.org/officeDocument/2006/relationships/hyperlink" Target="https://doi.org/10.1016/j.wasman.2022.07.009" TargetMode="External"/><Relationship Id="rId17" Type="http://schemas.openxmlformats.org/officeDocument/2006/relationships/hyperlink" Target="https://doi.org/10.1016/j.biortech.2021.125164" TargetMode="External"/><Relationship Id="rId2" Type="http://schemas.openxmlformats.org/officeDocument/2006/relationships/hyperlink" Target="https://doi.org/10.1016/j.jenvman.2023.118612" TargetMode="External"/><Relationship Id="rId16" Type="http://schemas.openxmlformats.org/officeDocument/2006/relationships/hyperlink" Target="https://doi.org/10.1007/s13399-015-0163-9" TargetMode="External"/><Relationship Id="rId20" Type="http://schemas.openxmlformats.org/officeDocument/2006/relationships/hyperlink" Target="https://doi.org/10.1016/j.biteb.2022.101276" TargetMode="External"/><Relationship Id="rId1" Type="http://schemas.openxmlformats.org/officeDocument/2006/relationships/hyperlink" Target="https://doi.org/10.1016/j.wasman.2023.06.009" TargetMode="External"/><Relationship Id="rId6" Type="http://schemas.openxmlformats.org/officeDocument/2006/relationships/hyperlink" Target="https://doi.org/10.1016/j.indcrop.2022.115891" TargetMode="External"/><Relationship Id="rId11" Type="http://schemas.openxmlformats.org/officeDocument/2006/relationships/hyperlink" Target="https://doi.org/10.1016/j.biortech.2022.126968" TargetMode="External"/><Relationship Id="rId5" Type="http://schemas.openxmlformats.org/officeDocument/2006/relationships/hyperlink" Target="https://doi.org/10.1016/j.apenergy.2022.120136" TargetMode="External"/><Relationship Id="rId15" Type="http://schemas.openxmlformats.org/officeDocument/2006/relationships/hyperlink" Target="https://doi.org/10.1016/j.wasman.2019.09.009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doi.org/10.1016/j.jenvman.2022.116854" TargetMode="External"/><Relationship Id="rId19" Type="http://schemas.openxmlformats.org/officeDocument/2006/relationships/hyperlink" Target="https://doi.org/10.1016/j.gce.2023.08.004" TargetMode="External"/><Relationship Id="rId4" Type="http://schemas.openxmlformats.org/officeDocument/2006/relationships/hyperlink" Target="https://doi.org/10.1016/j.biombioe.2024.107061" TargetMode="External"/><Relationship Id="rId9" Type="http://schemas.openxmlformats.org/officeDocument/2006/relationships/hyperlink" Target="https://doi.org/10.1016/j.chemosphere.2021.132787" TargetMode="External"/><Relationship Id="rId14" Type="http://schemas.openxmlformats.org/officeDocument/2006/relationships/hyperlink" Target="https://doi.org/10.1016/j.wasman.2022.11.012" TargetMode="External"/><Relationship Id="rId22" Type="http://schemas.openxmlformats.org/officeDocument/2006/relationships/hyperlink" Target="https://doi.org/10.1016/j.biortech.2020.12339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biortech.2015.02.024" TargetMode="External"/><Relationship Id="rId21" Type="http://schemas.openxmlformats.org/officeDocument/2006/relationships/hyperlink" Target="https://doi.org/10.3390/en12091586" TargetMode="External"/><Relationship Id="rId42" Type="http://schemas.openxmlformats.org/officeDocument/2006/relationships/hyperlink" Target="https://doi.org/10.1016/j.biortech.2020.124543" TargetMode="External"/><Relationship Id="rId63" Type="http://schemas.openxmlformats.org/officeDocument/2006/relationships/hyperlink" Target="https://doi.org/10.1016/j.chemosphere.2021.131313" TargetMode="External"/><Relationship Id="rId84" Type="http://schemas.openxmlformats.org/officeDocument/2006/relationships/hyperlink" Target="https://doi.org/10.1016/j.biortech.2018.07.059" TargetMode="External"/><Relationship Id="rId16" Type="http://schemas.openxmlformats.org/officeDocument/2006/relationships/hyperlink" Target="https://doi.org/10.1016/j.wasman.2022.11.012" TargetMode="External"/><Relationship Id="rId107" Type="http://schemas.openxmlformats.org/officeDocument/2006/relationships/hyperlink" Target="https://doi.org/10.1016/j.jenvman.2018.12.072" TargetMode="External"/><Relationship Id="rId11" Type="http://schemas.openxmlformats.org/officeDocument/2006/relationships/hyperlink" Target="https://doi.org/10.1016/j.jenvman.2022.116854" TargetMode="External"/><Relationship Id="rId32" Type="http://schemas.openxmlformats.org/officeDocument/2006/relationships/hyperlink" Target="https://doi.org/10.1016/j.chemosphere.2021.132785" TargetMode="External"/><Relationship Id="rId37" Type="http://schemas.openxmlformats.org/officeDocument/2006/relationships/hyperlink" Target="https://doi.org/10.1016/j.biortech.2021.125187" TargetMode="External"/><Relationship Id="rId53" Type="http://schemas.openxmlformats.org/officeDocument/2006/relationships/hyperlink" Target="https://doi.org/10.1016/j.biortech.2018.03.003" TargetMode="External"/><Relationship Id="rId58" Type="http://schemas.openxmlformats.org/officeDocument/2006/relationships/hyperlink" Target="https://doi.org/10.1016/j.biortech.2014.03.052" TargetMode="External"/><Relationship Id="rId74" Type="http://schemas.openxmlformats.org/officeDocument/2006/relationships/hyperlink" Target="https://doi.org/10.1016/j.enconman.2018.12.009" TargetMode="External"/><Relationship Id="rId79" Type="http://schemas.openxmlformats.org/officeDocument/2006/relationships/hyperlink" Target="https://doi.org/10.1016/j.wasman.2019.04.005" TargetMode="External"/><Relationship Id="rId102" Type="http://schemas.openxmlformats.org/officeDocument/2006/relationships/hyperlink" Target="https://doi.org/10.1016/j.biortech.2018.07.006" TargetMode="External"/><Relationship Id="rId123" Type="http://schemas.openxmlformats.org/officeDocument/2006/relationships/hyperlink" Target="https://doi.org/10.1016/j.biombioe.2018.11.016" TargetMode="External"/><Relationship Id="rId128" Type="http://schemas.openxmlformats.org/officeDocument/2006/relationships/hyperlink" Target="https://doi.org/10.1016/j.apenergy.2014.08.094" TargetMode="External"/><Relationship Id="rId5" Type="http://schemas.openxmlformats.org/officeDocument/2006/relationships/hyperlink" Target="https://doi.org/10.1016/j.biombioe.2024.107061" TargetMode="External"/><Relationship Id="rId90" Type="http://schemas.openxmlformats.org/officeDocument/2006/relationships/hyperlink" Target="https://doi.org/10.1016/j.wasman.2019.09.021" TargetMode="External"/><Relationship Id="rId95" Type="http://schemas.openxmlformats.org/officeDocument/2006/relationships/hyperlink" Target="https://doi.org/10.1016/j.biortech.2020.122763" TargetMode="External"/><Relationship Id="rId22" Type="http://schemas.openxmlformats.org/officeDocument/2006/relationships/hyperlink" Target="https://doi.org/10.1016/j.biortech.2021.125164" TargetMode="External"/><Relationship Id="rId27" Type="http://schemas.openxmlformats.org/officeDocument/2006/relationships/hyperlink" Target="https://doi.org/10.1016/j.renene.2020.03.112" TargetMode="External"/><Relationship Id="rId43" Type="http://schemas.openxmlformats.org/officeDocument/2006/relationships/hyperlink" Target="https://doi.org/10.1016/j.biortech.2020.124450" TargetMode="External"/><Relationship Id="rId48" Type="http://schemas.openxmlformats.org/officeDocument/2006/relationships/hyperlink" Target="https://doi.org/10.1016/j.renene.2020.04.124" TargetMode="External"/><Relationship Id="rId64" Type="http://schemas.openxmlformats.org/officeDocument/2006/relationships/hyperlink" Target="https://doi.org/10.1016/j.biombioe.2019.01.035" TargetMode="External"/><Relationship Id="rId69" Type="http://schemas.openxmlformats.org/officeDocument/2006/relationships/hyperlink" Target="https://doi.org/10.1016/j.biortech.2019.122113" TargetMode="External"/><Relationship Id="rId113" Type="http://schemas.openxmlformats.org/officeDocument/2006/relationships/hyperlink" Target="https://doi.org/10.1016/j.biortech.2018.02.021" TargetMode="External"/><Relationship Id="rId118" Type="http://schemas.openxmlformats.org/officeDocument/2006/relationships/hyperlink" Target="https://doi.org/10.1016/j.biortech.2018.07.002" TargetMode="External"/><Relationship Id="rId134" Type="http://schemas.openxmlformats.org/officeDocument/2006/relationships/table" Target="../tables/table2.xml"/><Relationship Id="rId80" Type="http://schemas.openxmlformats.org/officeDocument/2006/relationships/hyperlink" Target="https://doi.org/10.1016/j.wasman.2019.04.056" TargetMode="External"/><Relationship Id="rId85" Type="http://schemas.openxmlformats.org/officeDocument/2006/relationships/hyperlink" Target="https://doi.org/10.1016/j.biortech.2017.09.098" TargetMode="External"/><Relationship Id="rId12" Type="http://schemas.openxmlformats.org/officeDocument/2006/relationships/hyperlink" Target="https://doi.org/10.1016/j.chemosphere.2021.132787" TargetMode="External"/><Relationship Id="rId17" Type="http://schemas.openxmlformats.org/officeDocument/2006/relationships/hyperlink" Target="https://doi.org/10.1016/j.renene.2021.05.112" TargetMode="External"/><Relationship Id="rId33" Type="http://schemas.openxmlformats.org/officeDocument/2006/relationships/hyperlink" Target="https://doi.org/10.1016/j.apenergy.2020.114818" TargetMode="External"/><Relationship Id="rId38" Type="http://schemas.openxmlformats.org/officeDocument/2006/relationships/hyperlink" Target="https://doi.org/10.1016/j.biortech.2021.125872" TargetMode="External"/><Relationship Id="rId59" Type="http://schemas.openxmlformats.org/officeDocument/2006/relationships/hyperlink" Target="https://doi.org/10.1016/j.enconman.2020.113218" TargetMode="External"/><Relationship Id="rId103" Type="http://schemas.openxmlformats.org/officeDocument/2006/relationships/hyperlink" Target="https://doi.org/10.1016/j.biortech.2012.09.042" TargetMode="External"/><Relationship Id="rId108" Type="http://schemas.openxmlformats.org/officeDocument/2006/relationships/hyperlink" Target="https://doi.org/10.1016/j.jestch.2016.08.015" TargetMode="External"/><Relationship Id="rId124" Type="http://schemas.openxmlformats.org/officeDocument/2006/relationships/hyperlink" Target="https://doi.org/10.1016/j.biortech.2019.121329" TargetMode="External"/><Relationship Id="rId129" Type="http://schemas.openxmlformats.org/officeDocument/2006/relationships/hyperlink" Target="https://doi.org/10.1016/j.biortech.2021.125954" TargetMode="External"/><Relationship Id="rId54" Type="http://schemas.openxmlformats.org/officeDocument/2006/relationships/hyperlink" Target="https://doi.org/10.1016/j.biortech.2022.127694" TargetMode="External"/><Relationship Id="rId70" Type="http://schemas.openxmlformats.org/officeDocument/2006/relationships/hyperlink" Target="https://doi.org/10.1016/j.chemosphere.2019.05.066" TargetMode="External"/><Relationship Id="rId75" Type="http://schemas.openxmlformats.org/officeDocument/2006/relationships/hyperlink" Target="https://doi.org/10.1016/j.biortech.2019.122653" TargetMode="External"/><Relationship Id="rId91" Type="http://schemas.openxmlformats.org/officeDocument/2006/relationships/hyperlink" Target="https://doi.org/10.1016/j.biortech.2012.05.060" TargetMode="External"/><Relationship Id="rId96" Type="http://schemas.openxmlformats.org/officeDocument/2006/relationships/hyperlink" Target="https://doi.org/10.1016/j.wasman.2020.09.009" TargetMode="External"/><Relationship Id="rId1" Type="http://schemas.openxmlformats.org/officeDocument/2006/relationships/hyperlink" Target="https://doi.org/10.1016/j.wasman.2023.06.009" TargetMode="External"/><Relationship Id="rId6" Type="http://schemas.openxmlformats.org/officeDocument/2006/relationships/hyperlink" Target="https://doi.org/10.1016/j.apenergy.2022.120136" TargetMode="External"/><Relationship Id="rId23" Type="http://schemas.openxmlformats.org/officeDocument/2006/relationships/hyperlink" Target="https://doi.org/10.1016/j.biombioe.2020.105875" TargetMode="External"/><Relationship Id="rId28" Type="http://schemas.openxmlformats.org/officeDocument/2006/relationships/hyperlink" Target="https://doi.org/10.1016/j.enconman.2021.114433" TargetMode="External"/><Relationship Id="rId49" Type="http://schemas.openxmlformats.org/officeDocument/2006/relationships/hyperlink" Target="https://doi.org/10.1016/j.ecoleng.2021.106173" TargetMode="External"/><Relationship Id="rId114" Type="http://schemas.openxmlformats.org/officeDocument/2006/relationships/hyperlink" Target="https://doi.org/10.1016/j.biortech.2016.05.110" TargetMode="External"/><Relationship Id="rId119" Type="http://schemas.openxmlformats.org/officeDocument/2006/relationships/hyperlink" Target="https://doi.org/10.1016/j.biortech.2019.121385" TargetMode="External"/><Relationship Id="rId44" Type="http://schemas.openxmlformats.org/officeDocument/2006/relationships/hyperlink" Target="https://doi.org/10.1016/j.wasman.2020.11.040" TargetMode="External"/><Relationship Id="rId60" Type="http://schemas.openxmlformats.org/officeDocument/2006/relationships/hyperlink" Target="https://doi.org/10.1016/j.biortech.2016.12.015" TargetMode="External"/><Relationship Id="rId65" Type="http://schemas.openxmlformats.org/officeDocument/2006/relationships/hyperlink" Target="https://doi.org/10.1016/j.cej.2022.140239" TargetMode="External"/><Relationship Id="rId81" Type="http://schemas.openxmlformats.org/officeDocument/2006/relationships/hyperlink" Target="https://doi.org/10.1016/j.apenergy.2018.07.088" TargetMode="External"/><Relationship Id="rId86" Type="http://schemas.openxmlformats.org/officeDocument/2006/relationships/hyperlink" Target="https://doi.org/10.1016/j.jenvman.2019.06.067" TargetMode="External"/><Relationship Id="rId130" Type="http://schemas.openxmlformats.org/officeDocument/2006/relationships/hyperlink" Target="https://doi.org/10.1016/j.scitotenv.2022.156494" TargetMode="External"/><Relationship Id="rId13" Type="http://schemas.openxmlformats.org/officeDocument/2006/relationships/hyperlink" Target="https://doi.org/10.1016/j.biortech.2022.126968" TargetMode="External"/><Relationship Id="rId18" Type="http://schemas.openxmlformats.org/officeDocument/2006/relationships/hyperlink" Target="https://doi.org/10.1016/j.wasman.2019.09.009" TargetMode="External"/><Relationship Id="rId39" Type="http://schemas.openxmlformats.org/officeDocument/2006/relationships/hyperlink" Target="https://doi.org/10.1016/j.biteb.2021.100720" TargetMode="External"/><Relationship Id="rId109" Type="http://schemas.openxmlformats.org/officeDocument/2006/relationships/hyperlink" Target="https://doi.org/10.1016/j.biortech.2015.01.118" TargetMode="External"/><Relationship Id="rId34" Type="http://schemas.openxmlformats.org/officeDocument/2006/relationships/hyperlink" Target="https://doi.org/10.1016/j.renene.2022.01.049" TargetMode="External"/><Relationship Id="rId50" Type="http://schemas.openxmlformats.org/officeDocument/2006/relationships/hyperlink" Target="https://doi.org/10.1016/j.enconman.2023.116864" TargetMode="External"/><Relationship Id="rId55" Type="http://schemas.openxmlformats.org/officeDocument/2006/relationships/hyperlink" Target="https://doi.org/10.1016/j.wasman.2021.07.023" TargetMode="External"/><Relationship Id="rId76" Type="http://schemas.openxmlformats.org/officeDocument/2006/relationships/hyperlink" Target="https://doi.org/10.1016/j.biortech.2019.121347" TargetMode="External"/><Relationship Id="rId97" Type="http://schemas.openxmlformats.org/officeDocument/2006/relationships/hyperlink" Target="https://doi.org/10.1016/j.biortech.2015.06.115" TargetMode="External"/><Relationship Id="rId104" Type="http://schemas.openxmlformats.org/officeDocument/2006/relationships/hyperlink" Target="https://doi.org/10.1016/j.biortech.2012.01.093" TargetMode="External"/><Relationship Id="rId120" Type="http://schemas.openxmlformats.org/officeDocument/2006/relationships/hyperlink" Target="https://doi.org/10.1016/j.enconman.2018.01.003" TargetMode="External"/><Relationship Id="rId125" Type="http://schemas.openxmlformats.org/officeDocument/2006/relationships/hyperlink" Target="https://doi.org/10.1016/j.wasman.2018.05.022" TargetMode="External"/><Relationship Id="rId7" Type="http://schemas.openxmlformats.org/officeDocument/2006/relationships/hyperlink" Target="https://doi.org/10.1016/j.jenvman.2023.119132" TargetMode="External"/><Relationship Id="rId71" Type="http://schemas.openxmlformats.org/officeDocument/2006/relationships/hyperlink" Target="https://doi.org/10.1016/j.biortech.2018.02.127" TargetMode="External"/><Relationship Id="rId92" Type="http://schemas.openxmlformats.org/officeDocument/2006/relationships/hyperlink" Target="https://doi.org/10.1016/j.biortech.2019.02.130" TargetMode="External"/><Relationship Id="rId2" Type="http://schemas.openxmlformats.org/officeDocument/2006/relationships/hyperlink" Target="https://doi.org/10.1016/j.jenvman.2023.118612" TargetMode="External"/><Relationship Id="rId29" Type="http://schemas.openxmlformats.org/officeDocument/2006/relationships/hyperlink" Target="https://doi.org/10.1016/j.biortech.2020.123395" TargetMode="External"/><Relationship Id="rId24" Type="http://schemas.openxmlformats.org/officeDocument/2006/relationships/hyperlink" Target="https://doi.org/10.1016/j.gce.2023.08.004" TargetMode="External"/><Relationship Id="rId40" Type="http://schemas.openxmlformats.org/officeDocument/2006/relationships/hyperlink" Target="https://doi.org/10.1016/j.biortech.2021.126009" TargetMode="External"/><Relationship Id="rId45" Type="http://schemas.openxmlformats.org/officeDocument/2006/relationships/hyperlink" Target="https://doi.org/10.1016/j.biortech.2020.124410" TargetMode="External"/><Relationship Id="rId66" Type="http://schemas.openxmlformats.org/officeDocument/2006/relationships/hyperlink" Target="https://doi.org/10.1016/j.jece.2021.106604" TargetMode="External"/><Relationship Id="rId87" Type="http://schemas.openxmlformats.org/officeDocument/2006/relationships/hyperlink" Target="https://doi.org/10.1016/j.biortech.2017.09.072" TargetMode="External"/><Relationship Id="rId110" Type="http://schemas.openxmlformats.org/officeDocument/2006/relationships/hyperlink" Target="https://doi.org/10.1016/j.biortech.2017.06.117" TargetMode="External"/><Relationship Id="rId115" Type="http://schemas.openxmlformats.org/officeDocument/2006/relationships/hyperlink" Target="https://doi.org/10.1016/j.wasman.2015.04.016" TargetMode="External"/><Relationship Id="rId131" Type="http://schemas.openxmlformats.org/officeDocument/2006/relationships/hyperlink" Target="https://doi.org/10.1016/j.apenergy.2020.115264" TargetMode="External"/><Relationship Id="rId61" Type="http://schemas.openxmlformats.org/officeDocument/2006/relationships/hyperlink" Target="https://doi.org/10.1016/j.chemosphere.2021.133209" TargetMode="External"/><Relationship Id="rId82" Type="http://schemas.openxmlformats.org/officeDocument/2006/relationships/hyperlink" Target="https://doi.org/10.1016/j.biortech.2021.125972" TargetMode="External"/><Relationship Id="rId19" Type="http://schemas.openxmlformats.org/officeDocument/2006/relationships/hyperlink" Target="https://doi.org/10.1007/s13399-015-0163-9" TargetMode="External"/><Relationship Id="rId14" Type="http://schemas.openxmlformats.org/officeDocument/2006/relationships/hyperlink" Target="https://doi.org/10.1016/j.wasman.2022.07.009" TargetMode="External"/><Relationship Id="rId30" Type="http://schemas.openxmlformats.org/officeDocument/2006/relationships/hyperlink" Target="https://doi.org/10.1016/j.biteb.2021.100691" TargetMode="External"/><Relationship Id="rId35" Type="http://schemas.openxmlformats.org/officeDocument/2006/relationships/hyperlink" Target="https://doi.org/10.1016/j.renene.2020.05.021" TargetMode="External"/><Relationship Id="rId56" Type="http://schemas.openxmlformats.org/officeDocument/2006/relationships/hyperlink" Target="https://doi.org/10.1016/j.biortech.2022.127258" TargetMode="External"/><Relationship Id="rId77" Type="http://schemas.openxmlformats.org/officeDocument/2006/relationships/hyperlink" Target="https://doi.org/10.1016/j.energy.2020.117717" TargetMode="External"/><Relationship Id="rId100" Type="http://schemas.openxmlformats.org/officeDocument/2006/relationships/hyperlink" Target="https://doi.org/10.1016/j.apenergy.2013.04.084" TargetMode="External"/><Relationship Id="rId105" Type="http://schemas.openxmlformats.org/officeDocument/2006/relationships/hyperlink" Target="https://doi.org/10.1016/j.fuproc.2017.08.016" TargetMode="External"/><Relationship Id="rId126" Type="http://schemas.openxmlformats.org/officeDocument/2006/relationships/hyperlink" Target="https://doi.org/10.1016/j.enconman.2013.11.026" TargetMode="External"/><Relationship Id="rId8" Type="http://schemas.openxmlformats.org/officeDocument/2006/relationships/hyperlink" Target="https://doi.org/10.1016/j.indcrop.2022.115891" TargetMode="External"/><Relationship Id="rId51" Type="http://schemas.openxmlformats.org/officeDocument/2006/relationships/hyperlink" Target="https://doi.org/10.1016/j.renene.2020.07.003" TargetMode="External"/><Relationship Id="rId72" Type="http://schemas.openxmlformats.org/officeDocument/2006/relationships/hyperlink" Target="https://doi.org/10.1016/j.biortech.2016.08.098" TargetMode="External"/><Relationship Id="rId93" Type="http://schemas.openxmlformats.org/officeDocument/2006/relationships/hyperlink" Target="https://doi.org/10.1016/j.biortech.2017.04.012" TargetMode="External"/><Relationship Id="rId98" Type="http://schemas.openxmlformats.org/officeDocument/2006/relationships/hyperlink" Target="https://doi.org/10.1016/j.applthermaleng.2015.08.064" TargetMode="External"/><Relationship Id="rId121" Type="http://schemas.openxmlformats.org/officeDocument/2006/relationships/hyperlink" Target="https://doi.org/10.1016/j.biortech.2019.122117" TargetMode="External"/><Relationship Id="rId3" Type="http://schemas.openxmlformats.org/officeDocument/2006/relationships/hyperlink" Target="https://doi.org/10.1016/j.wasman.2023.07.004" TargetMode="External"/><Relationship Id="rId25" Type="http://schemas.openxmlformats.org/officeDocument/2006/relationships/hyperlink" Target="https://doi.org/10.1016/j.wasman.2022.07.029" TargetMode="External"/><Relationship Id="rId46" Type="http://schemas.openxmlformats.org/officeDocument/2006/relationships/hyperlink" Target="https://doi.org/10.1016/j.biortech.2020.123148" TargetMode="External"/><Relationship Id="rId67" Type="http://schemas.openxmlformats.org/officeDocument/2006/relationships/hyperlink" Target="https://doi.org/10.1016/j.enconman.2020.113353" TargetMode="External"/><Relationship Id="rId116" Type="http://schemas.openxmlformats.org/officeDocument/2006/relationships/hyperlink" Target="https://doi.org/10.1016/j.egyr.2019.11.050" TargetMode="External"/><Relationship Id="rId20" Type="http://schemas.openxmlformats.org/officeDocument/2006/relationships/hyperlink" Target="https://doi.org/10.1016/j.biortech.2021.126395" TargetMode="External"/><Relationship Id="rId41" Type="http://schemas.openxmlformats.org/officeDocument/2006/relationships/hyperlink" Target="https://doi.org/10.1016/j.biortech.2021.125164" TargetMode="External"/><Relationship Id="rId62" Type="http://schemas.openxmlformats.org/officeDocument/2006/relationships/hyperlink" Target="https://doi.org/10.1016/j.jenvman.2017.06.018" TargetMode="External"/><Relationship Id="rId83" Type="http://schemas.openxmlformats.org/officeDocument/2006/relationships/hyperlink" Target="https://doi.org/10.1016/j.biortech.2017.10.096" TargetMode="External"/><Relationship Id="rId88" Type="http://schemas.openxmlformats.org/officeDocument/2006/relationships/hyperlink" Target="https://doi.org/10.1016/j.apenergy.2019.02.050" TargetMode="External"/><Relationship Id="rId111" Type="http://schemas.openxmlformats.org/officeDocument/2006/relationships/hyperlink" Target="https://doi.org/10.1016/j.biortech.2016.08.027" TargetMode="External"/><Relationship Id="rId132" Type="http://schemas.openxmlformats.org/officeDocument/2006/relationships/hyperlink" Target="https://doi.org/10.1016/j.biortech.2021.124976" TargetMode="External"/><Relationship Id="rId15" Type="http://schemas.openxmlformats.org/officeDocument/2006/relationships/hyperlink" Target="https://doi.org/10.1016/j.scitotenv.2023.163104" TargetMode="External"/><Relationship Id="rId36" Type="http://schemas.openxmlformats.org/officeDocument/2006/relationships/hyperlink" Target="https://doi.org/10.1016/j.biombioe.2024.107130" TargetMode="External"/><Relationship Id="rId57" Type="http://schemas.openxmlformats.org/officeDocument/2006/relationships/hyperlink" Target="https://doi.org/10.1016/j.biortech.2021.125110" TargetMode="External"/><Relationship Id="rId106" Type="http://schemas.openxmlformats.org/officeDocument/2006/relationships/hyperlink" Target="https://doi.org/10.1016/j.enconman.2015.08.031" TargetMode="External"/><Relationship Id="rId127" Type="http://schemas.openxmlformats.org/officeDocument/2006/relationships/hyperlink" Target="https://doi.org/10.1016/j.biortech.2017.10.046" TargetMode="External"/><Relationship Id="rId10" Type="http://schemas.openxmlformats.org/officeDocument/2006/relationships/hyperlink" Target="https://doi.org/10.1016/j.egyr.2022.10.183" TargetMode="External"/><Relationship Id="rId31" Type="http://schemas.openxmlformats.org/officeDocument/2006/relationships/hyperlink" Target="https://doi.org/10.1016/j.csite.2021.101255" TargetMode="External"/><Relationship Id="rId52" Type="http://schemas.openxmlformats.org/officeDocument/2006/relationships/hyperlink" Target="https://doi.org/10.1016/j.biortech.2016.01.068" TargetMode="External"/><Relationship Id="rId73" Type="http://schemas.openxmlformats.org/officeDocument/2006/relationships/hyperlink" Target="https://doi.org/10.1016/j.wasman.2020.07.026" TargetMode="External"/><Relationship Id="rId78" Type="http://schemas.openxmlformats.org/officeDocument/2006/relationships/hyperlink" Target="https://doi.org/10.1016/j.biortech.2021.126395" TargetMode="External"/><Relationship Id="rId94" Type="http://schemas.openxmlformats.org/officeDocument/2006/relationships/hyperlink" Target="https://doi.org/10.1016/j.wasman.2015.05.013" TargetMode="External"/><Relationship Id="rId99" Type="http://schemas.openxmlformats.org/officeDocument/2006/relationships/hyperlink" Target="https://doi.org/10.1016/j.biortech.2016.08.071" TargetMode="External"/><Relationship Id="rId101" Type="http://schemas.openxmlformats.org/officeDocument/2006/relationships/hyperlink" Target="https://doi.org/10.1016/j.jenvman.2020.110067" TargetMode="External"/><Relationship Id="rId122" Type="http://schemas.openxmlformats.org/officeDocument/2006/relationships/hyperlink" Target="https://doi.org/10.1016/j.biortech.2018.06.084" TargetMode="External"/><Relationship Id="rId4" Type="http://schemas.openxmlformats.org/officeDocument/2006/relationships/hyperlink" Target="https://doi.org/10.1016/j.wasman.2023.11.039" TargetMode="External"/><Relationship Id="rId9" Type="http://schemas.openxmlformats.org/officeDocument/2006/relationships/hyperlink" Target="https://doi.org/10.1016/j.proci.2022.07.184" TargetMode="External"/><Relationship Id="rId26" Type="http://schemas.openxmlformats.org/officeDocument/2006/relationships/hyperlink" Target="https://doi.org/10.1016/j.biteb.2022.101276" TargetMode="External"/><Relationship Id="rId47" Type="http://schemas.openxmlformats.org/officeDocument/2006/relationships/hyperlink" Target="https://doi.org/10.1016/j.wasman.2020.03.004" TargetMode="External"/><Relationship Id="rId68" Type="http://schemas.openxmlformats.org/officeDocument/2006/relationships/hyperlink" Target="https://doi.org/10.1016/j.biortech.2019.121959" TargetMode="External"/><Relationship Id="rId89" Type="http://schemas.openxmlformats.org/officeDocument/2006/relationships/hyperlink" Target="https://doi.org/10.1016/j.applthermaleng.2020.116232" TargetMode="External"/><Relationship Id="rId112" Type="http://schemas.openxmlformats.org/officeDocument/2006/relationships/hyperlink" Target="https://doi.org/10.1016/j.biortech.2017.09.076" TargetMode="External"/><Relationship Id="rId133" Type="http://schemas.openxmlformats.org/officeDocument/2006/relationships/hyperlink" Target="https://doi.org/10.1016/j.biteb.2020.100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EF44-D0A0-48A3-BA7C-E9CC3EBBDBB4}">
  <sheetPr codeName="Sheet1"/>
  <dimension ref="A1:AQ1092"/>
  <sheetViews>
    <sheetView tabSelected="1" zoomScale="70" zoomScaleNormal="70" workbookViewId="0">
      <pane xSplit="2" ySplit="1" topLeftCell="C262" activePane="bottomRight" state="frozen"/>
      <selection pane="topRight" activeCell="C1" sqref="C1"/>
      <selection pane="bottomLeft" activeCell="A2" sqref="A2"/>
      <selection pane="bottomRight" activeCell="AP280" sqref="AP280"/>
    </sheetView>
  </sheetViews>
  <sheetFormatPr defaultRowHeight="15.75" x14ac:dyDescent="0.5"/>
  <cols>
    <col min="1" max="1" width="11.4375" bestFit="1" customWidth="1"/>
    <col min="2" max="2" width="9.4375" bestFit="1" customWidth="1"/>
    <col min="3" max="3" width="15.5" bestFit="1" customWidth="1"/>
    <col min="4" max="4" width="18.9375" bestFit="1" customWidth="1"/>
    <col min="5" max="5" width="17.8125" bestFit="1" customWidth="1"/>
    <col min="6" max="6" width="11" bestFit="1" customWidth="1"/>
    <col min="7" max="7" width="11.6875" bestFit="1" customWidth="1"/>
    <col min="8" max="8" width="11.5" bestFit="1" customWidth="1"/>
    <col min="9" max="9" width="9.4375" bestFit="1" customWidth="1"/>
    <col min="10" max="10" width="16.8125" bestFit="1" customWidth="1"/>
    <col min="11" max="11" width="5.6875" bestFit="1" customWidth="1"/>
    <col min="12" max="12" width="10.4375" bestFit="1" customWidth="1"/>
    <col min="13" max="13" width="5.6875" bestFit="1" customWidth="1"/>
    <col min="14" max="14" width="8.6875" bestFit="1" customWidth="1"/>
    <col min="15" max="15" width="8.375" bestFit="1" customWidth="1"/>
    <col min="16" max="16" width="7.4375" bestFit="1" customWidth="1"/>
    <col min="17" max="17" width="7" bestFit="1" customWidth="1"/>
    <col min="18" max="18" width="7.1875" bestFit="1" customWidth="1"/>
    <col min="19" max="19" width="7.25" bestFit="1" customWidth="1"/>
    <col min="20" max="20" width="7.3125" bestFit="1" customWidth="1"/>
    <col min="21" max="21" width="6.875" bestFit="1" customWidth="1"/>
    <col min="22" max="23" width="11.6875" bestFit="1" customWidth="1"/>
    <col min="24" max="24" width="6.3125" bestFit="1" customWidth="1"/>
    <col min="25" max="25" width="13.1875" bestFit="1" customWidth="1"/>
    <col min="26" max="26" width="7.5625" bestFit="1" customWidth="1"/>
    <col min="27" max="27" width="7.75" bestFit="1" customWidth="1"/>
    <col min="28" max="28" width="7.8125" bestFit="1" customWidth="1"/>
    <col min="29" max="29" width="7.875" bestFit="1" customWidth="1"/>
    <col min="30" max="30" width="7.4375" bestFit="1" customWidth="1"/>
    <col min="31" max="32" width="11.6875" bestFit="1" customWidth="1"/>
    <col min="33" max="33" width="6.875" bestFit="1" customWidth="1"/>
    <col min="34" max="34" width="13.75" bestFit="1" customWidth="1"/>
    <col min="35" max="35" width="12.6875" bestFit="1" customWidth="1"/>
    <col min="36" max="36" width="46.3125" bestFit="1" customWidth="1"/>
  </cols>
  <sheetData>
    <row r="1" spans="1:3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24</v>
      </c>
      <c r="O1" t="s">
        <v>21</v>
      </c>
      <c r="P1" t="s">
        <v>22</v>
      </c>
      <c r="Q1" t="s">
        <v>10</v>
      </c>
      <c r="R1" t="s">
        <v>11</v>
      </c>
      <c r="S1" t="s">
        <v>12</v>
      </c>
      <c r="T1" t="s">
        <v>13</v>
      </c>
      <c r="U1" t="s">
        <v>23</v>
      </c>
      <c r="V1" t="s">
        <v>14</v>
      </c>
      <c r="W1" t="s">
        <v>15</v>
      </c>
      <c r="X1" t="s">
        <v>32</v>
      </c>
      <c r="Y1" t="s">
        <v>31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16</v>
      </c>
      <c r="AI1" t="s">
        <v>20</v>
      </c>
      <c r="AJ1" t="s">
        <v>25</v>
      </c>
    </row>
    <row r="2" spans="1:36" x14ac:dyDescent="0.5">
      <c r="A2">
        <v>60</v>
      </c>
      <c r="B2">
        <v>190</v>
      </c>
      <c r="C2">
        <v>0.1</v>
      </c>
      <c r="D2">
        <v>150</v>
      </c>
      <c r="E2">
        <v>1000</v>
      </c>
      <c r="F2">
        <v>300</v>
      </c>
      <c r="G2">
        <v>2</v>
      </c>
      <c r="O2">
        <v>84.8</v>
      </c>
      <c r="P2">
        <v>13.8</v>
      </c>
      <c r="Q2">
        <v>53.9</v>
      </c>
      <c r="R2">
        <v>8.9</v>
      </c>
      <c r="S2">
        <v>1.7</v>
      </c>
      <c r="T2">
        <v>33.700000000000003</v>
      </c>
      <c r="U2">
        <v>0.4</v>
      </c>
      <c r="V2">
        <v>1.9814471243042675</v>
      </c>
      <c r="W2">
        <v>0.46892393320964759</v>
      </c>
      <c r="X2">
        <v>1.4</v>
      </c>
      <c r="Y2">
        <v>26</v>
      </c>
      <c r="Z2">
        <v>72.7</v>
      </c>
      <c r="AA2">
        <v>10.3</v>
      </c>
      <c r="AB2">
        <v>1.9</v>
      </c>
      <c r="AC2">
        <v>12.6</v>
      </c>
      <c r="AD2">
        <v>0.2</v>
      </c>
      <c r="AE2">
        <v>1.7001375515818433</v>
      </c>
      <c r="AF2">
        <v>0.12998624484181567</v>
      </c>
      <c r="AG2">
        <v>2.4</v>
      </c>
      <c r="AH2">
        <v>35.200000000000003</v>
      </c>
      <c r="AI2">
        <v>58</v>
      </c>
      <c r="AJ2" s="2" t="s">
        <v>27</v>
      </c>
    </row>
    <row r="3" spans="1:36" x14ac:dyDescent="0.5">
      <c r="A3">
        <v>60</v>
      </c>
      <c r="B3">
        <v>220</v>
      </c>
      <c r="C3">
        <v>0.1</v>
      </c>
      <c r="D3">
        <v>150</v>
      </c>
      <c r="E3">
        <v>1000</v>
      </c>
      <c r="F3">
        <v>300</v>
      </c>
      <c r="G3">
        <v>2</v>
      </c>
      <c r="O3">
        <v>84.8</v>
      </c>
      <c r="P3">
        <v>13.8</v>
      </c>
      <c r="Q3">
        <v>53.9</v>
      </c>
      <c r="R3">
        <v>8.9</v>
      </c>
      <c r="S3">
        <v>1.7</v>
      </c>
      <c r="T3">
        <v>33.700000000000003</v>
      </c>
      <c r="U3">
        <v>0.4</v>
      </c>
      <c r="V3">
        <v>1.9814471243042675</v>
      </c>
      <c r="W3">
        <v>0.46892393320964759</v>
      </c>
      <c r="X3">
        <v>1.4</v>
      </c>
      <c r="Y3">
        <v>26</v>
      </c>
      <c r="Z3">
        <v>73.5</v>
      </c>
      <c r="AA3">
        <v>9.6999999999999993</v>
      </c>
      <c r="AB3">
        <v>1.8</v>
      </c>
      <c r="AC3">
        <v>13.2</v>
      </c>
      <c r="AD3">
        <v>0.2</v>
      </c>
      <c r="AE3">
        <v>1.583673469387755</v>
      </c>
      <c r="AF3">
        <v>0.13469387755102041</v>
      </c>
      <c r="AG3">
        <v>1.5</v>
      </c>
      <c r="AH3">
        <v>35.200000000000003</v>
      </c>
      <c r="AI3">
        <v>65</v>
      </c>
    </row>
    <row r="4" spans="1:36" x14ac:dyDescent="0.5">
      <c r="A4">
        <v>60</v>
      </c>
      <c r="B4">
        <v>250</v>
      </c>
      <c r="C4">
        <v>0.1</v>
      </c>
      <c r="D4">
        <v>150</v>
      </c>
      <c r="E4">
        <v>1000</v>
      </c>
      <c r="F4">
        <v>300</v>
      </c>
      <c r="G4">
        <v>2</v>
      </c>
      <c r="O4">
        <v>84.8</v>
      </c>
      <c r="P4">
        <v>13.8</v>
      </c>
      <c r="Q4">
        <v>53.9</v>
      </c>
      <c r="R4">
        <v>8.9</v>
      </c>
      <c r="S4">
        <v>1.7</v>
      </c>
      <c r="T4">
        <v>33.700000000000003</v>
      </c>
      <c r="U4">
        <v>0.4</v>
      </c>
      <c r="V4">
        <v>1.9814471243042675</v>
      </c>
      <c r="W4">
        <v>0.46892393320964759</v>
      </c>
      <c r="X4">
        <v>1.4</v>
      </c>
      <c r="Y4">
        <v>26</v>
      </c>
      <c r="Z4">
        <v>74.400000000000006</v>
      </c>
      <c r="AA4">
        <v>9.9</v>
      </c>
      <c r="AB4">
        <v>1.9</v>
      </c>
      <c r="AC4">
        <v>10.8</v>
      </c>
      <c r="AD4">
        <v>0.2</v>
      </c>
      <c r="AE4">
        <v>1.596774193548387</v>
      </c>
      <c r="AF4">
        <v>0.10887096774193548</v>
      </c>
      <c r="AG4">
        <v>2.9</v>
      </c>
      <c r="AH4">
        <v>35.6</v>
      </c>
      <c r="AI4">
        <v>65</v>
      </c>
    </row>
    <row r="5" spans="1:36" x14ac:dyDescent="0.5">
      <c r="A5">
        <v>60</v>
      </c>
      <c r="B5">
        <v>280</v>
      </c>
      <c r="C5">
        <v>0.1</v>
      </c>
      <c r="D5">
        <v>150</v>
      </c>
      <c r="E5">
        <v>1000</v>
      </c>
      <c r="F5">
        <v>300</v>
      </c>
      <c r="G5">
        <v>2</v>
      </c>
      <c r="O5">
        <v>84.8</v>
      </c>
      <c r="P5">
        <v>13.8</v>
      </c>
      <c r="Q5">
        <v>53.9</v>
      </c>
      <c r="R5">
        <v>8.9</v>
      </c>
      <c r="S5">
        <v>1.7</v>
      </c>
      <c r="T5">
        <v>33.700000000000003</v>
      </c>
      <c r="U5">
        <v>0.4</v>
      </c>
      <c r="V5">
        <v>1.9814471243042675</v>
      </c>
      <c r="W5">
        <v>0.46892393320964759</v>
      </c>
      <c r="X5">
        <v>1.4</v>
      </c>
      <c r="Y5">
        <v>26</v>
      </c>
      <c r="Z5">
        <v>76.099999999999994</v>
      </c>
      <c r="AA5">
        <v>9.9</v>
      </c>
      <c r="AB5">
        <v>2</v>
      </c>
      <c r="AC5">
        <v>9.6999999999999993</v>
      </c>
      <c r="AD5">
        <v>0.1</v>
      </c>
      <c r="AE5">
        <v>1.5611038107752959</v>
      </c>
      <c r="AF5">
        <v>9.5597897503285151E-2</v>
      </c>
      <c r="AG5">
        <v>2.1</v>
      </c>
      <c r="AH5">
        <v>36.1</v>
      </c>
      <c r="AI5">
        <v>63</v>
      </c>
    </row>
    <row r="6" spans="1:36" x14ac:dyDescent="0.5">
      <c r="A6">
        <v>60</v>
      </c>
      <c r="B6">
        <v>310</v>
      </c>
      <c r="C6">
        <v>0.1</v>
      </c>
      <c r="D6">
        <v>150</v>
      </c>
      <c r="E6">
        <v>1000</v>
      </c>
      <c r="F6">
        <v>300</v>
      </c>
      <c r="G6">
        <v>2</v>
      </c>
      <c r="O6">
        <v>84.8</v>
      </c>
      <c r="P6">
        <v>13.8</v>
      </c>
      <c r="Q6">
        <v>53.9</v>
      </c>
      <c r="R6">
        <v>8.9</v>
      </c>
      <c r="S6">
        <v>1.7</v>
      </c>
      <c r="T6">
        <v>33.700000000000003</v>
      </c>
      <c r="U6">
        <v>0.4</v>
      </c>
      <c r="V6">
        <v>1.9814471243042675</v>
      </c>
      <c r="W6">
        <v>0.46892393320964759</v>
      </c>
      <c r="X6">
        <v>1.4</v>
      </c>
      <c r="Y6">
        <v>26</v>
      </c>
      <c r="Z6">
        <v>77.400000000000006</v>
      </c>
      <c r="AA6">
        <v>10.199999999999999</v>
      </c>
      <c r="AB6">
        <v>2</v>
      </c>
      <c r="AC6">
        <v>7.1</v>
      </c>
      <c r="AD6">
        <v>0.1</v>
      </c>
      <c r="AE6">
        <v>1.5813953488372092</v>
      </c>
      <c r="AF6">
        <v>6.8798449612403098E-2</v>
      </c>
      <c r="AG6">
        <v>3.3</v>
      </c>
      <c r="AH6">
        <v>36.700000000000003</v>
      </c>
      <c r="AI6">
        <v>60</v>
      </c>
    </row>
    <row r="7" spans="1:36" x14ac:dyDescent="0.5">
      <c r="A7">
        <v>60</v>
      </c>
      <c r="B7">
        <v>340</v>
      </c>
      <c r="C7">
        <v>0.1</v>
      </c>
      <c r="D7">
        <v>150</v>
      </c>
      <c r="E7">
        <v>1000</v>
      </c>
      <c r="F7">
        <v>300</v>
      </c>
      <c r="G7">
        <v>2</v>
      </c>
      <c r="O7">
        <v>84.8</v>
      </c>
      <c r="P7">
        <v>13.8</v>
      </c>
      <c r="Q7">
        <v>53.9</v>
      </c>
      <c r="R7">
        <v>8.9</v>
      </c>
      <c r="S7">
        <v>1.7</v>
      </c>
      <c r="T7">
        <v>33.700000000000003</v>
      </c>
      <c r="U7">
        <v>0.4</v>
      </c>
      <c r="V7">
        <v>1.9814471243042675</v>
      </c>
      <c r="W7">
        <v>0.46892393320964759</v>
      </c>
      <c r="X7">
        <v>1.4</v>
      </c>
      <c r="Y7">
        <v>26</v>
      </c>
      <c r="Z7">
        <v>77.599999999999994</v>
      </c>
      <c r="AA7">
        <v>10.199999999999999</v>
      </c>
      <c r="AB7">
        <v>2</v>
      </c>
      <c r="AC7">
        <v>8.5</v>
      </c>
      <c r="AD7">
        <v>0.1</v>
      </c>
      <c r="AE7">
        <v>1.5773195876288661</v>
      </c>
      <c r="AF7">
        <v>8.2152061855670117E-2</v>
      </c>
      <c r="AG7">
        <v>1.5</v>
      </c>
      <c r="AH7">
        <v>37.1</v>
      </c>
      <c r="AI7">
        <v>61</v>
      </c>
    </row>
    <row r="8" spans="1:36" x14ac:dyDescent="0.5">
      <c r="A8">
        <v>120</v>
      </c>
      <c r="B8">
        <v>150</v>
      </c>
      <c r="C8">
        <v>0.1</v>
      </c>
      <c r="D8">
        <v>10</v>
      </c>
      <c r="E8">
        <v>150</v>
      </c>
      <c r="F8">
        <v>90</v>
      </c>
      <c r="G8">
        <v>9</v>
      </c>
      <c r="K8">
        <v>22.65</v>
      </c>
      <c r="L8">
        <v>49.35</v>
      </c>
      <c r="M8">
        <v>15.37</v>
      </c>
      <c r="N8">
        <v>14.54</v>
      </c>
      <c r="Q8">
        <v>43.67</v>
      </c>
      <c r="R8">
        <v>6.17</v>
      </c>
      <c r="S8">
        <v>1.4</v>
      </c>
      <c r="T8">
        <v>47.26</v>
      </c>
      <c r="U8">
        <v>0.09</v>
      </c>
      <c r="V8">
        <v>1.6954430959468743</v>
      </c>
      <c r="W8">
        <v>0.8116555988092512</v>
      </c>
      <c r="X8">
        <v>2.8</v>
      </c>
      <c r="Y8">
        <v>15.135310000000002</v>
      </c>
      <c r="Z8">
        <v>50.36</v>
      </c>
      <c r="AA8">
        <v>4.97</v>
      </c>
      <c r="AB8">
        <v>2.71</v>
      </c>
      <c r="AC8">
        <v>41.04</v>
      </c>
      <c r="AD8">
        <v>0.12</v>
      </c>
      <c r="AE8">
        <v>1.1842732327243846</v>
      </c>
      <c r="AF8">
        <v>0.61119936457505963</v>
      </c>
      <c r="AG8">
        <v>0.8</v>
      </c>
      <c r="AH8">
        <v>19.14</v>
      </c>
      <c r="AI8">
        <v>13.22</v>
      </c>
      <c r="AJ8" s="2" t="s">
        <v>29</v>
      </c>
    </row>
    <row r="9" spans="1:36" x14ac:dyDescent="0.5">
      <c r="A9">
        <v>240</v>
      </c>
      <c r="B9">
        <v>150</v>
      </c>
      <c r="C9">
        <v>0.1</v>
      </c>
      <c r="D9">
        <v>10</v>
      </c>
      <c r="E9">
        <v>150</v>
      </c>
      <c r="F9">
        <v>90</v>
      </c>
      <c r="G9">
        <v>9</v>
      </c>
      <c r="K9">
        <v>22.65</v>
      </c>
      <c r="L9">
        <v>49.35</v>
      </c>
      <c r="M9">
        <v>15.37</v>
      </c>
      <c r="N9">
        <v>14.54</v>
      </c>
      <c r="Q9">
        <v>43.67</v>
      </c>
      <c r="R9">
        <v>6.17</v>
      </c>
      <c r="S9">
        <v>1.4</v>
      </c>
      <c r="T9">
        <v>47.26</v>
      </c>
      <c r="U9">
        <v>0.09</v>
      </c>
      <c r="V9">
        <v>1.6954430959468743</v>
      </c>
      <c r="W9">
        <v>0.8116555988092512</v>
      </c>
      <c r="X9">
        <v>2.8</v>
      </c>
      <c r="Y9">
        <v>15.135310000000002</v>
      </c>
      <c r="Z9">
        <v>54.25</v>
      </c>
      <c r="AA9">
        <v>4.97</v>
      </c>
      <c r="AB9">
        <v>2.54</v>
      </c>
      <c r="AC9">
        <v>37.36</v>
      </c>
      <c r="AD9">
        <v>0.1</v>
      </c>
      <c r="AE9">
        <v>1.0993548387096774</v>
      </c>
      <c r="AF9">
        <v>0.51649769585253458</v>
      </c>
      <c r="AG9">
        <v>0.78</v>
      </c>
      <c r="AH9">
        <v>20.88</v>
      </c>
      <c r="AI9">
        <v>14.98</v>
      </c>
    </row>
    <row r="10" spans="1:36" x14ac:dyDescent="0.5">
      <c r="A10">
        <v>360</v>
      </c>
      <c r="B10">
        <v>150</v>
      </c>
      <c r="C10">
        <v>0.1</v>
      </c>
      <c r="D10">
        <v>10</v>
      </c>
      <c r="E10">
        <v>150</v>
      </c>
      <c r="F10">
        <v>90</v>
      </c>
      <c r="G10">
        <v>9</v>
      </c>
      <c r="K10">
        <v>22.65</v>
      </c>
      <c r="L10">
        <v>49.35</v>
      </c>
      <c r="M10">
        <v>15.37</v>
      </c>
      <c r="N10">
        <v>14.54</v>
      </c>
      <c r="Q10">
        <v>43.67</v>
      </c>
      <c r="R10">
        <v>6.17</v>
      </c>
      <c r="S10">
        <v>1.4</v>
      </c>
      <c r="T10">
        <v>47.26</v>
      </c>
      <c r="U10">
        <v>0.09</v>
      </c>
      <c r="V10">
        <v>1.6954430959468743</v>
      </c>
      <c r="W10">
        <v>0.8116555988092512</v>
      </c>
      <c r="X10">
        <v>2.8</v>
      </c>
      <c r="Y10">
        <v>15.135310000000002</v>
      </c>
      <c r="Z10">
        <v>57.52</v>
      </c>
      <c r="AA10">
        <v>4.97</v>
      </c>
      <c r="AB10">
        <v>2.42</v>
      </c>
      <c r="AC10">
        <v>34.4</v>
      </c>
      <c r="AD10">
        <v>0.09</v>
      </c>
      <c r="AE10">
        <v>1.036856745479833</v>
      </c>
      <c r="AF10">
        <v>0.44853963838664807</v>
      </c>
      <c r="AG10">
        <v>0.6</v>
      </c>
      <c r="AH10">
        <v>22.33</v>
      </c>
      <c r="AI10">
        <v>17.61</v>
      </c>
    </row>
    <row r="11" spans="1:36" x14ac:dyDescent="0.5">
      <c r="A11">
        <v>120</v>
      </c>
      <c r="B11">
        <v>200</v>
      </c>
      <c r="C11">
        <v>0.1</v>
      </c>
      <c r="D11">
        <v>10</v>
      </c>
      <c r="E11">
        <v>150</v>
      </c>
      <c r="F11">
        <v>90</v>
      </c>
      <c r="G11">
        <v>9</v>
      </c>
      <c r="K11">
        <v>22.65</v>
      </c>
      <c r="L11">
        <v>49.35</v>
      </c>
      <c r="M11">
        <v>15.37</v>
      </c>
      <c r="N11">
        <v>14.54</v>
      </c>
      <c r="Q11">
        <v>43.67</v>
      </c>
      <c r="R11">
        <v>6.17</v>
      </c>
      <c r="S11">
        <v>1.4</v>
      </c>
      <c r="T11">
        <v>47.26</v>
      </c>
      <c r="U11">
        <v>0.09</v>
      </c>
      <c r="V11">
        <v>1.6954430959468743</v>
      </c>
      <c r="W11">
        <v>0.8116555988092512</v>
      </c>
      <c r="X11">
        <v>2.8</v>
      </c>
      <c r="Y11">
        <v>15.135310000000002</v>
      </c>
      <c r="Z11">
        <v>61.49</v>
      </c>
      <c r="AA11">
        <v>4.51</v>
      </c>
      <c r="AB11">
        <v>1.75</v>
      </c>
      <c r="AC11">
        <v>30.5</v>
      </c>
      <c r="AD11">
        <v>0</v>
      </c>
      <c r="AE11">
        <v>0.88014311270125223</v>
      </c>
      <c r="AF11">
        <v>0.37201170922101157</v>
      </c>
      <c r="AG11">
        <v>1.75</v>
      </c>
      <c r="AH11">
        <v>23.56</v>
      </c>
      <c r="AI11">
        <v>26.89</v>
      </c>
    </row>
    <row r="12" spans="1:36" x14ac:dyDescent="0.5">
      <c r="A12">
        <v>240</v>
      </c>
      <c r="B12">
        <v>200</v>
      </c>
      <c r="C12">
        <v>0.1</v>
      </c>
      <c r="D12">
        <v>10</v>
      </c>
      <c r="E12">
        <v>150</v>
      </c>
      <c r="F12">
        <v>90</v>
      </c>
      <c r="G12">
        <v>9</v>
      </c>
      <c r="K12">
        <v>22.65</v>
      </c>
      <c r="L12">
        <v>49.35</v>
      </c>
      <c r="M12">
        <v>15.37</v>
      </c>
      <c r="N12">
        <v>14.54</v>
      </c>
      <c r="Q12">
        <v>43.67</v>
      </c>
      <c r="R12">
        <v>6.17</v>
      </c>
      <c r="S12">
        <v>1.4</v>
      </c>
      <c r="T12">
        <v>47.26</v>
      </c>
      <c r="U12">
        <v>0.09</v>
      </c>
      <c r="V12">
        <v>1.6954430959468743</v>
      </c>
      <c r="W12">
        <v>0.8116555988092512</v>
      </c>
      <c r="X12">
        <v>2.8</v>
      </c>
      <c r="Y12">
        <v>15.135310000000002</v>
      </c>
      <c r="Z12">
        <v>64.760000000000005</v>
      </c>
      <c r="AA12">
        <v>4.6500000000000004</v>
      </c>
      <c r="AB12">
        <v>1.81</v>
      </c>
      <c r="AC12">
        <v>26.99</v>
      </c>
      <c r="AD12">
        <v>0</v>
      </c>
      <c r="AE12">
        <v>0.86164298949969109</v>
      </c>
      <c r="AF12">
        <v>0.31257720815318091</v>
      </c>
      <c r="AG12">
        <v>1.79</v>
      </c>
      <c r="AH12">
        <v>25.23</v>
      </c>
      <c r="AI12">
        <v>29.97</v>
      </c>
    </row>
    <row r="13" spans="1:36" x14ac:dyDescent="0.5">
      <c r="A13">
        <v>360</v>
      </c>
      <c r="B13">
        <v>200</v>
      </c>
      <c r="C13">
        <v>0.1</v>
      </c>
      <c r="D13">
        <v>10</v>
      </c>
      <c r="E13">
        <v>150</v>
      </c>
      <c r="F13">
        <v>90</v>
      </c>
      <c r="G13">
        <v>9</v>
      </c>
      <c r="K13">
        <v>22.65</v>
      </c>
      <c r="L13">
        <v>49.35</v>
      </c>
      <c r="M13">
        <v>15.37</v>
      </c>
      <c r="N13">
        <v>14.54</v>
      </c>
      <c r="Q13">
        <v>43.67</v>
      </c>
      <c r="R13">
        <v>6.17</v>
      </c>
      <c r="S13">
        <v>1.4</v>
      </c>
      <c r="T13">
        <v>47.26</v>
      </c>
      <c r="U13">
        <v>0.09</v>
      </c>
      <c r="V13">
        <v>1.6954430959468743</v>
      </c>
      <c r="W13">
        <v>0.8116555988092512</v>
      </c>
      <c r="X13">
        <v>2.8</v>
      </c>
      <c r="Y13">
        <v>15.135310000000002</v>
      </c>
      <c r="Z13">
        <v>66.87</v>
      </c>
      <c r="AA13">
        <v>4.7300000000000004</v>
      </c>
      <c r="AB13">
        <v>1.9</v>
      </c>
      <c r="AC13">
        <v>24.82</v>
      </c>
      <c r="AD13">
        <v>0</v>
      </c>
      <c r="AE13">
        <v>0.84881112606550024</v>
      </c>
      <c r="AF13">
        <v>0.27837595334230592</v>
      </c>
      <c r="AG13">
        <v>1.68</v>
      </c>
      <c r="AH13">
        <v>26.28</v>
      </c>
      <c r="AI13">
        <v>31.6</v>
      </c>
    </row>
    <row r="14" spans="1:36" x14ac:dyDescent="0.5">
      <c r="A14">
        <v>120</v>
      </c>
      <c r="B14">
        <v>250</v>
      </c>
      <c r="C14">
        <v>0.1</v>
      </c>
      <c r="D14">
        <v>10</v>
      </c>
      <c r="E14">
        <v>150</v>
      </c>
      <c r="F14">
        <v>90</v>
      </c>
      <c r="G14">
        <v>9</v>
      </c>
      <c r="K14">
        <v>22.65</v>
      </c>
      <c r="L14">
        <v>49.35</v>
      </c>
      <c r="M14">
        <v>15.37</v>
      </c>
      <c r="N14">
        <v>14.54</v>
      </c>
      <c r="Q14">
        <v>43.67</v>
      </c>
      <c r="R14">
        <v>6.17</v>
      </c>
      <c r="S14">
        <v>1.4</v>
      </c>
      <c r="T14">
        <v>47.26</v>
      </c>
      <c r="U14">
        <v>0.09</v>
      </c>
      <c r="V14">
        <v>1.6954430959468743</v>
      </c>
      <c r="W14">
        <v>0.8116555988092512</v>
      </c>
      <c r="X14">
        <v>2.8</v>
      </c>
      <c r="Y14">
        <v>15.135310000000002</v>
      </c>
      <c r="Z14">
        <v>67.55</v>
      </c>
      <c r="AA14">
        <v>4.4000000000000004</v>
      </c>
      <c r="AB14">
        <v>1.98</v>
      </c>
      <c r="AC14">
        <v>24.1</v>
      </c>
      <c r="AD14">
        <v>0</v>
      </c>
      <c r="AE14">
        <v>0.78164322723908231</v>
      </c>
      <c r="AF14">
        <v>0.26757957068837901</v>
      </c>
      <c r="AG14">
        <v>1.97</v>
      </c>
      <c r="AH14">
        <v>26.21</v>
      </c>
      <c r="AI14">
        <v>24.85</v>
      </c>
    </row>
    <row r="15" spans="1:36" x14ac:dyDescent="0.5">
      <c r="A15">
        <v>240</v>
      </c>
      <c r="B15">
        <v>250</v>
      </c>
      <c r="C15">
        <v>0.1</v>
      </c>
      <c r="D15">
        <v>10</v>
      </c>
      <c r="E15">
        <v>150</v>
      </c>
      <c r="F15">
        <v>90</v>
      </c>
      <c r="G15">
        <v>9</v>
      </c>
      <c r="K15">
        <v>22.65</v>
      </c>
      <c r="L15">
        <v>49.35</v>
      </c>
      <c r="M15">
        <v>15.37</v>
      </c>
      <c r="N15">
        <v>14.54</v>
      </c>
      <c r="Q15">
        <v>43.67</v>
      </c>
      <c r="R15">
        <v>6.17</v>
      </c>
      <c r="S15">
        <v>1.4</v>
      </c>
      <c r="T15">
        <v>47.26</v>
      </c>
      <c r="U15">
        <v>0.09</v>
      </c>
      <c r="V15">
        <v>1.6954430959468743</v>
      </c>
      <c r="W15">
        <v>0.8116555988092512</v>
      </c>
      <c r="X15">
        <v>2.8</v>
      </c>
      <c r="Y15">
        <v>15.135310000000002</v>
      </c>
      <c r="Z15">
        <v>70.16</v>
      </c>
      <c r="AA15">
        <v>4.78</v>
      </c>
      <c r="AB15">
        <v>2</v>
      </c>
      <c r="AC15">
        <v>20.77</v>
      </c>
      <c r="AD15">
        <v>0</v>
      </c>
      <c r="AE15">
        <v>0.81755986316989737</v>
      </c>
      <c r="AF15">
        <v>0.22202822120866589</v>
      </c>
      <c r="AG15">
        <v>2.29</v>
      </c>
      <c r="AH15">
        <v>27.89</v>
      </c>
      <c r="AI15">
        <v>24.51</v>
      </c>
    </row>
    <row r="16" spans="1:36" x14ac:dyDescent="0.5">
      <c r="A16">
        <v>360</v>
      </c>
      <c r="B16">
        <v>250</v>
      </c>
      <c r="C16">
        <v>0.1</v>
      </c>
      <c r="D16">
        <v>10</v>
      </c>
      <c r="E16">
        <v>150</v>
      </c>
      <c r="F16">
        <v>90</v>
      </c>
      <c r="G16">
        <v>9</v>
      </c>
      <c r="K16">
        <v>22.65</v>
      </c>
      <c r="L16">
        <v>49.35</v>
      </c>
      <c r="M16">
        <v>15.37</v>
      </c>
      <c r="N16">
        <v>14.54</v>
      </c>
      <c r="Q16">
        <v>43.67</v>
      </c>
      <c r="R16">
        <v>6.17</v>
      </c>
      <c r="S16">
        <v>1.4</v>
      </c>
      <c r="T16">
        <v>47.26</v>
      </c>
      <c r="U16">
        <v>0.09</v>
      </c>
      <c r="V16">
        <v>1.6954430959468743</v>
      </c>
      <c r="W16">
        <v>0.8116555988092512</v>
      </c>
      <c r="X16">
        <v>2.8</v>
      </c>
      <c r="Y16">
        <v>15.135310000000002</v>
      </c>
      <c r="Z16">
        <v>75.62</v>
      </c>
      <c r="AA16">
        <v>5</v>
      </c>
      <c r="AB16">
        <v>2.19</v>
      </c>
      <c r="AC16">
        <v>15.2</v>
      </c>
      <c r="AD16">
        <v>0</v>
      </c>
      <c r="AE16">
        <v>0.79344088865379525</v>
      </c>
      <c r="AF16">
        <v>0.15075376884422109</v>
      </c>
      <c r="AG16">
        <v>1.99</v>
      </c>
      <c r="AH16">
        <v>30.64</v>
      </c>
      <c r="AI16">
        <v>24.28</v>
      </c>
    </row>
    <row r="17" spans="1:36" x14ac:dyDescent="0.5">
      <c r="A17">
        <v>30</v>
      </c>
      <c r="B17">
        <v>220</v>
      </c>
      <c r="C17">
        <v>0.1</v>
      </c>
      <c r="D17">
        <v>4</v>
      </c>
      <c r="E17">
        <v>100</v>
      </c>
      <c r="F17">
        <v>80</v>
      </c>
      <c r="G17">
        <v>20</v>
      </c>
      <c r="K17">
        <v>39.700000000000003</v>
      </c>
      <c r="L17">
        <v>28.1</v>
      </c>
      <c r="M17">
        <v>13.4</v>
      </c>
      <c r="N17">
        <v>5.13</v>
      </c>
      <c r="O17">
        <v>92</v>
      </c>
      <c r="P17">
        <v>5.78</v>
      </c>
      <c r="Q17">
        <v>45.86</v>
      </c>
      <c r="R17">
        <v>5.88</v>
      </c>
      <c r="S17">
        <v>0.35</v>
      </c>
      <c r="T17">
        <v>47.92</v>
      </c>
      <c r="U17">
        <v>0</v>
      </c>
      <c r="V17">
        <v>1.538595726122983</v>
      </c>
      <c r="W17">
        <v>0.78368948975141739</v>
      </c>
      <c r="X17">
        <v>2.2200000000000002</v>
      </c>
      <c r="Y17">
        <v>17.93</v>
      </c>
      <c r="Z17">
        <v>49.39</v>
      </c>
      <c r="AA17">
        <v>6</v>
      </c>
      <c r="AB17">
        <v>0.3</v>
      </c>
      <c r="AC17">
        <v>44.31</v>
      </c>
      <c r="AD17">
        <v>0</v>
      </c>
      <c r="AE17">
        <v>1.4577849767159343</v>
      </c>
      <c r="AF17">
        <v>0.67285887831544844</v>
      </c>
      <c r="AG17">
        <v>1.51</v>
      </c>
      <c r="AH17">
        <v>19.690000000000001</v>
      </c>
      <c r="AI17">
        <v>77</v>
      </c>
      <c r="AJ17" t="s">
        <v>41</v>
      </c>
    </row>
    <row r="18" spans="1:36" x14ac:dyDescent="0.5">
      <c r="A18">
        <v>120</v>
      </c>
      <c r="B18">
        <v>220</v>
      </c>
      <c r="C18">
        <v>0.1</v>
      </c>
      <c r="D18">
        <v>4</v>
      </c>
      <c r="E18">
        <v>100</v>
      </c>
      <c r="F18">
        <v>80</v>
      </c>
      <c r="G18">
        <v>20</v>
      </c>
      <c r="K18">
        <v>39.700000000000003</v>
      </c>
      <c r="L18">
        <v>28.1</v>
      </c>
      <c r="M18">
        <v>13.4</v>
      </c>
      <c r="N18">
        <v>5.13</v>
      </c>
      <c r="O18">
        <v>92</v>
      </c>
      <c r="P18">
        <v>5.78</v>
      </c>
      <c r="Q18">
        <v>45.86</v>
      </c>
      <c r="R18">
        <v>5.88</v>
      </c>
      <c r="S18">
        <v>0.35</v>
      </c>
      <c r="T18">
        <v>47.92</v>
      </c>
      <c r="U18">
        <v>0</v>
      </c>
      <c r="V18">
        <v>1.538595726122983</v>
      </c>
      <c r="W18">
        <v>0.78368948975141739</v>
      </c>
      <c r="X18">
        <v>2.2200000000000002</v>
      </c>
      <c r="Y18">
        <v>17.93</v>
      </c>
      <c r="Z18">
        <v>50.73</v>
      </c>
      <c r="AA18">
        <v>5.96</v>
      </c>
      <c r="AB18">
        <v>0.35</v>
      </c>
      <c r="AC18">
        <v>42.96</v>
      </c>
      <c r="AD18">
        <v>0</v>
      </c>
      <c r="AE18">
        <v>1.4098166765227675</v>
      </c>
      <c r="AF18">
        <v>0.63512714370195156</v>
      </c>
      <c r="AG18">
        <v>1.44</v>
      </c>
      <c r="AH18">
        <v>20.25</v>
      </c>
      <c r="AI18">
        <v>62</v>
      </c>
    </row>
    <row r="19" spans="1:36" x14ac:dyDescent="0.5">
      <c r="A19">
        <v>240</v>
      </c>
      <c r="B19">
        <v>220</v>
      </c>
      <c r="C19">
        <v>0.1</v>
      </c>
      <c r="D19">
        <v>4</v>
      </c>
      <c r="E19">
        <v>100</v>
      </c>
      <c r="F19">
        <v>80</v>
      </c>
      <c r="G19">
        <v>20</v>
      </c>
      <c r="K19">
        <v>39.700000000000003</v>
      </c>
      <c r="L19">
        <v>28.1</v>
      </c>
      <c r="M19">
        <v>13.4</v>
      </c>
      <c r="N19">
        <v>5.13</v>
      </c>
      <c r="O19">
        <v>92</v>
      </c>
      <c r="P19">
        <v>5.78</v>
      </c>
      <c r="Q19">
        <v>45.86</v>
      </c>
      <c r="R19">
        <v>5.88</v>
      </c>
      <c r="S19">
        <v>0.35</v>
      </c>
      <c r="T19">
        <v>47.92</v>
      </c>
      <c r="U19">
        <v>0</v>
      </c>
      <c r="V19">
        <v>1.538595726122983</v>
      </c>
      <c r="W19">
        <v>0.78368948975141739</v>
      </c>
      <c r="X19">
        <v>2.2200000000000002</v>
      </c>
      <c r="Y19">
        <v>17.93</v>
      </c>
      <c r="Z19">
        <v>56.83</v>
      </c>
      <c r="AA19">
        <v>5.54</v>
      </c>
      <c r="AB19">
        <v>0.43</v>
      </c>
      <c r="AC19">
        <v>37.21</v>
      </c>
      <c r="AD19">
        <v>0</v>
      </c>
      <c r="AE19">
        <v>1.1698046806264297</v>
      </c>
      <c r="AF19">
        <v>0.49106985746964638</v>
      </c>
      <c r="AG19">
        <v>1.33</v>
      </c>
      <c r="AH19">
        <v>22.49</v>
      </c>
      <c r="AI19">
        <v>51</v>
      </c>
    </row>
    <row r="20" spans="1:36" x14ac:dyDescent="0.5">
      <c r="A20">
        <v>480</v>
      </c>
      <c r="B20">
        <v>220</v>
      </c>
      <c r="C20">
        <v>0.1</v>
      </c>
      <c r="D20">
        <v>4</v>
      </c>
      <c r="E20">
        <v>100</v>
      </c>
      <c r="F20">
        <v>80</v>
      </c>
      <c r="G20">
        <v>20</v>
      </c>
      <c r="K20">
        <v>39.700000000000003</v>
      </c>
      <c r="L20">
        <v>28.1</v>
      </c>
      <c r="M20">
        <v>13.4</v>
      </c>
      <c r="N20">
        <v>5.13</v>
      </c>
      <c r="O20">
        <v>92</v>
      </c>
      <c r="P20">
        <v>5.78</v>
      </c>
      <c r="Q20">
        <v>45.86</v>
      </c>
      <c r="R20">
        <v>5.88</v>
      </c>
      <c r="S20">
        <v>0.35</v>
      </c>
      <c r="T20">
        <v>47.92</v>
      </c>
      <c r="U20">
        <v>0</v>
      </c>
      <c r="V20">
        <v>1.538595726122983</v>
      </c>
      <c r="W20">
        <v>0.78368948975141739</v>
      </c>
      <c r="X20">
        <v>2.2200000000000002</v>
      </c>
      <c r="Y20">
        <v>17.93</v>
      </c>
      <c r="Z20">
        <v>58.35</v>
      </c>
      <c r="AA20">
        <v>5.41</v>
      </c>
      <c r="AB20">
        <v>0.38</v>
      </c>
      <c r="AC20">
        <v>35.85</v>
      </c>
      <c r="AD20">
        <v>0</v>
      </c>
      <c r="AE20">
        <v>1.1125964010282776</v>
      </c>
      <c r="AF20">
        <v>0.46079691516709514</v>
      </c>
      <c r="AG20">
        <v>0.85</v>
      </c>
      <c r="AH20">
        <v>23.01</v>
      </c>
      <c r="AI20">
        <v>50</v>
      </c>
    </row>
    <row r="21" spans="1:36" x14ac:dyDescent="0.5">
      <c r="A21">
        <v>720</v>
      </c>
      <c r="B21">
        <v>220</v>
      </c>
      <c r="C21">
        <v>0.1</v>
      </c>
      <c r="D21">
        <v>4</v>
      </c>
      <c r="E21">
        <v>100</v>
      </c>
      <c r="F21">
        <v>80</v>
      </c>
      <c r="G21">
        <v>20</v>
      </c>
      <c r="K21">
        <v>39.700000000000003</v>
      </c>
      <c r="L21">
        <v>28.1</v>
      </c>
      <c r="M21">
        <v>13.4</v>
      </c>
      <c r="N21">
        <v>5.13</v>
      </c>
      <c r="O21">
        <v>92</v>
      </c>
      <c r="P21">
        <v>5.78</v>
      </c>
      <c r="Q21">
        <v>45.86</v>
      </c>
      <c r="R21">
        <v>5.88</v>
      </c>
      <c r="S21">
        <v>0.35</v>
      </c>
      <c r="T21">
        <v>47.92</v>
      </c>
      <c r="U21">
        <v>0</v>
      </c>
      <c r="V21">
        <v>1.538595726122983</v>
      </c>
      <c r="W21">
        <v>0.78368948975141739</v>
      </c>
      <c r="X21">
        <v>2.2200000000000002</v>
      </c>
      <c r="Y21">
        <v>17.93</v>
      </c>
      <c r="Z21">
        <v>62.53</v>
      </c>
      <c r="AA21">
        <v>5.19</v>
      </c>
      <c r="AB21">
        <v>0.51</v>
      </c>
      <c r="AC21">
        <v>31.77</v>
      </c>
      <c r="AD21">
        <v>0</v>
      </c>
      <c r="AE21">
        <v>0.99600191907884217</v>
      </c>
      <c r="AF21">
        <v>0.38105709259555415</v>
      </c>
      <c r="AG21">
        <v>1.58</v>
      </c>
      <c r="AH21">
        <v>24.62</v>
      </c>
      <c r="AI21">
        <v>48</v>
      </c>
    </row>
    <row r="22" spans="1:36" x14ac:dyDescent="0.5">
      <c r="A22">
        <v>480</v>
      </c>
      <c r="B22">
        <v>200</v>
      </c>
      <c r="C22">
        <v>0.1</v>
      </c>
      <c r="D22">
        <v>4</v>
      </c>
      <c r="E22">
        <v>100</v>
      </c>
      <c r="F22">
        <v>80</v>
      </c>
      <c r="G22">
        <v>20</v>
      </c>
      <c r="K22">
        <v>39.700000000000003</v>
      </c>
      <c r="L22">
        <v>28.1</v>
      </c>
      <c r="M22">
        <v>13.4</v>
      </c>
      <c r="N22">
        <v>5.13</v>
      </c>
      <c r="O22">
        <v>92</v>
      </c>
      <c r="P22">
        <v>5.78</v>
      </c>
      <c r="Q22">
        <v>45.86</v>
      </c>
      <c r="R22">
        <v>5.88</v>
      </c>
      <c r="S22">
        <v>0.35</v>
      </c>
      <c r="T22">
        <v>47.92</v>
      </c>
      <c r="U22">
        <v>0</v>
      </c>
      <c r="V22">
        <v>1.538595726122983</v>
      </c>
      <c r="W22">
        <v>0.78368948975141739</v>
      </c>
      <c r="X22">
        <v>2.2200000000000002</v>
      </c>
      <c r="Y22">
        <v>17.93</v>
      </c>
      <c r="Z22">
        <v>52.68</v>
      </c>
      <c r="AA22">
        <v>5.09</v>
      </c>
      <c r="AB22">
        <v>0.33</v>
      </c>
      <c r="AC22">
        <v>41.95</v>
      </c>
      <c r="AD22">
        <v>0</v>
      </c>
      <c r="AE22">
        <v>1.1594533029612757</v>
      </c>
      <c r="AF22">
        <v>0.59723804100227795</v>
      </c>
      <c r="AG22">
        <v>1.88</v>
      </c>
      <c r="AH22">
        <v>19.989999999999998</v>
      </c>
      <c r="AI22">
        <v>52</v>
      </c>
    </row>
    <row r="23" spans="1:36" x14ac:dyDescent="0.5">
      <c r="A23">
        <v>480</v>
      </c>
      <c r="B23">
        <v>240</v>
      </c>
      <c r="C23">
        <v>0.1</v>
      </c>
      <c r="D23">
        <v>4</v>
      </c>
      <c r="E23">
        <v>100</v>
      </c>
      <c r="F23">
        <v>80</v>
      </c>
      <c r="G23">
        <v>20</v>
      </c>
      <c r="K23">
        <v>39.700000000000003</v>
      </c>
      <c r="L23">
        <v>28.1</v>
      </c>
      <c r="M23">
        <v>13.4</v>
      </c>
      <c r="N23">
        <v>5.13</v>
      </c>
      <c r="O23">
        <v>92</v>
      </c>
      <c r="P23">
        <v>5.78</v>
      </c>
      <c r="Q23">
        <v>45.86</v>
      </c>
      <c r="R23">
        <v>5.88</v>
      </c>
      <c r="S23">
        <v>0.35</v>
      </c>
      <c r="T23">
        <v>47.92</v>
      </c>
      <c r="U23">
        <v>0</v>
      </c>
      <c r="V23">
        <v>1.538595726122983</v>
      </c>
      <c r="W23">
        <v>0.78368948975141739</v>
      </c>
      <c r="X23">
        <v>2.2200000000000002</v>
      </c>
      <c r="Y23">
        <v>17.93</v>
      </c>
      <c r="Z23">
        <v>64.819999999999993</v>
      </c>
      <c r="AA23">
        <v>6.26</v>
      </c>
      <c r="AB23">
        <v>0.41</v>
      </c>
      <c r="AC23">
        <v>28.51</v>
      </c>
      <c r="AD23">
        <v>0</v>
      </c>
      <c r="AE23">
        <v>1.1589015735883987</v>
      </c>
      <c r="AF23">
        <v>0.32987503856834316</v>
      </c>
      <c r="AG23">
        <v>2.0299999999999998</v>
      </c>
      <c r="AH23">
        <v>27.01</v>
      </c>
      <c r="AI23">
        <v>51</v>
      </c>
    </row>
    <row r="24" spans="1:36" x14ac:dyDescent="0.5">
      <c r="A24">
        <v>120</v>
      </c>
      <c r="B24">
        <v>180</v>
      </c>
      <c r="C24">
        <v>0.1</v>
      </c>
      <c r="D24">
        <v>66</v>
      </c>
      <c r="E24">
        <v>1000</v>
      </c>
      <c r="F24">
        <v>534</v>
      </c>
      <c r="G24">
        <v>8.0909090909090917</v>
      </c>
      <c r="N24">
        <v>72</v>
      </c>
      <c r="O24">
        <v>51.2</v>
      </c>
      <c r="P24">
        <v>8.36</v>
      </c>
      <c r="Q24">
        <v>29</v>
      </c>
      <c r="R24">
        <v>4.37</v>
      </c>
      <c r="S24">
        <v>4.72</v>
      </c>
      <c r="T24">
        <v>21.4</v>
      </c>
      <c r="U24">
        <v>0.12</v>
      </c>
      <c r="V24">
        <v>1.8082758620689656</v>
      </c>
      <c r="W24">
        <v>0.55344827586206902</v>
      </c>
      <c r="X24">
        <v>40.4</v>
      </c>
      <c r="Y24">
        <v>12.222460000000002</v>
      </c>
      <c r="Z24">
        <v>25.7</v>
      </c>
      <c r="AA24">
        <v>3.27</v>
      </c>
      <c r="AB24">
        <v>2.37</v>
      </c>
      <c r="AC24">
        <v>16</v>
      </c>
      <c r="AD24">
        <v>0</v>
      </c>
      <c r="AE24">
        <v>1.5268482490272375</v>
      </c>
      <c r="AF24">
        <v>0.46692607003891051</v>
      </c>
      <c r="AG24">
        <v>52.7</v>
      </c>
      <c r="AH24">
        <v>10.500160000000001</v>
      </c>
      <c r="AI24">
        <v>70.400000000000006</v>
      </c>
      <c r="AJ24" s="2" t="s">
        <v>45</v>
      </c>
    </row>
    <row r="25" spans="1:36" x14ac:dyDescent="0.5">
      <c r="A25">
        <v>120</v>
      </c>
      <c r="B25">
        <v>215</v>
      </c>
      <c r="C25">
        <v>0.1</v>
      </c>
      <c r="D25">
        <v>66</v>
      </c>
      <c r="E25">
        <v>1000</v>
      </c>
      <c r="F25">
        <v>534</v>
      </c>
      <c r="G25">
        <v>8.0909090909090917</v>
      </c>
      <c r="N25">
        <v>72</v>
      </c>
      <c r="O25">
        <v>51.2</v>
      </c>
      <c r="P25">
        <v>8.36</v>
      </c>
      <c r="Q25">
        <v>29</v>
      </c>
      <c r="R25">
        <v>4.37</v>
      </c>
      <c r="S25">
        <v>4.72</v>
      </c>
      <c r="T25">
        <v>21.4</v>
      </c>
      <c r="U25">
        <v>0.12</v>
      </c>
      <c r="V25">
        <v>1.8082758620689656</v>
      </c>
      <c r="W25">
        <v>0.55344827586206902</v>
      </c>
      <c r="X25">
        <v>40.4</v>
      </c>
      <c r="Y25">
        <v>12.222460000000002</v>
      </c>
      <c r="Z25">
        <v>27</v>
      </c>
      <c r="AA25">
        <v>3.31</v>
      </c>
      <c r="AB25">
        <v>2.19</v>
      </c>
      <c r="AC25">
        <v>7.55</v>
      </c>
      <c r="AD25">
        <v>0.15</v>
      </c>
      <c r="AE25">
        <v>1.471111111111111</v>
      </c>
      <c r="AF25">
        <v>0.20972222222222223</v>
      </c>
      <c r="AG25">
        <v>58.3</v>
      </c>
      <c r="AH25">
        <v>12.505005000000001</v>
      </c>
      <c r="AI25">
        <v>66.400000000000006</v>
      </c>
    </row>
    <row r="26" spans="1:36" x14ac:dyDescent="0.5">
      <c r="A26">
        <v>120</v>
      </c>
      <c r="B26">
        <v>250</v>
      </c>
      <c r="C26">
        <v>0.1</v>
      </c>
      <c r="D26">
        <v>66</v>
      </c>
      <c r="E26">
        <v>1000</v>
      </c>
      <c r="F26">
        <v>534</v>
      </c>
      <c r="G26">
        <v>8.0909090909090917</v>
      </c>
      <c r="N26">
        <v>72</v>
      </c>
      <c r="O26">
        <v>51.2</v>
      </c>
      <c r="P26">
        <v>8.36</v>
      </c>
      <c r="Q26">
        <v>29</v>
      </c>
      <c r="R26">
        <v>4.37</v>
      </c>
      <c r="S26">
        <v>4.72</v>
      </c>
      <c r="T26">
        <v>21.4</v>
      </c>
      <c r="U26">
        <v>0.12</v>
      </c>
      <c r="V26">
        <v>1.8082758620689656</v>
      </c>
      <c r="W26">
        <v>0.55344827586206902</v>
      </c>
      <c r="X26">
        <v>40.4</v>
      </c>
      <c r="Y26">
        <v>12.222460000000002</v>
      </c>
      <c r="Z26">
        <v>28.3</v>
      </c>
      <c r="AA26">
        <v>3.3</v>
      </c>
      <c r="AB26">
        <v>2.2999999999999998</v>
      </c>
      <c r="AC26">
        <v>7.46</v>
      </c>
      <c r="AD26">
        <v>0.38</v>
      </c>
      <c r="AE26">
        <v>1.3992932862190812</v>
      </c>
      <c r="AF26">
        <v>0.19770318021201413</v>
      </c>
      <c r="AG26">
        <v>58.3</v>
      </c>
      <c r="AH26">
        <v>12.94619</v>
      </c>
      <c r="AI26">
        <v>64.400000000000006</v>
      </c>
    </row>
    <row r="27" spans="1:36" x14ac:dyDescent="0.5">
      <c r="A27">
        <v>120</v>
      </c>
      <c r="B27">
        <v>180</v>
      </c>
      <c r="C27">
        <v>0.1</v>
      </c>
      <c r="D27">
        <v>66</v>
      </c>
      <c r="E27">
        <v>1000</v>
      </c>
      <c r="F27">
        <v>534</v>
      </c>
      <c r="G27">
        <v>8.0909090909090917</v>
      </c>
      <c r="N27">
        <v>72</v>
      </c>
      <c r="O27">
        <v>68.900000000000006</v>
      </c>
      <c r="P27">
        <v>15.5</v>
      </c>
      <c r="Q27">
        <v>43.6</v>
      </c>
      <c r="R27">
        <v>6.1</v>
      </c>
      <c r="S27">
        <v>7.46</v>
      </c>
      <c r="T27">
        <v>27.2</v>
      </c>
      <c r="U27">
        <v>0</v>
      </c>
      <c r="V27">
        <v>1.6788990825688073</v>
      </c>
      <c r="W27">
        <v>0.4678899082568807</v>
      </c>
      <c r="X27">
        <v>15.7</v>
      </c>
      <c r="Y27">
        <v>18.592400000000001</v>
      </c>
      <c r="Z27">
        <v>46.3</v>
      </c>
      <c r="AA27">
        <v>5.49</v>
      </c>
      <c r="AB27">
        <v>5.03</v>
      </c>
      <c r="AC27">
        <v>18.5</v>
      </c>
      <c r="AD27">
        <v>0</v>
      </c>
      <c r="AE27">
        <v>1.4228941684665228</v>
      </c>
      <c r="AF27">
        <v>0.29967602591792658</v>
      </c>
      <c r="AG27">
        <v>24.8</v>
      </c>
      <c r="AH27">
        <v>20.186869999999999</v>
      </c>
      <c r="AI27">
        <v>49</v>
      </c>
    </row>
    <row r="28" spans="1:36" x14ac:dyDescent="0.5">
      <c r="A28">
        <v>120</v>
      </c>
      <c r="B28">
        <v>215</v>
      </c>
      <c r="C28">
        <v>0.1</v>
      </c>
      <c r="D28">
        <v>66</v>
      </c>
      <c r="E28">
        <v>1000</v>
      </c>
      <c r="F28">
        <v>534</v>
      </c>
      <c r="G28">
        <v>8.0909090909090917</v>
      </c>
      <c r="N28">
        <v>72</v>
      </c>
      <c r="O28">
        <v>68.900000000000006</v>
      </c>
      <c r="P28">
        <v>15.5</v>
      </c>
      <c r="Q28">
        <v>43.6</v>
      </c>
      <c r="R28">
        <v>6.1</v>
      </c>
      <c r="S28">
        <v>7.46</v>
      </c>
      <c r="T28">
        <v>27.2</v>
      </c>
      <c r="U28">
        <v>0</v>
      </c>
      <c r="V28">
        <v>1.6788990825688073</v>
      </c>
      <c r="W28">
        <v>0.4678899082568807</v>
      </c>
      <c r="X28">
        <v>15.7</v>
      </c>
      <c r="Y28">
        <v>18.592400000000001</v>
      </c>
      <c r="Z28">
        <v>46.7</v>
      </c>
      <c r="AA28">
        <v>5.68</v>
      </c>
      <c r="AB28">
        <v>3.59</v>
      </c>
      <c r="AC28">
        <v>15.2</v>
      </c>
      <c r="AD28">
        <v>0</v>
      </c>
      <c r="AE28">
        <v>1.4595289079229119</v>
      </c>
      <c r="AF28">
        <v>0.24411134903640253</v>
      </c>
      <c r="AG28">
        <v>28.8</v>
      </c>
      <c r="AH28">
        <v>21.182440000000003</v>
      </c>
      <c r="AI28">
        <v>44.1</v>
      </c>
    </row>
    <row r="29" spans="1:36" x14ac:dyDescent="0.5">
      <c r="A29">
        <v>120</v>
      </c>
      <c r="B29">
        <v>250</v>
      </c>
      <c r="C29">
        <v>0.1</v>
      </c>
      <c r="D29">
        <v>66</v>
      </c>
      <c r="E29">
        <v>1000</v>
      </c>
      <c r="F29">
        <v>534</v>
      </c>
      <c r="G29">
        <v>8.0909090909090917</v>
      </c>
      <c r="N29">
        <v>72</v>
      </c>
      <c r="O29">
        <v>68.900000000000006</v>
      </c>
      <c r="P29">
        <v>15.5</v>
      </c>
      <c r="Q29">
        <v>43.6</v>
      </c>
      <c r="R29">
        <v>6.1</v>
      </c>
      <c r="S29">
        <v>7.46</v>
      </c>
      <c r="T29">
        <v>27.2</v>
      </c>
      <c r="U29">
        <v>0</v>
      </c>
      <c r="V29">
        <v>1.6788990825688073</v>
      </c>
      <c r="W29">
        <v>0.4678899082568807</v>
      </c>
      <c r="X29">
        <v>15.7</v>
      </c>
      <c r="Y29">
        <v>18.592400000000001</v>
      </c>
      <c r="Z29">
        <v>49.7</v>
      </c>
      <c r="AA29">
        <v>5.69</v>
      </c>
      <c r="AB29">
        <v>3.93</v>
      </c>
      <c r="AC29">
        <v>10.5</v>
      </c>
      <c r="AD29">
        <v>0</v>
      </c>
      <c r="AE29">
        <v>1.3738430583501007</v>
      </c>
      <c r="AF29">
        <v>0.15845070422535212</v>
      </c>
      <c r="AG29">
        <v>30.2</v>
      </c>
      <c r="AH29">
        <v>23.049669999999999</v>
      </c>
      <c r="AI29">
        <v>42.9</v>
      </c>
    </row>
    <row r="30" spans="1:36" x14ac:dyDescent="0.5">
      <c r="A30">
        <v>60</v>
      </c>
      <c r="B30">
        <v>180</v>
      </c>
      <c r="C30">
        <v>0.1</v>
      </c>
      <c r="D30">
        <v>3</v>
      </c>
      <c r="E30">
        <v>50</v>
      </c>
      <c r="F30">
        <v>8.5</v>
      </c>
      <c r="G30">
        <v>2.8333333333333335</v>
      </c>
      <c r="N30">
        <v>74</v>
      </c>
      <c r="O30">
        <v>72.599999999999994</v>
      </c>
      <c r="P30">
        <v>24.3</v>
      </c>
      <c r="Q30">
        <v>40.4</v>
      </c>
      <c r="R30">
        <v>7.1</v>
      </c>
      <c r="S30">
        <v>1.5</v>
      </c>
      <c r="T30">
        <v>47.8</v>
      </c>
      <c r="U30">
        <v>0</v>
      </c>
      <c r="V30">
        <v>2.108910891089109</v>
      </c>
      <c r="W30">
        <v>0.88737623762376228</v>
      </c>
      <c r="X30">
        <v>3.1</v>
      </c>
      <c r="Y30">
        <v>17.8</v>
      </c>
      <c r="Z30">
        <v>49.7</v>
      </c>
      <c r="AA30">
        <v>6.7</v>
      </c>
      <c r="AB30">
        <v>0.6</v>
      </c>
      <c r="AC30">
        <v>41.1</v>
      </c>
      <c r="AD30">
        <v>0</v>
      </c>
      <c r="AE30">
        <v>1.6177062374245474</v>
      </c>
      <c r="AF30">
        <v>0.62022132796780682</v>
      </c>
      <c r="AG30">
        <v>1.6</v>
      </c>
      <c r="AH30">
        <v>20.8</v>
      </c>
      <c r="AI30">
        <v>34.1</v>
      </c>
      <c r="AJ30" s="2" t="s">
        <v>46</v>
      </c>
    </row>
    <row r="31" spans="1:36" x14ac:dyDescent="0.5">
      <c r="A31">
        <v>60</v>
      </c>
      <c r="B31">
        <v>200</v>
      </c>
      <c r="C31">
        <v>0.1</v>
      </c>
      <c r="D31">
        <v>3</v>
      </c>
      <c r="E31">
        <v>50</v>
      </c>
      <c r="F31">
        <v>8.5</v>
      </c>
      <c r="G31">
        <v>2.8333333333333335</v>
      </c>
      <c r="N31">
        <v>74</v>
      </c>
      <c r="O31">
        <v>72.599999999999994</v>
      </c>
      <c r="P31">
        <v>24.3</v>
      </c>
      <c r="Q31">
        <v>40.4</v>
      </c>
      <c r="R31">
        <v>7.1</v>
      </c>
      <c r="S31">
        <v>1.5</v>
      </c>
      <c r="T31">
        <v>47.8</v>
      </c>
      <c r="U31">
        <v>0</v>
      </c>
      <c r="V31">
        <v>2.108910891089109</v>
      </c>
      <c r="W31">
        <v>0.88737623762376228</v>
      </c>
      <c r="X31">
        <v>3.1</v>
      </c>
      <c r="Y31">
        <v>17.8</v>
      </c>
      <c r="Z31">
        <v>58.5</v>
      </c>
      <c r="AA31">
        <v>5.9</v>
      </c>
      <c r="AB31">
        <v>0.9</v>
      </c>
      <c r="AC31">
        <v>32.9</v>
      </c>
      <c r="AD31">
        <v>0</v>
      </c>
      <c r="AE31">
        <v>1.2102564102564104</v>
      </c>
      <c r="AF31">
        <v>0.4217948717948718</v>
      </c>
      <c r="AG31">
        <v>1.8</v>
      </c>
      <c r="AH31">
        <v>23.7</v>
      </c>
      <c r="AI31">
        <v>40.6</v>
      </c>
    </row>
    <row r="32" spans="1:36" x14ac:dyDescent="0.5">
      <c r="A32">
        <v>60</v>
      </c>
      <c r="B32">
        <v>230</v>
      </c>
      <c r="C32">
        <v>0.1</v>
      </c>
      <c r="D32">
        <v>3</v>
      </c>
      <c r="E32">
        <v>50</v>
      </c>
      <c r="F32">
        <v>8.5</v>
      </c>
      <c r="G32">
        <v>2.8333333333333335</v>
      </c>
      <c r="N32">
        <v>74</v>
      </c>
      <c r="O32">
        <v>72.599999999999994</v>
      </c>
      <c r="P32">
        <v>24.3</v>
      </c>
      <c r="Q32">
        <v>40.4</v>
      </c>
      <c r="R32">
        <v>7.1</v>
      </c>
      <c r="S32">
        <v>1.5</v>
      </c>
      <c r="T32">
        <v>47.8</v>
      </c>
      <c r="U32">
        <v>0</v>
      </c>
      <c r="V32">
        <v>2.108910891089109</v>
      </c>
      <c r="W32">
        <v>0.88737623762376228</v>
      </c>
      <c r="X32">
        <v>3.1</v>
      </c>
      <c r="Y32">
        <v>17.8</v>
      </c>
      <c r="Z32">
        <v>58.3</v>
      </c>
      <c r="AA32">
        <v>6.5</v>
      </c>
      <c r="AB32">
        <v>0.8</v>
      </c>
      <c r="AC32">
        <v>33.1</v>
      </c>
      <c r="AD32">
        <v>0</v>
      </c>
      <c r="AE32">
        <v>1.3379073756432247</v>
      </c>
      <c r="AF32">
        <v>0.42581475128644941</v>
      </c>
      <c r="AG32">
        <v>1.3</v>
      </c>
      <c r="AH32">
        <v>24.4</v>
      </c>
      <c r="AI32">
        <v>38.799999999999997</v>
      </c>
    </row>
    <row r="33" spans="1:36" x14ac:dyDescent="0.5">
      <c r="A33">
        <v>60</v>
      </c>
      <c r="B33">
        <v>260</v>
      </c>
      <c r="C33">
        <v>0.1</v>
      </c>
      <c r="D33">
        <v>3</v>
      </c>
      <c r="E33">
        <v>50</v>
      </c>
      <c r="F33">
        <v>8.5</v>
      </c>
      <c r="G33">
        <v>2.8333333333333335</v>
      </c>
      <c r="N33">
        <v>74</v>
      </c>
      <c r="O33">
        <v>72.599999999999994</v>
      </c>
      <c r="P33">
        <v>24.3</v>
      </c>
      <c r="Q33">
        <v>40.4</v>
      </c>
      <c r="R33">
        <v>7.1</v>
      </c>
      <c r="S33">
        <v>1.5</v>
      </c>
      <c r="T33">
        <v>47.8</v>
      </c>
      <c r="U33">
        <v>0</v>
      </c>
      <c r="V33">
        <v>2.108910891089109</v>
      </c>
      <c r="W33">
        <v>0.88737623762376228</v>
      </c>
      <c r="X33">
        <v>3.1</v>
      </c>
      <c r="Y33">
        <v>17.8</v>
      </c>
      <c r="Z33">
        <v>61.1</v>
      </c>
      <c r="AA33">
        <v>5.8</v>
      </c>
      <c r="AB33">
        <v>0.9</v>
      </c>
      <c r="AC33">
        <v>30.6</v>
      </c>
      <c r="AD33">
        <v>0</v>
      </c>
      <c r="AE33">
        <v>1.13911620294599</v>
      </c>
      <c r="AF33">
        <v>0.37561374795417352</v>
      </c>
      <c r="AG33">
        <v>1.6</v>
      </c>
      <c r="AH33">
        <v>25.7</v>
      </c>
      <c r="AI33">
        <v>33.6</v>
      </c>
    </row>
    <row r="34" spans="1:36" x14ac:dyDescent="0.5">
      <c r="A34">
        <v>20</v>
      </c>
      <c r="B34">
        <v>180</v>
      </c>
      <c r="C34">
        <v>0.1</v>
      </c>
      <c r="D34">
        <v>3</v>
      </c>
      <c r="E34">
        <v>50</v>
      </c>
      <c r="F34">
        <v>8.5</v>
      </c>
      <c r="G34">
        <v>2.8333333333333335</v>
      </c>
      <c r="N34">
        <v>74</v>
      </c>
      <c r="O34">
        <v>72.599999999999994</v>
      </c>
      <c r="P34">
        <v>24.3</v>
      </c>
      <c r="Q34">
        <v>40.4</v>
      </c>
      <c r="R34">
        <v>7.1</v>
      </c>
      <c r="S34">
        <v>1.5</v>
      </c>
      <c r="T34">
        <v>47.8</v>
      </c>
      <c r="U34">
        <v>0</v>
      </c>
      <c r="V34">
        <v>2.108910891089109</v>
      </c>
      <c r="W34">
        <v>0.88737623762376228</v>
      </c>
      <c r="X34">
        <v>3.1</v>
      </c>
      <c r="Y34">
        <v>17.8</v>
      </c>
      <c r="Z34">
        <v>46.7</v>
      </c>
      <c r="AA34">
        <v>6.2</v>
      </c>
      <c r="AB34">
        <v>1.2</v>
      </c>
      <c r="AC34">
        <v>43.8</v>
      </c>
      <c r="AD34">
        <v>0</v>
      </c>
      <c r="AE34">
        <v>1.5931477516059955</v>
      </c>
      <c r="AF34">
        <v>0.70342612419700201</v>
      </c>
      <c r="AG34">
        <v>2.1</v>
      </c>
      <c r="AH34">
        <v>19.899999999999999</v>
      </c>
      <c r="AI34">
        <v>31.6</v>
      </c>
    </row>
    <row r="35" spans="1:36" x14ac:dyDescent="0.5">
      <c r="A35">
        <v>120</v>
      </c>
      <c r="B35">
        <v>180</v>
      </c>
      <c r="C35">
        <v>0.1</v>
      </c>
      <c r="D35">
        <v>3</v>
      </c>
      <c r="E35">
        <v>50</v>
      </c>
      <c r="F35">
        <v>8.5</v>
      </c>
      <c r="G35">
        <v>2.8333333333333335</v>
      </c>
      <c r="N35">
        <v>74</v>
      </c>
      <c r="O35">
        <v>72.599999999999994</v>
      </c>
      <c r="P35">
        <v>24.3</v>
      </c>
      <c r="Q35">
        <v>40.4</v>
      </c>
      <c r="R35">
        <v>7.1</v>
      </c>
      <c r="S35">
        <v>1.5</v>
      </c>
      <c r="T35">
        <v>47.8</v>
      </c>
      <c r="U35">
        <v>0</v>
      </c>
      <c r="V35">
        <v>2.108910891089109</v>
      </c>
      <c r="W35">
        <v>0.88737623762376228</v>
      </c>
      <c r="X35">
        <v>3.1</v>
      </c>
      <c r="Y35">
        <v>17.8</v>
      </c>
      <c r="Z35">
        <v>55.4</v>
      </c>
      <c r="AA35">
        <v>5.6</v>
      </c>
      <c r="AB35">
        <v>0.9</v>
      </c>
      <c r="AC35">
        <v>36.6</v>
      </c>
      <c r="AD35">
        <v>0</v>
      </c>
      <c r="AE35">
        <v>1.2129963898916969</v>
      </c>
      <c r="AF35">
        <v>0.49548736462093868</v>
      </c>
      <c r="AG35">
        <v>1.5</v>
      </c>
      <c r="AH35">
        <v>21.9</v>
      </c>
      <c r="AI35">
        <v>35.799999999999997</v>
      </c>
    </row>
    <row r="36" spans="1:36" x14ac:dyDescent="0.5">
      <c r="A36">
        <v>240</v>
      </c>
      <c r="B36">
        <v>180</v>
      </c>
      <c r="C36">
        <v>0.1</v>
      </c>
      <c r="D36">
        <v>3</v>
      </c>
      <c r="E36">
        <v>50</v>
      </c>
      <c r="F36">
        <v>8.5</v>
      </c>
      <c r="G36">
        <v>2.8333333333333335</v>
      </c>
      <c r="N36">
        <v>74</v>
      </c>
      <c r="O36">
        <v>72.599999999999994</v>
      </c>
      <c r="P36">
        <v>24.3</v>
      </c>
      <c r="Q36">
        <v>40.4</v>
      </c>
      <c r="R36">
        <v>7.1</v>
      </c>
      <c r="S36">
        <v>1.5</v>
      </c>
      <c r="T36">
        <v>47.8</v>
      </c>
      <c r="U36">
        <v>0</v>
      </c>
      <c r="V36">
        <v>2.108910891089109</v>
      </c>
      <c r="W36">
        <v>0.88737623762376228</v>
      </c>
      <c r="X36">
        <v>3.1</v>
      </c>
      <c r="Y36">
        <v>17.8</v>
      </c>
      <c r="Z36">
        <v>58.7</v>
      </c>
      <c r="AA36">
        <v>6</v>
      </c>
      <c r="AB36">
        <v>1.1000000000000001</v>
      </c>
      <c r="AC36">
        <v>32.5</v>
      </c>
      <c r="AD36">
        <v>0</v>
      </c>
      <c r="AE36">
        <v>1.2265758091993186</v>
      </c>
      <c r="AF36">
        <v>0.41524701873935266</v>
      </c>
      <c r="AG36">
        <v>1.7</v>
      </c>
      <c r="AH36">
        <v>22.5</v>
      </c>
      <c r="AI36">
        <v>39.700000000000003</v>
      </c>
    </row>
    <row r="37" spans="1:36" x14ac:dyDescent="0.5">
      <c r="A37">
        <v>0</v>
      </c>
      <c r="B37">
        <v>180</v>
      </c>
      <c r="C37">
        <v>0.1</v>
      </c>
      <c r="D37">
        <v>30</v>
      </c>
      <c r="E37">
        <v>500</v>
      </c>
      <c r="F37">
        <v>150</v>
      </c>
      <c r="G37">
        <v>5</v>
      </c>
      <c r="N37">
        <v>80.94</v>
      </c>
      <c r="O37">
        <v>78.849999999999994</v>
      </c>
      <c r="P37">
        <v>20.76</v>
      </c>
      <c r="Q37">
        <v>48.28</v>
      </c>
      <c r="R37">
        <v>7.17</v>
      </c>
      <c r="S37">
        <v>0.5</v>
      </c>
      <c r="T37">
        <v>43.99</v>
      </c>
      <c r="U37">
        <v>0.06</v>
      </c>
      <c r="V37">
        <v>1.7821043910521954</v>
      </c>
      <c r="W37">
        <v>0.683357497928749</v>
      </c>
      <c r="X37">
        <v>0.39</v>
      </c>
      <c r="Y37">
        <v>18.705185</v>
      </c>
      <c r="Z37">
        <v>53.06</v>
      </c>
      <c r="AA37">
        <v>7.18</v>
      </c>
      <c r="AB37">
        <v>0.47</v>
      </c>
      <c r="AC37">
        <v>39.24</v>
      </c>
      <c r="AD37">
        <v>0.05</v>
      </c>
      <c r="AE37">
        <v>1.6238220882020353</v>
      </c>
      <c r="AF37">
        <v>0.55465510742555602</v>
      </c>
      <c r="AG37">
        <v>0.09</v>
      </c>
      <c r="AH37">
        <v>22.92</v>
      </c>
      <c r="AI37">
        <v>75.67</v>
      </c>
      <c r="AJ37" s="2" t="s">
        <v>48</v>
      </c>
    </row>
    <row r="38" spans="1:36" x14ac:dyDescent="0.5">
      <c r="A38">
        <v>30</v>
      </c>
      <c r="B38">
        <v>180</v>
      </c>
      <c r="C38">
        <v>0.1</v>
      </c>
      <c r="D38">
        <v>30</v>
      </c>
      <c r="E38">
        <v>500</v>
      </c>
      <c r="F38">
        <v>150</v>
      </c>
      <c r="G38">
        <v>5</v>
      </c>
      <c r="N38">
        <v>80.94</v>
      </c>
      <c r="O38">
        <v>78.849999999999994</v>
      </c>
      <c r="P38">
        <v>20.76</v>
      </c>
      <c r="Q38">
        <v>48.28</v>
      </c>
      <c r="R38">
        <v>7.17</v>
      </c>
      <c r="S38">
        <v>0.5</v>
      </c>
      <c r="T38">
        <v>43.99</v>
      </c>
      <c r="U38">
        <v>0.06</v>
      </c>
      <c r="V38">
        <v>1.7821043910521954</v>
      </c>
      <c r="W38">
        <v>0.683357497928749</v>
      </c>
      <c r="X38">
        <v>0.39</v>
      </c>
      <c r="Y38">
        <v>18.705185</v>
      </c>
      <c r="Z38">
        <v>54.42</v>
      </c>
      <c r="AA38">
        <v>6.8</v>
      </c>
      <c r="AB38">
        <v>0.27</v>
      </c>
      <c r="AC38">
        <v>38.450000000000003</v>
      </c>
      <c r="AD38">
        <v>0.06</v>
      </c>
      <c r="AE38">
        <v>1.4994487320837926</v>
      </c>
      <c r="AF38">
        <v>0.52990628445424481</v>
      </c>
      <c r="AG38">
        <v>0.09</v>
      </c>
      <c r="AH38">
        <v>23.04</v>
      </c>
      <c r="AI38">
        <v>73.3</v>
      </c>
    </row>
    <row r="39" spans="1:36" x14ac:dyDescent="0.5">
      <c r="A39">
        <v>60</v>
      </c>
      <c r="B39">
        <v>180</v>
      </c>
      <c r="C39">
        <v>0.1</v>
      </c>
      <c r="D39">
        <v>30</v>
      </c>
      <c r="E39">
        <v>500</v>
      </c>
      <c r="F39">
        <v>150</v>
      </c>
      <c r="G39">
        <v>5</v>
      </c>
      <c r="N39">
        <v>80.94</v>
      </c>
      <c r="O39">
        <v>78.849999999999994</v>
      </c>
      <c r="P39">
        <v>20.76</v>
      </c>
      <c r="Q39">
        <v>48.28</v>
      </c>
      <c r="R39">
        <v>7.17</v>
      </c>
      <c r="S39">
        <v>0.5</v>
      </c>
      <c r="T39">
        <v>43.99</v>
      </c>
      <c r="U39">
        <v>0.06</v>
      </c>
      <c r="V39">
        <v>1.7821043910521954</v>
      </c>
      <c r="W39">
        <v>0.683357497928749</v>
      </c>
      <c r="X39">
        <v>0.39</v>
      </c>
      <c r="Y39">
        <v>18.705185</v>
      </c>
      <c r="Z39">
        <v>60.24</v>
      </c>
      <c r="AA39">
        <v>6.92</v>
      </c>
      <c r="AB39">
        <v>0.48</v>
      </c>
      <c r="AC39">
        <v>32.35</v>
      </c>
      <c r="AD39">
        <v>0</v>
      </c>
      <c r="AE39">
        <v>1.3784860557768923</v>
      </c>
      <c r="AF39">
        <v>0.40276394422310757</v>
      </c>
      <c r="AG39">
        <v>0.02</v>
      </c>
      <c r="AH39">
        <v>25.83</v>
      </c>
      <c r="AI39">
        <v>70.430000000000007</v>
      </c>
    </row>
    <row r="40" spans="1:36" x14ac:dyDescent="0.5">
      <c r="A40">
        <v>0</v>
      </c>
      <c r="B40">
        <v>200</v>
      </c>
      <c r="C40">
        <v>0.1</v>
      </c>
      <c r="D40">
        <v>30</v>
      </c>
      <c r="E40">
        <v>500</v>
      </c>
      <c r="F40">
        <v>150</v>
      </c>
      <c r="G40">
        <v>5</v>
      </c>
      <c r="N40">
        <v>80.94</v>
      </c>
      <c r="O40">
        <v>78.849999999999994</v>
      </c>
      <c r="P40">
        <v>20.76</v>
      </c>
      <c r="Q40">
        <v>48.28</v>
      </c>
      <c r="R40">
        <v>7.17</v>
      </c>
      <c r="S40">
        <v>0.5</v>
      </c>
      <c r="T40">
        <v>43.99</v>
      </c>
      <c r="U40">
        <v>0.06</v>
      </c>
      <c r="V40">
        <v>1.7821043910521954</v>
      </c>
      <c r="W40">
        <v>0.683357497928749</v>
      </c>
      <c r="X40">
        <v>0.39</v>
      </c>
      <c r="Y40">
        <v>18.705185</v>
      </c>
      <c r="Z40">
        <v>62.55</v>
      </c>
      <c r="AA40">
        <v>7.04</v>
      </c>
      <c r="AB40">
        <v>0.45</v>
      </c>
      <c r="AC40">
        <v>29.96</v>
      </c>
      <c r="AD40">
        <v>0</v>
      </c>
      <c r="AE40">
        <v>1.3505995203836931</v>
      </c>
      <c r="AF40">
        <v>0.35923261390887296</v>
      </c>
      <c r="AG40">
        <v>0.05</v>
      </c>
      <c r="AH40">
        <v>27.03</v>
      </c>
      <c r="AI40">
        <v>69.72</v>
      </c>
    </row>
    <row r="41" spans="1:36" x14ac:dyDescent="0.5">
      <c r="A41">
        <v>30</v>
      </c>
      <c r="B41">
        <v>200</v>
      </c>
      <c r="C41">
        <v>0.1</v>
      </c>
      <c r="D41">
        <v>30</v>
      </c>
      <c r="E41">
        <v>500</v>
      </c>
      <c r="F41">
        <v>150</v>
      </c>
      <c r="G41">
        <v>5</v>
      </c>
      <c r="N41">
        <v>80.94</v>
      </c>
      <c r="O41">
        <v>78.849999999999994</v>
      </c>
      <c r="P41">
        <v>20.76</v>
      </c>
      <c r="Q41">
        <v>48.28</v>
      </c>
      <c r="R41">
        <v>7.17</v>
      </c>
      <c r="S41">
        <v>0.5</v>
      </c>
      <c r="T41">
        <v>43.99</v>
      </c>
      <c r="U41">
        <v>0.06</v>
      </c>
      <c r="V41">
        <v>1.7821043910521954</v>
      </c>
      <c r="W41">
        <v>0.683357497928749</v>
      </c>
      <c r="X41">
        <v>0.39</v>
      </c>
      <c r="Y41">
        <v>18.705185</v>
      </c>
      <c r="Z41">
        <v>61.39</v>
      </c>
      <c r="AA41">
        <v>6.75</v>
      </c>
      <c r="AB41">
        <v>0.33</v>
      </c>
      <c r="AC41">
        <v>31.53</v>
      </c>
      <c r="AD41">
        <v>0</v>
      </c>
      <c r="AE41">
        <v>1.3194331324319921</v>
      </c>
      <c r="AF41">
        <v>0.38520117282945104</v>
      </c>
      <c r="AG41">
        <v>0.06</v>
      </c>
      <c r="AH41">
        <v>26.43</v>
      </c>
      <c r="AI41">
        <v>66.94</v>
      </c>
    </row>
    <row r="42" spans="1:36" x14ac:dyDescent="0.5">
      <c r="A42">
        <v>60</v>
      </c>
      <c r="B42">
        <v>200</v>
      </c>
      <c r="C42">
        <v>0.1</v>
      </c>
      <c r="D42">
        <v>30</v>
      </c>
      <c r="E42">
        <v>500</v>
      </c>
      <c r="F42">
        <v>150</v>
      </c>
      <c r="G42">
        <v>5</v>
      </c>
      <c r="N42">
        <v>80.94</v>
      </c>
      <c r="O42">
        <v>78.849999999999994</v>
      </c>
      <c r="P42">
        <v>20.76</v>
      </c>
      <c r="Q42">
        <v>48.28</v>
      </c>
      <c r="R42">
        <v>7.17</v>
      </c>
      <c r="S42">
        <v>0.5</v>
      </c>
      <c r="T42">
        <v>43.99</v>
      </c>
      <c r="U42">
        <v>0.06</v>
      </c>
      <c r="V42">
        <v>1.7821043910521954</v>
      </c>
      <c r="W42">
        <v>0.683357497928749</v>
      </c>
      <c r="X42">
        <v>0.39</v>
      </c>
      <c r="Y42">
        <v>18.705185</v>
      </c>
      <c r="Z42">
        <v>64.430000000000007</v>
      </c>
      <c r="AA42">
        <v>7.04</v>
      </c>
      <c r="AB42">
        <v>0.45</v>
      </c>
      <c r="AC42">
        <v>28.09</v>
      </c>
      <c r="AD42">
        <v>0</v>
      </c>
      <c r="AE42">
        <v>1.3111904392363805</v>
      </c>
      <c r="AF42">
        <v>0.32698277200062076</v>
      </c>
      <c r="AG42">
        <v>0.05</v>
      </c>
      <c r="AH42">
        <v>27.88</v>
      </c>
      <c r="AI42">
        <v>66.12</v>
      </c>
    </row>
    <row r="43" spans="1:36" x14ac:dyDescent="0.5">
      <c r="A43">
        <v>0</v>
      </c>
      <c r="B43">
        <v>220</v>
      </c>
      <c r="C43">
        <v>0.1</v>
      </c>
      <c r="D43">
        <v>30</v>
      </c>
      <c r="E43">
        <v>500</v>
      </c>
      <c r="F43">
        <v>150</v>
      </c>
      <c r="G43">
        <v>5</v>
      </c>
      <c r="N43">
        <v>80.94</v>
      </c>
      <c r="O43">
        <v>78.849999999999994</v>
      </c>
      <c r="P43">
        <v>20.76</v>
      </c>
      <c r="Q43">
        <v>48.28</v>
      </c>
      <c r="R43">
        <v>7.17</v>
      </c>
      <c r="S43">
        <v>0.5</v>
      </c>
      <c r="T43">
        <v>43.99</v>
      </c>
      <c r="U43">
        <v>0.06</v>
      </c>
      <c r="V43">
        <v>1.7821043910521954</v>
      </c>
      <c r="W43">
        <v>0.683357497928749</v>
      </c>
      <c r="X43">
        <v>0.39</v>
      </c>
      <c r="Y43">
        <v>18.705185</v>
      </c>
      <c r="Z43">
        <v>65.819999999999993</v>
      </c>
      <c r="AA43">
        <v>6.87</v>
      </c>
      <c r="AB43">
        <v>0.44</v>
      </c>
      <c r="AC43">
        <v>26.87</v>
      </c>
      <c r="AD43">
        <v>0</v>
      </c>
      <c r="AE43">
        <v>1.2525068368277121</v>
      </c>
      <c r="AF43">
        <v>0.30617593436645402</v>
      </c>
      <c r="AG43">
        <v>0</v>
      </c>
      <c r="AH43">
        <v>28.29</v>
      </c>
      <c r="AI43">
        <v>66.45</v>
      </c>
    </row>
    <row r="44" spans="1:36" x14ac:dyDescent="0.5">
      <c r="A44">
        <v>30</v>
      </c>
      <c r="B44">
        <v>220</v>
      </c>
      <c r="C44">
        <v>0.1</v>
      </c>
      <c r="D44">
        <v>30</v>
      </c>
      <c r="E44">
        <v>500</v>
      </c>
      <c r="F44">
        <v>150</v>
      </c>
      <c r="G44">
        <v>5</v>
      </c>
      <c r="N44">
        <v>80.94</v>
      </c>
      <c r="O44">
        <v>78.849999999999994</v>
      </c>
      <c r="P44">
        <v>20.76</v>
      </c>
      <c r="Q44">
        <v>48.28</v>
      </c>
      <c r="R44">
        <v>7.17</v>
      </c>
      <c r="S44">
        <v>0.5</v>
      </c>
      <c r="T44">
        <v>43.99</v>
      </c>
      <c r="U44">
        <v>0.06</v>
      </c>
      <c r="V44">
        <v>1.7821043910521954</v>
      </c>
      <c r="W44">
        <v>0.683357497928749</v>
      </c>
      <c r="X44">
        <v>0.39</v>
      </c>
      <c r="Y44">
        <v>18.705185</v>
      </c>
      <c r="Z44">
        <v>65.73</v>
      </c>
      <c r="AA44">
        <v>6.34</v>
      </c>
      <c r="AB44">
        <v>0.33</v>
      </c>
      <c r="AC44">
        <v>27.6</v>
      </c>
      <c r="AD44">
        <v>0</v>
      </c>
      <c r="AE44">
        <v>1.1574623459607485</v>
      </c>
      <c r="AF44">
        <v>0.31492469192149702</v>
      </c>
      <c r="AG44">
        <v>0.05</v>
      </c>
      <c r="AH44">
        <v>27.56</v>
      </c>
      <c r="AI44">
        <v>63.13</v>
      </c>
    </row>
    <row r="45" spans="1:36" x14ac:dyDescent="0.5">
      <c r="A45">
        <v>60</v>
      </c>
      <c r="B45">
        <v>220</v>
      </c>
      <c r="C45">
        <v>0.1</v>
      </c>
      <c r="D45">
        <v>30</v>
      </c>
      <c r="E45">
        <v>500</v>
      </c>
      <c r="F45">
        <v>150</v>
      </c>
      <c r="G45">
        <v>5</v>
      </c>
      <c r="N45">
        <v>80.94</v>
      </c>
      <c r="O45">
        <v>78.849999999999994</v>
      </c>
      <c r="P45">
        <v>20.76</v>
      </c>
      <c r="Q45">
        <v>48.28</v>
      </c>
      <c r="R45">
        <v>7.17</v>
      </c>
      <c r="S45">
        <v>0.5</v>
      </c>
      <c r="T45">
        <v>43.99</v>
      </c>
      <c r="U45">
        <v>0.06</v>
      </c>
      <c r="V45">
        <v>1.7821043910521954</v>
      </c>
      <c r="W45">
        <v>0.683357497928749</v>
      </c>
      <c r="X45">
        <v>0.39</v>
      </c>
      <c r="Y45">
        <v>18.705185</v>
      </c>
      <c r="Z45">
        <v>68.83</v>
      </c>
      <c r="AA45">
        <v>6.66</v>
      </c>
      <c r="AB45">
        <v>0.46</v>
      </c>
      <c r="AC45">
        <v>24.05</v>
      </c>
      <c r="AD45">
        <v>0</v>
      </c>
      <c r="AE45">
        <v>1.1611216039517653</v>
      </c>
      <c r="AF45">
        <v>0.26205869533633591</v>
      </c>
      <c r="AG45">
        <v>0</v>
      </c>
      <c r="AH45">
        <v>29.39</v>
      </c>
      <c r="AI45">
        <v>59.19</v>
      </c>
    </row>
    <row r="46" spans="1:36" x14ac:dyDescent="0.5">
      <c r="A46">
        <v>120</v>
      </c>
      <c r="B46">
        <v>180</v>
      </c>
      <c r="C46">
        <v>0.1</v>
      </c>
      <c r="D46">
        <v>20</v>
      </c>
      <c r="E46">
        <v>500</v>
      </c>
      <c r="F46">
        <v>100</v>
      </c>
      <c r="G46">
        <v>5</v>
      </c>
      <c r="O46">
        <v>82.6</v>
      </c>
      <c r="P46">
        <v>8.3000000000000007</v>
      </c>
      <c r="Q46">
        <v>38.25</v>
      </c>
      <c r="R46">
        <v>5.47</v>
      </c>
      <c r="S46">
        <v>3.66</v>
      </c>
      <c r="T46">
        <v>43.82</v>
      </c>
      <c r="U46">
        <v>0.5</v>
      </c>
      <c r="V46">
        <v>1.716078431372549</v>
      </c>
      <c r="W46">
        <v>0.85921568627450984</v>
      </c>
      <c r="X46">
        <v>9.1</v>
      </c>
      <c r="Y46">
        <v>16.13</v>
      </c>
      <c r="Z46">
        <v>42.27</v>
      </c>
      <c r="AA46">
        <v>6.47</v>
      </c>
      <c r="AB46">
        <v>2.19</v>
      </c>
      <c r="AC46">
        <v>42.79</v>
      </c>
      <c r="AD46">
        <v>0.47</v>
      </c>
      <c r="AE46">
        <v>1.8367636621717527</v>
      </c>
      <c r="AF46">
        <v>0.75922640170333555</v>
      </c>
      <c r="AG46">
        <v>5.81</v>
      </c>
      <c r="AH46">
        <v>18.61</v>
      </c>
      <c r="AI46">
        <v>70.75</v>
      </c>
      <c r="AJ46" t="s">
        <v>50</v>
      </c>
    </row>
    <row r="47" spans="1:36" x14ac:dyDescent="0.5">
      <c r="A47">
        <v>120</v>
      </c>
      <c r="B47">
        <v>180</v>
      </c>
      <c r="C47">
        <v>0.1</v>
      </c>
      <c r="D47">
        <v>20</v>
      </c>
      <c r="E47">
        <v>500</v>
      </c>
      <c r="F47">
        <v>300</v>
      </c>
      <c r="G47">
        <v>15</v>
      </c>
      <c r="O47">
        <v>82.6</v>
      </c>
      <c r="P47">
        <v>8.3000000000000007</v>
      </c>
      <c r="Q47">
        <v>38.25</v>
      </c>
      <c r="R47">
        <v>5.47</v>
      </c>
      <c r="S47">
        <v>3.66</v>
      </c>
      <c r="T47">
        <v>43.82</v>
      </c>
      <c r="U47">
        <v>0.5</v>
      </c>
      <c r="V47">
        <v>1.716078431372549</v>
      </c>
      <c r="W47">
        <v>0.85921568627450984</v>
      </c>
      <c r="X47">
        <v>9.1</v>
      </c>
      <c r="Y47">
        <v>16.13</v>
      </c>
      <c r="Z47">
        <v>41.01</v>
      </c>
      <c r="AA47">
        <v>6.22</v>
      </c>
      <c r="AB47">
        <v>2.0699999999999998</v>
      </c>
      <c r="AC47">
        <v>43.93</v>
      </c>
      <c r="AD47">
        <v>0.52</v>
      </c>
      <c r="AE47">
        <v>1.8200438917337234</v>
      </c>
      <c r="AF47">
        <v>0.80340160936356986</v>
      </c>
      <c r="AG47">
        <v>6.25</v>
      </c>
      <c r="AH47">
        <v>18.14</v>
      </c>
      <c r="AI47">
        <v>55.13</v>
      </c>
    </row>
    <row r="48" spans="1:36" x14ac:dyDescent="0.5">
      <c r="A48">
        <v>360</v>
      </c>
      <c r="B48">
        <v>180</v>
      </c>
      <c r="C48">
        <v>0.1</v>
      </c>
      <c r="D48">
        <v>20</v>
      </c>
      <c r="E48">
        <v>500</v>
      </c>
      <c r="F48">
        <v>100</v>
      </c>
      <c r="G48">
        <v>5</v>
      </c>
      <c r="O48">
        <v>82.6</v>
      </c>
      <c r="P48">
        <v>8.3000000000000007</v>
      </c>
      <c r="Q48">
        <v>38.25</v>
      </c>
      <c r="R48">
        <v>5.47</v>
      </c>
      <c r="S48">
        <v>3.66</v>
      </c>
      <c r="T48">
        <v>43.82</v>
      </c>
      <c r="U48">
        <v>0.5</v>
      </c>
      <c r="V48">
        <v>1.716078431372549</v>
      </c>
      <c r="W48">
        <v>0.85921568627450984</v>
      </c>
      <c r="X48">
        <v>9.1</v>
      </c>
      <c r="Y48">
        <v>16.13</v>
      </c>
      <c r="Z48">
        <v>49.16</v>
      </c>
      <c r="AA48">
        <v>7.26</v>
      </c>
      <c r="AB48">
        <v>2.85</v>
      </c>
      <c r="AC48">
        <v>34.51</v>
      </c>
      <c r="AD48">
        <v>0.49</v>
      </c>
      <c r="AE48">
        <v>1.7721724979658258</v>
      </c>
      <c r="AF48">
        <v>0.52649511798209925</v>
      </c>
      <c r="AG48">
        <v>5.73</v>
      </c>
      <c r="AH48">
        <v>18.14</v>
      </c>
      <c r="AI48">
        <v>49.02</v>
      </c>
    </row>
    <row r="49" spans="1:35" x14ac:dyDescent="0.5">
      <c r="A49">
        <v>360</v>
      </c>
      <c r="B49">
        <v>180</v>
      </c>
      <c r="C49">
        <v>0.1</v>
      </c>
      <c r="D49">
        <v>20</v>
      </c>
      <c r="E49">
        <v>500</v>
      </c>
      <c r="F49">
        <v>300</v>
      </c>
      <c r="G49">
        <v>15</v>
      </c>
      <c r="O49">
        <v>82.6</v>
      </c>
      <c r="P49">
        <v>8.3000000000000007</v>
      </c>
      <c r="Q49">
        <v>38.25</v>
      </c>
      <c r="R49">
        <v>5.47</v>
      </c>
      <c r="S49">
        <v>3.66</v>
      </c>
      <c r="T49">
        <v>43.82</v>
      </c>
      <c r="U49">
        <v>0.5</v>
      </c>
      <c r="V49">
        <v>1.716078431372549</v>
      </c>
      <c r="W49">
        <v>0.85921568627450984</v>
      </c>
      <c r="X49">
        <v>9.1</v>
      </c>
      <c r="Y49">
        <v>16.13</v>
      </c>
      <c r="Z49">
        <v>52.94</v>
      </c>
      <c r="AA49">
        <v>7.37</v>
      </c>
      <c r="AB49">
        <v>2.42</v>
      </c>
      <c r="AC49">
        <v>30.78</v>
      </c>
      <c r="AD49">
        <v>0.41</v>
      </c>
      <c r="AE49">
        <v>1.6705704571212696</v>
      </c>
      <c r="AF49">
        <v>0.43605969021533819</v>
      </c>
      <c r="AG49">
        <v>6.08</v>
      </c>
      <c r="AH49">
        <v>22.75</v>
      </c>
      <c r="AI49">
        <v>40.020000000000003</v>
      </c>
    </row>
    <row r="50" spans="1:35" x14ac:dyDescent="0.5">
      <c r="A50">
        <v>240</v>
      </c>
      <c r="B50">
        <v>160</v>
      </c>
      <c r="C50">
        <v>0.1</v>
      </c>
      <c r="D50">
        <v>20</v>
      </c>
      <c r="E50">
        <v>500</v>
      </c>
      <c r="F50">
        <v>150</v>
      </c>
      <c r="G50">
        <v>7.5</v>
      </c>
      <c r="O50">
        <v>82.6</v>
      </c>
      <c r="P50">
        <v>8.3000000000000007</v>
      </c>
      <c r="Q50">
        <v>38.25</v>
      </c>
      <c r="R50">
        <v>5.47</v>
      </c>
      <c r="S50">
        <v>3.66</v>
      </c>
      <c r="T50">
        <v>43.82</v>
      </c>
      <c r="U50">
        <v>0.5</v>
      </c>
      <c r="V50">
        <v>1.716078431372549</v>
      </c>
      <c r="W50">
        <v>0.85921568627450984</v>
      </c>
      <c r="X50">
        <v>9.1</v>
      </c>
      <c r="Y50">
        <v>16.13</v>
      </c>
      <c r="Z50">
        <v>45.82</v>
      </c>
      <c r="AA50">
        <v>5.61</v>
      </c>
      <c r="AB50">
        <v>2.77</v>
      </c>
      <c r="AC50">
        <v>39.21</v>
      </c>
      <c r="AD50">
        <v>0.25</v>
      </c>
      <c r="AE50">
        <v>1.4692274116106505</v>
      </c>
      <c r="AF50">
        <v>0.64180488869489305</v>
      </c>
      <c r="AG50">
        <v>6.34</v>
      </c>
      <c r="AH50">
        <v>19.420000000000002</v>
      </c>
      <c r="AI50">
        <v>57.38</v>
      </c>
    </row>
    <row r="51" spans="1:35" x14ac:dyDescent="0.5">
      <c r="A51">
        <v>240</v>
      </c>
      <c r="B51">
        <v>210</v>
      </c>
      <c r="C51">
        <v>0.1</v>
      </c>
      <c r="D51">
        <v>20</v>
      </c>
      <c r="E51">
        <v>500</v>
      </c>
      <c r="F51">
        <v>80</v>
      </c>
      <c r="G51">
        <v>4</v>
      </c>
      <c r="O51">
        <v>82.6</v>
      </c>
      <c r="P51">
        <v>8.3000000000000007</v>
      </c>
      <c r="Q51">
        <v>38.25</v>
      </c>
      <c r="R51">
        <v>5.47</v>
      </c>
      <c r="S51">
        <v>3.66</v>
      </c>
      <c r="T51">
        <v>43.82</v>
      </c>
      <c r="U51">
        <v>0.5</v>
      </c>
      <c r="V51">
        <v>1.716078431372549</v>
      </c>
      <c r="W51">
        <v>0.85921568627450984</v>
      </c>
      <c r="X51">
        <v>9.1</v>
      </c>
      <c r="Y51">
        <v>16.13</v>
      </c>
      <c r="Z51">
        <v>50.37</v>
      </c>
      <c r="AA51">
        <v>7.72</v>
      </c>
      <c r="AB51">
        <v>2.96</v>
      </c>
      <c r="AC51">
        <v>32.68</v>
      </c>
      <c r="AD51">
        <v>0.49</v>
      </c>
      <c r="AE51">
        <v>1.8391899940440739</v>
      </c>
      <c r="AF51">
        <v>0.48659916617033949</v>
      </c>
      <c r="AG51">
        <v>5.78</v>
      </c>
      <c r="AH51">
        <v>24.29</v>
      </c>
      <c r="AI51">
        <v>53.11</v>
      </c>
    </row>
    <row r="52" spans="1:35" x14ac:dyDescent="0.5">
      <c r="A52">
        <v>240</v>
      </c>
      <c r="B52">
        <v>210</v>
      </c>
      <c r="C52">
        <v>0.1</v>
      </c>
      <c r="D52">
        <v>20</v>
      </c>
      <c r="E52">
        <v>500</v>
      </c>
      <c r="F52">
        <v>115</v>
      </c>
      <c r="G52">
        <v>5.75</v>
      </c>
      <c r="O52">
        <v>82.6</v>
      </c>
      <c r="P52">
        <v>8.3000000000000007</v>
      </c>
      <c r="Q52">
        <v>38.25</v>
      </c>
      <c r="R52">
        <v>5.47</v>
      </c>
      <c r="S52">
        <v>3.66</v>
      </c>
      <c r="T52">
        <v>43.82</v>
      </c>
      <c r="U52">
        <v>0.5</v>
      </c>
      <c r="V52">
        <v>1.716078431372549</v>
      </c>
      <c r="W52">
        <v>0.85921568627450984</v>
      </c>
      <c r="X52">
        <v>9.1</v>
      </c>
      <c r="Y52">
        <v>16.13</v>
      </c>
      <c r="Z52">
        <v>51.94</v>
      </c>
      <c r="AA52">
        <v>7.1</v>
      </c>
      <c r="AB52">
        <v>3.01</v>
      </c>
      <c r="AC52">
        <v>31.52</v>
      </c>
      <c r="AD52">
        <v>0.4</v>
      </c>
      <c r="AE52">
        <v>1.6403542549095109</v>
      </c>
      <c r="AF52">
        <v>0.45514054678475163</v>
      </c>
      <c r="AG52">
        <v>6.03</v>
      </c>
      <c r="AH52">
        <v>24.81</v>
      </c>
      <c r="AI52">
        <v>53.02</v>
      </c>
    </row>
    <row r="53" spans="1:35" x14ac:dyDescent="0.5">
      <c r="A53">
        <v>40</v>
      </c>
      <c r="B53">
        <v>210</v>
      </c>
      <c r="C53">
        <v>0.1</v>
      </c>
      <c r="D53">
        <v>20</v>
      </c>
      <c r="E53">
        <v>500</v>
      </c>
      <c r="F53">
        <v>150</v>
      </c>
      <c r="G53">
        <v>7.5</v>
      </c>
      <c r="O53">
        <v>82.6</v>
      </c>
      <c r="P53">
        <v>8.3000000000000007</v>
      </c>
      <c r="Q53">
        <v>38.25</v>
      </c>
      <c r="R53">
        <v>5.47</v>
      </c>
      <c r="S53">
        <v>3.66</v>
      </c>
      <c r="T53">
        <v>43.82</v>
      </c>
      <c r="U53">
        <v>0.5</v>
      </c>
      <c r="V53">
        <v>1.716078431372549</v>
      </c>
      <c r="W53">
        <v>0.85921568627450984</v>
      </c>
      <c r="X53">
        <v>9.1</v>
      </c>
      <c r="Y53">
        <v>16.13</v>
      </c>
      <c r="Z53">
        <v>40.36</v>
      </c>
      <c r="AA53">
        <v>7.15</v>
      </c>
      <c r="AB53">
        <v>2.62</v>
      </c>
      <c r="AC53">
        <v>43.47</v>
      </c>
      <c r="AD53">
        <v>0.48</v>
      </c>
      <c r="AE53">
        <v>2.1258671952428148</v>
      </c>
      <c r="AF53">
        <v>0.80779236868186322</v>
      </c>
      <c r="AG53">
        <v>5.92</v>
      </c>
      <c r="AH53">
        <v>18.579999999999998</v>
      </c>
      <c r="AI53">
        <v>66.010000000000005</v>
      </c>
    </row>
    <row r="54" spans="1:35" x14ac:dyDescent="0.5">
      <c r="A54">
        <v>240</v>
      </c>
      <c r="B54">
        <v>210</v>
      </c>
      <c r="C54">
        <v>0.1</v>
      </c>
      <c r="D54">
        <v>20</v>
      </c>
      <c r="E54">
        <v>500</v>
      </c>
      <c r="F54">
        <v>150</v>
      </c>
      <c r="G54">
        <v>7.5</v>
      </c>
      <c r="O54">
        <v>82.6</v>
      </c>
      <c r="P54">
        <v>8.3000000000000007</v>
      </c>
      <c r="Q54">
        <v>38.25</v>
      </c>
      <c r="R54">
        <v>5.47</v>
      </c>
      <c r="S54">
        <v>3.66</v>
      </c>
      <c r="T54">
        <v>43.82</v>
      </c>
      <c r="U54">
        <v>0.5</v>
      </c>
      <c r="V54">
        <v>1.716078431372549</v>
      </c>
      <c r="W54">
        <v>0.85921568627450984</v>
      </c>
      <c r="X54">
        <v>9.1</v>
      </c>
      <c r="Y54">
        <v>16.13</v>
      </c>
      <c r="Z54">
        <v>51.19</v>
      </c>
      <c r="AA54">
        <v>8.5299999999999994</v>
      </c>
      <c r="AB54">
        <v>3.16</v>
      </c>
      <c r="AC54">
        <v>30.8</v>
      </c>
      <c r="AD54">
        <v>0.33</v>
      </c>
      <c r="AE54">
        <v>1.9996092986911504</v>
      </c>
      <c r="AF54">
        <v>0.4512600117210393</v>
      </c>
      <c r="AG54">
        <v>5.99</v>
      </c>
      <c r="AH54">
        <v>24.62</v>
      </c>
      <c r="AI54">
        <v>52.16</v>
      </c>
    </row>
    <row r="55" spans="1:35" x14ac:dyDescent="0.5">
      <c r="A55">
        <v>240</v>
      </c>
      <c r="B55">
        <v>210</v>
      </c>
      <c r="C55">
        <v>0.1</v>
      </c>
      <c r="D55">
        <v>20</v>
      </c>
      <c r="E55">
        <v>500</v>
      </c>
      <c r="F55">
        <v>150</v>
      </c>
      <c r="G55">
        <v>7.5</v>
      </c>
      <c r="O55">
        <v>82.6</v>
      </c>
      <c r="P55">
        <v>8.3000000000000007</v>
      </c>
      <c r="Q55">
        <v>38.25</v>
      </c>
      <c r="R55">
        <v>5.47</v>
      </c>
      <c r="S55">
        <v>3.66</v>
      </c>
      <c r="T55">
        <v>43.82</v>
      </c>
      <c r="U55">
        <v>0.5</v>
      </c>
      <c r="V55">
        <v>1.716078431372549</v>
      </c>
      <c r="W55">
        <v>0.85921568627450984</v>
      </c>
      <c r="X55">
        <v>9.1</v>
      </c>
      <c r="Y55">
        <v>16.13</v>
      </c>
      <c r="Z55">
        <v>52.03</v>
      </c>
      <c r="AA55">
        <v>8.08</v>
      </c>
      <c r="AB55">
        <v>3.06</v>
      </c>
      <c r="AC55">
        <v>30.4</v>
      </c>
      <c r="AD55">
        <v>0.27</v>
      </c>
      <c r="AE55">
        <v>1.8635402652315971</v>
      </c>
      <c r="AF55">
        <v>0.43820872573515279</v>
      </c>
      <c r="AG55">
        <v>6.16</v>
      </c>
      <c r="AH55">
        <v>24.91</v>
      </c>
      <c r="AI55">
        <v>52.37</v>
      </c>
    </row>
    <row r="56" spans="1:35" x14ac:dyDescent="0.5">
      <c r="A56">
        <v>240</v>
      </c>
      <c r="B56">
        <v>210</v>
      </c>
      <c r="C56">
        <v>0.1</v>
      </c>
      <c r="D56">
        <v>20</v>
      </c>
      <c r="E56">
        <v>500</v>
      </c>
      <c r="F56">
        <v>150</v>
      </c>
      <c r="G56">
        <v>7.5</v>
      </c>
      <c r="O56">
        <v>82.6</v>
      </c>
      <c r="P56">
        <v>8.3000000000000007</v>
      </c>
      <c r="Q56">
        <v>38.25</v>
      </c>
      <c r="R56">
        <v>5.47</v>
      </c>
      <c r="S56">
        <v>3.66</v>
      </c>
      <c r="T56">
        <v>43.82</v>
      </c>
      <c r="U56">
        <v>0.5</v>
      </c>
      <c r="V56">
        <v>1.716078431372549</v>
      </c>
      <c r="W56">
        <v>0.85921568627450984</v>
      </c>
      <c r="X56">
        <v>9.1</v>
      </c>
      <c r="Y56">
        <v>16.13</v>
      </c>
      <c r="Z56">
        <v>52.81</v>
      </c>
      <c r="AA56">
        <v>7.83</v>
      </c>
      <c r="AB56">
        <v>3.93</v>
      </c>
      <c r="AC56">
        <v>29.52</v>
      </c>
      <c r="AD56">
        <v>0.33</v>
      </c>
      <c r="AE56">
        <v>1.77920848324181</v>
      </c>
      <c r="AF56">
        <v>0.41923878053398972</v>
      </c>
      <c r="AG56">
        <v>6.58</v>
      </c>
      <c r="AH56">
        <v>25.01</v>
      </c>
      <c r="AI56">
        <v>51.64</v>
      </c>
    </row>
    <row r="57" spans="1:35" x14ac:dyDescent="0.5">
      <c r="A57">
        <v>240</v>
      </c>
      <c r="B57">
        <v>210</v>
      </c>
      <c r="C57">
        <v>0.1</v>
      </c>
      <c r="D57">
        <v>20</v>
      </c>
      <c r="E57">
        <v>500</v>
      </c>
      <c r="F57">
        <v>150</v>
      </c>
      <c r="G57">
        <v>7.5</v>
      </c>
      <c r="O57">
        <v>82.6</v>
      </c>
      <c r="P57">
        <v>8.3000000000000007</v>
      </c>
      <c r="Q57">
        <v>38.25</v>
      </c>
      <c r="R57">
        <v>5.47</v>
      </c>
      <c r="S57">
        <v>3.66</v>
      </c>
      <c r="T57">
        <v>43.82</v>
      </c>
      <c r="U57">
        <v>0.5</v>
      </c>
      <c r="V57">
        <v>1.716078431372549</v>
      </c>
      <c r="W57">
        <v>0.85921568627450984</v>
      </c>
      <c r="X57">
        <v>9.1</v>
      </c>
      <c r="Y57">
        <v>16.13</v>
      </c>
      <c r="Z57">
        <v>50.49</v>
      </c>
      <c r="AA57">
        <v>7.59</v>
      </c>
      <c r="AB57">
        <v>3.37</v>
      </c>
      <c r="AC57">
        <v>32.020000000000003</v>
      </c>
      <c r="AD57">
        <v>0.34</v>
      </c>
      <c r="AE57">
        <v>1.8039215686274508</v>
      </c>
      <c r="AF57">
        <v>0.47563874034462267</v>
      </c>
      <c r="AG57">
        <v>6.19</v>
      </c>
      <c r="AH57">
        <v>24.84</v>
      </c>
      <c r="AI57">
        <v>50.68</v>
      </c>
    </row>
    <row r="58" spans="1:35" x14ac:dyDescent="0.5">
      <c r="A58">
        <v>240</v>
      </c>
      <c r="B58">
        <v>210</v>
      </c>
      <c r="C58">
        <v>0.1</v>
      </c>
      <c r="D58">
        <v>20</v>
      </c>
      <c r="E58">
        <v>500</v>
      </c>
      <c r="F58">
        <v>150</v>
      </c>
      <c r="G58">
        <v>7.5</v>
      </c>
      <c r="O58">
        <v>82.6</v>
      </c>
      <c r="P58">
        <v>8.3000000000000007</v>
      </c>
      <c r="Q58">
        <v>38.25</v>
      </c>
      <c r="R58">
        <v>5.47</v>
      </c>
      <c r="S58">
        <v>3.66</v>
      </c>
      <c r="T58">
        <v>43.82</v>
      </c>
      <c r="U58">
        <v>0.5</v>
      </c>
      <c r="V58">
        <v>1.716078431372549</v>
      </c>
      <c r="W58">
        <v>0.85921568627450984</v>
      </c>
      <c r="X58">
        <v>9.1</v>
      </c>
      <c r="Y58">
        <v>16.13</v>
      </c>
      <c r="Z58">
        <v>49.76</v>
      </c>
      <c r="AA58">
        <v>8.11</v>
      </c>
      <c r="AB58">
        <v>2.87</v>
      </c>
      <c r="AC58">
        <v>32.14</v>
      </c>
      <c r="AD58">
        <v>0.28999999999999998</v>
      </c>
      <c r="AE58">
        <v>1.9557877813504823</v>
      </c>
      <c r="AF58">
        <v>0.48442524115755631</v>
      </c>
      <c r="AG58">
        <v>6.83</v>
      </c>
      <c r="AH58">
        <v>24.16</v>
      </c>
      <c r="AI58">
        <v>51.92</v>
      </c>
    </row>
    <row r="59" spans="1:35" x14ac:dyDescent="0.5">
      <c r="A59">
        <v>240</v>
      </c>
      <c r="B59">
        <v>210</v>
      </c>
      <c r="C59">
        <v>0.1</v>
      </c>
      <c r="D59">
        <v>20</v>
      </c>
      <c r="E59">
        <v>500</v>
      </c>
      <c r="F59">
        <v>150</v>
      </c>
      <c r="G59">
        <v>7.5</v>
      </c>
      <c r="O59">
        <v>82.6</v>
      </c>
      <c r="P59">
        <v>8.3000000000000007</v>
      </c>
      <c r="Q59">
        <v>38.25</v>
      </c>
      <c r="R59">
        <v>5.47</v>
      </c>
      <c r="S59">
        <v>3.66</v>
      </c>
      <c r="T59">
        <v>43.82</v>
      </c>
      <c r="U59">
        <v>0.5</v>
      </c>
      <c r="V59">
        <v>1.716078431372549</v>
      </c>
      <c r="W59">
        <v>0.85921568627450984</v>
      </c>
      <c r="X59">
        <v>9.1</v>
      </c>
      <c r="Y59">
        <v>16.13</v>
      </c>
      <c r="Z59">
        <v>50.83</v>
      </c>
      <c r="AA59">
        <v>7.86</v>
      </c>
      <c r="AB59">
        <v>3.08</v>
      </c>
      <c r="AC59">
        <v>31.36</v>
      </c>
      <c r="AD59">
        <v>0.26</v>
      </c>
      <c r="AE59">
        <v>1.8555970883336614</v>
      </c>
      <c r="AF59">
        <v>0.46271886681093843</v>
      </c>
      <c r="AG59">
        <v>6.61</v>
      </c>
      <c r="AH59">
        <v>25.18</v>
      </c>
      <c r="AI59">
        <v>50.83</v>
      </c>
    </row>
    <row r="60" spans="1:35" x14ac:dyDescent="0.5">
      <c r="A60">
        <v>440</v>
      </c>
      <c r="B60">
        <v>210</v>
      </c>
      <c r="C60">
        <v>0.1</v>
      </c>
      <c r="D60">
        <v>20</v>
      </c>
      <c r="E60">
        <v>500</v>
      </c>
      <c r="F60">
        <v>150</v>
      </c>
      <c r="G60">
        <v>7.5</v>
      </c>
      <c r="O60">
        <v>82.6</v>
      </c>
      <c r="P60">
        <v>8.3000000000000007</v>
      </c>
      <c r="Q60">
        <v>38.25</v>
      </c>
      <c r="R60">
        <v>5.47</v>
      </c>
      <c r="S60">
        <v>3.66</v>
      </c>
      <c r="T60">
        <v>43.82</v>
      </c>
      <c r="U60">
        <v>0.5</v>
      </c>
      <c r="V60">
        <v>1.716078431372549</v>
      </c>
      <c r="W60">
        <v>0.85921568627450984</v>
      </c>
      <c r="X60">
        <v>9.1</v>
      </c>
      <c r="Y60">
        <v>16.13</v>
      </c>
      <c r="Z60">
        <v>58.68</v>
      </c>
      <c r="AA60">
        <v>6.52</v>
      </c>
      <c r="AB60">
        <v>2.68</v>
      </c>
      <c r="AC60">
        <v>24.46</v>
      </c>
      <c r="AD60">
        <v>0.35</v>
      </c>
      <c r="AE60">
        <v>1.3333333333333333</v>
      </c>
      <c r="AF60">
        <v>0.31262781186094074</v>
      </c>
      <c r="AG60">
        <v>7.31</v>
      </c>
      <c r="AH60">
        <v>26.01</v>
      </c>
      <c r="AI60">
        <v>46.74</v>
      </c>
    </row>
    <row r="61" spans="1:35" x14ac:dyDescent="0.5">
      <c r="A61">
        <v>120</v>
      </c>
      <c r="B61">
        <v>240</v>
      </c>
      <c r="C61">
        <v>0.1</v>
      </c>
      <c r="D61">
        <v>20</v>
      </c>
      <c r="E61">
        <v>500</v>
      </c>
      <c r="F61">
        <v>100</v>
      </c>
      <c r="G61">
        <v>5</v>
      </c>
      <c r="O61">
        <v>82.6</v>
      </c>
      <c r="P61">
        <v>8.3000000000000007</v>
      </c>
      <c r="Q61">
        <v>38.25</v>
      </c>
      <c r="R61">
        <v>5.47</v>
      </c>
      <c r="S61">
        <v>3.66</v>
      </c>
      <c r="T61">
        <v>43.82</v>
      </c>
      <c r="U61">
        <v>0.5</v>
      </c>
      <c r="V61">
        <v>1.716078431372549</v>
      </c>
      <c r="W61">
        <v>0.85921568627450984</v>
      </c>
      <c r="X61">
        <v>9.1</v>
      </c>
      <c r="Y61">
        <v>16.13</v>
      </c>
      <c r="Z61">
        <v>48.67</v>
      </c>
      <c r="AA61">
        <v>7.84</v>
      </c>
      <c r="AB61">
        <v>3.15</v>
      </c>
      <c r="AC61">
        <v>33.39</v>
      </c>
      <c r="AD61">
        <v>0.23</v>
      </c>
      <c r="AE61">
        <v>1.9330182864187384</v>
      </c>
      <c r="AF61">
        <v>0.51453667557016647</v>
      </c>
      <c r="AG61">
        <v>6.72</v>
      </c>
      <c r="AH61">
        <v>24.15</v>
      </c>
      <c r="AI61">
        <v>56.81</v>
      </c>
    </row>
    <row r="62" spans="1:35" x14ac:dyDescent="0.5">
      <c r="A62">
        <v>120</v>
      </c>
      <c r="B62">
        <v>240</v>
      </c>
      <c r="C62">
        <v>0.1</v>
      </c>
      <c r="D62">
        <v>20</v>
      </c>
      <c r="E62">
        <v>500</v>
      </c>
      <c r="F62">
        <v>300</v>
      </c>
      <c r="G62">
        <v>15</v>
      </c>
      <c r="O62">
        <v>82.6</v>
      </c>
      <c r="P62">
        <v>8.3000000000000007</v>
      </c>
      <c r="Q62">
        <v>38.25</v>
      </c>
      <c r="R62">
        <v>5.47</v>
      </c>
      <c r="S62">
        <v>3.66</v>
      </c>
      <c r="T62">
        <v>43.82</v>
      </c>
      <c r="U62">
        <v>0.5</v>
      </c>
      <c r="V62">
        <v>1.716078431372549</v>
      </c>
      <c r="W62">
        <v>0.85921568627450984</v>
      </c>
      <c r="X62">
        <v>9.1</v>
      </c>
      <c r="Y62">
        <v>16.13</v>
      </c>
      <c r="Z62">
        <v>50.52</v>
      </c>
      <c r="AA62">
        <v>7.61</v>
      </c>
      <c r="AB62">
        <v>2.61</v>
      </c>
      <c r="AC62">
        <v>32.630000000000003</v>
      </c>
      <c r="AD62">
        <v>0.36</v>
      </c>
      <c r="AE62">
        <v>1.8076009501187649</v>
      </c>
      <c r="AF62">
        <v>0.48441211401425183</v>
      </c>
      <c r="AG62">
        <v>6.27</v>
      </c>
      <c r="AH62">
        <v>24.01</v>
      </c>
      <c r="AI62">
        <v>44.85</v>
      </c>
    </row>
    <row r="63" spans="1:35" x14ac:dyDescent="0.5">
      <c r="A63">
        <v>360</v>
      </c>
      <c r="B63">
        <v>240</v>
      </c>
      <c r="C63">
        <v>0.1</v>
      </c>
      <c r="D63">
        <v>20</v>
      </c>
      <c r="E63">
        <v>500</v>
      </c>
      <c r="F63">
        <v>100</v>
      </c>
      <c r="G63">
        <v>5</v>
      </c>
      <c r="O63">
        <v>82.6</v>
      </c>
      <c r="P63">
        <v>8.3000000000000007</v>
      </c>
      <c r="Q63">
        <v>38.25</v>
      </c>
      <c r="R63">
        <v>5.47</v>
      </c>
      <c r="S63">
        <v>3.66</v>
      </c>
      <c r="T63">
        <v>43.82</v>
      </c>
      <c r="U63">
        <v>0.5</v>
      </c>
      <c r="V63">
        <v>1.716078431372549</v>
      </c>
      <c r="W63">
        <v>0.85921568627450984</v>
      </c>
      <c r="X63">
        <v>9.1</v>
      </c>
      <c r="Y63">
        <v>16.13</v>
      </c>
      <c r="Z63">
        <v>61.23</v>
      </c>
      <c r="AA63">
        <v>7.08</v>
      </c>
      <c r="AB63">
        <v>3.54</v>
      </c>
      <c r="AC63">
        <v>20.100000000000001</v>
      </c>
      <c r="AD63">
        <v>0.47</v>
      </c>
      <c r="AE63">
        <v>1.3875551200391965</v>
      </c>
      <c r="AF63">
        <v>0.24620284174424303</v>
      </c>
      <c r="AG63">
        <v>7.58</v>
      </c>
      <c r="AH63">
        <v>27.97</v>
      </c>
      <c r="AI63">
        <v>48.11</v>
      </c>
    </row>
    <row r="64" spans="1:35" x14ac:dyDescent="0.5">
      <c r="A64">
        <v>360</v>
      </c>
      <c r="B64">
        <v>240</v>
      </c>
      <c r="C64">
        <v>0.1</v>
      </c>
      <c r="D64">
        <v>20</v>
      </c>
      <c r="E64">
        <v>500</v>
      </c>
      <c r="F64">
        <v>300</v>
      </c>
      <c r="G64">
        <v>15</v>
      </c>
      <c r="O64">
        <v>82.6</v>
      </c>
      <c r="P64">
        <v>8.3000000000000007</v>
      </c>
      <c r="Q64">
        <v>38.25</v>
      </c>
      <c r="R64">
        <v>5.47</v>
      </c>
      <c r="S64">
        <v>3.66</v>
      </c>
      <c r="T64">
        <v>43.82</v>
      </c>
      <c r="U64">
        <v>0.5</v>
      </c>
      <c r="V64">
        <v>1.716078431372549</v>
      </c>
      <c r="W64">
        <v>0.85921568627450984</v>
      </c>
      <c r="X64">
        <v>9.1</v>
      </c>
      <c r="Y64">
        <v>16.13</v>
      </c>
      <c r="Z64">
        <v>65.819999999999993</v>
      </c>
      <c r="AA64">
        <v>6.36</v>
      </c>
      <c r="AB64">
        <v>2.76</v>
      </c>
      <c r="AC64">
        <v>17.3</v>
      </c>
      <c r="AD64">
        <v>0.4</v>
      </c>
      <c r="AE64">
        <v>1.1595259799453055</v>
      </c>
      <c r="AF64">
        <v>0.19712853236098454</v>
      </c>
      <c r="AG64">
        <v>7.36</v>
      </c>
      <c r="AH64">
        <v>29.03</v>
      </c>
      <c r="AI64">
        <v>37.81</v>
      </c>
    </row>
    <row r="65" spans="1:36" x14ac:dyDescent="0.5">
      <c r="A65">
        <v>240</v>
      </c>
      <c r="B65">
        <v>260</v>
      </c>
      <c r="C65">
        <v>0.1</v>
      </c>
      <c r="D65">
        <v>20</v>
      </c>
      <c r="E65">
        <v>500</v>
      </c>
      <c r="F65">
        <v>150</v>
      </c>
      <c r="G65">
        <v>7.5</v>
      </c>
      <c r="O65">
        <v>82.6</v>
      </c>
      <c r="P65">
        <v>8.3000000000000007</v>
      </c>
      <c r="Q65">
        <v>38.25</v>
      </c>
      <c r="R65">
        <v>5.47</v>
      </c>
      <c r="S65">
        <v>3.66</v>
      </c>
      <c r="T65">
        <v>43.82</v>
      </c>
      <c r="U65">
        <v>0.5</v>
      </c>
      <c r="V65">
        <v>1.716078431372549</v>
      </c>
      <c r="W65">
        <v>0.85921568627450984</v>
      </c>
      <c r="X65">
        <v>9.1</v>
      </c>
      <c r="Y65">
        <v>16.13</v>
      </c>
      <c r="Z65">
        <v>64.290000000000006</v>
      </c>
      <c r="AA65">
        <v>6.14</v>
      </c>
      <c r="AB65">
        <v>3.48</v>
      </c>
      <c r="AC65">
        <v>18.48</v>
      </c>
      <c r="AD65">
        <v>0.47</v>
      </c>
      <c r="AE65">
        <v>1.1460569295380305</v>
      </c>
      <c r="AF65">
        <v>0.21558562762482497</v>
      </c>
      <c r="AG65">
        <v>7.14</v>
      </c>
      <c r="AH65">
        <v>28.54</v>
      </c>
      <c r="AI65">
        <v>47.68</v>
      </c>
    </row>
    <row r="66" spans="1:36" x14ac:dyDescent="0.5">
      <c r="A66">
        <v>250</v>
      </c>
      <c r="B66">
        <v>180</v>
      </c>
      <c r="C66">
        <v>1</v>
      </c>
      <c r="D66">
        <v>8</v>
      </c>
      <c r="E66">
        <v>100</v>
      </c>
      <c r="F66">
        <v>80</v>
      </c>
      <c r="G66">
        <v>10</v>
      </c>
      <c r="K66">
        <v>38.130000000000003</v>
      </c>
      <c r="L66">
        <v>18.87</v>
      </c>
      <c r="M66">
        <v>16.079999999999998</v>
      </c>
      <c r="Q66">
        <v>39.880000000000003</v>
      </c>
      <c r="R66">
        <v>5.54</v>
      </c>
      <c r="S66">
        <v>0.67</v>
      </c>
      <c r="T66">
        <v>53.92</v>
      </c>
      <c r="U66">
        <v>0</v>
      </c>
      <c r="V66">
        <v>1.667001003009027</v>
      </c>
      <c r="W66">
        <v>1.0140421263791373</v>
      </c>
      <c r="Y66">
        <v>11.765840000000003</v>
      </c>
      <c r="Z66">
        <v>49.41</v>
      </c>
      <c r="AA66">
        <v>4.59</v>
      </c>
      <c r="AB66">
        <v>4.38</v>
      </c>
      <c r="AC66">
        <v>41.62</v>
      </c>
      <c r="AD66">
        <v>0</v>
      </c>
      <c r="AE66">
        <v>1.1147540983606559</v>
      </c>
      <c r="AF66">
        <v>0.6317547055251973</v>
      </c>
      <c r="AH66">
        <v>15.82593</v>
      </c>
      <c r="AI66">
        <v>45.86</v>
      </c>
      <c r="AJ66" s="2" t="s">
        <v>51</v>
      </c>
    </row>
    <row r="67" spans="1:36" x14ac:dyDescent="0.5">
      <c r="A67">
        <v>250</v>
      </c>
      <c r="B67">
        <v>180</v>
      </c>
      <c r="C67">
        <v>1</v>
      </c>
      <c r="D67">
        <v>8</v>
      </c>
      <c r="E67">
        <v>100</v>
      </c>
      <c r="F67">
        <v>80</v>
      </c>
      <c r="G67">
        <v>10</v>
      </c>
      <c r="K67">
        <v>41.24</v>
      </c>
      <c r="L67">
        <v>23.48</v>
      </c>
      <c r="M67">
        <v>15</v>
      </c>
      <c r="Q67">
        <v>46.31</v>
      </c>
      <c r="R67">
        <v>6.25</v>
      </c>
      <c r="S67">
        <v>0.33</v>
      </c>
      <c r="T67">
        <v>47.11</v>
      </c>
      <c r="U67">
        <v>0</v>
      </c>
      <c r="V67">
        <v>1.6195206218959188</v>
      </c>
      <c r="W67">
        <v>0.76295616497516727</v>
      </c>
      <c r="Y67">
        <v>16.168645000000001</v>
      </c>
      <c r="Z67">
        <v>70.11</v>
      </c>
      <c r="AA67">
        <v>6.3</v>
      </c>
      <c r="AB67">
        <v>5.99</v>
      </c>
      <c r="AC67">
        <v>17.61</v>
      </c>
      <c r="AD67">
        <v>0</v>
      </c>
      <c r="AE67">
        <v>1.0783055198973042</v>
      </c>
      <c r="AF67">
        <v>0.18838254172015403</v>
      </c>
      <c r="AH67">
        <v>29.550195000000002</v>
      </c>
      <c r="AI67">
        <v>26.16</v>
      </c>
    </row>
    <row r="68" spans="1:36" x14ac:dyDescent="0.5">
      <c r="A68">
        <v>250</v>
      </c>
      <c r="B68">
        <v>180</v>
      </c>
      <c r="C68">
        <v>1</v>
      </c>
      <c r="D68">
        <v>8</v>
      </c>
      <c r="E68">
        <v>100</v>
      </c>
      <c r="F68">
        <v>80</v>
      </c>
      <c r="G68">
        <v>10</v>
      </c>
      <c r="K68">
        <v>32.78</v>
      </c>
      <c r="L68">
        <v>16.75</v>
      </c>
      <c r="M68">
        <v>13.34</v>
      </c>
      <c r="Q68">
        <v>36.67</v>
      </c>
      <c r="R68">
        <v>5.47</v>
      </c>
      <c r="S68">
        <v>0.64</v>
      </c>
      <c r="T68">
        <v>57.23</v>
      </c>
      <c r="U68">
        <v>0</v>
      </c>
      <c r="V68">
        <v>1.7900190891737113</v>
      </c>
      <c r="W68">
        <v>1.1705072266157621</v>
      </c>
      <c r="Y68">
        <v>9.9900650000000031</v>
      </c>
      <c r="Z68">
        <v>45.44</v>
      </c>
      <c r="AA68">
        <v>4.3</v>
      </c>
      <c r="AB68">
        <v>4.07</v>
      </c>
      <c r="AC68">
        <v>46.2</v>
      </c>
      <c r="AD68">
        <v>0</v>
      </c>
      <c r="AE68">
        <v>1.13556338028169</v>
      </c>
      <c r="AF68">
        <v>0.76254401408450712</v>
      </c>
      <c r="AH68">
        <v>13.252419999999999</v>
      </c>
      <c r="AI68">
        <v>46.79</v>
      </c>
    </row>
    <row r="69" spans="1:36" x14ac:dyDescent="0.5">
      <c r="A69">
        <v>250</v>
      </c>
      <c r="B69">
        <v>180</v>
      </c>
      <c r="C69">
        <v>1</v>
      </c>
      <c r="D69">
        <v>8</v>
      </c>
      <c r="E69">
        <v>100</v>
      </c>
      <c r="F69">
        <v>80</v>
      </c>
      <c r="G69">
        <v>10</v>
      </c>
      <c r="K69">
        <v>28.91</v>
      </c>
      <c r="L69">
        <v>19.88</v>
      </c>
      <c r="M69">
        <v>6.6</v>
      </c>
      <c r="Q69">
        <v>33.090000000000003</v>
      </c>
      <c r="R69">
        <v>4.25</v>
      </c>
      <c r="S69">
        <v>1.26</v>
      </c>
      <c r="T69">
        <v>61.41</v>
      </c>
      <c r="U69">
        <v>0</v>
      </c>
      <c r="V69">
        <v>1.541251133272892</v>
      </c>
      <c r="W69">
        <v>1.3918857660924748</v>
      </c>
      <c r="Y69">
        <v>6.2917350000000019</v>
      </c>
      <c r="Z69">
        <v>28.77</v>
      </c>
      <c r="AA69">
        <v>2.2000000000000002</v>
      </c>
      <c r="AB69">
        <v>2.04</v>
      </c>
      <c r="AC69">
        <v>67</v>
      </c>
      <c r="AD69">
        <v>0</v>
      </c>
      <c r="AE69">
        <v>0.91762252346193962</v>
      </c>
      <c r="AF69">
        <v>1.7466110531803962</v>
      </c>
      <c r="AH69">
        <v>0.90636000000000116</v>
      </c>
      <c r="AI69">
        <v>60.09</v>
      </c>
    </row>
    <row r="70" spans="1:36" x14ac:dyDescent="0.5">
      <c r="A70">
        <v>250</v>
      </c>
      <c r="B70">
        <v>180</v>
      </c>
      <c r="C70">
        <v>1</v>
      </c>
      <c r="D70">
        <v>8</v>
      </c>
      <c r="E70">
        <v>100</v>
      </c>
      <c r="F70">
        <v>80</v>
      </c>
      <c r="G70">
        <v>10</v>
      </c>
      <c r="K70">
        <v>23.83</v>
      </c>
      <c r="L70">
        <v>11.15</v>
      </c>
      <c r="M70">
        <v>9.98</v>
      </c>
      <c r="Q70">
        <v>37.590000000000003</v>
      </c>
      <c r="R70">
        <v>5.89</v>
      </c>
      <c r="S70">
        <v>2.09</v>
      </c>
      <c r="T70">
        <v>54.44</v>
      </c>
      <c r="U70">
        <v>0</v>
      </c>
      <c r="V70">
        <v>1.880287310454908</v>
      </c>
      <c r="W70">
        <v>1.086193136472466</v>
      </c>
      <c r="Y70">
        <v>11.398800000000001</v>
      </c>
      <c r="Z70">
        <v>46.73</v>
      </c>
      <c r="AA70">
        <v>4.76</v>
      </c>
      <c r="AB70">
        <v>4.41</v>
      </c>
      <c r="AC70">
        <v>44.1</v>
      </c>
      <c r="AD70">
        <v>0</v>
      </c>
      <c r="AE70">
        <v>1.2223411084956131</v>
      </c>
      <c r="AF70">
        <v>0.70778942863257011</v>
      </c>
      <c r="AH70">
        <v>14.72017</v>
      </c>
      <c r="AI70">
        <v>38.82</v>
      </c>
    </row>
    <row r="71" spans="1:36" x14ac:dyDescent="0.5">
      <c r="A71">
        <v>250</v>
      </c>
      <c r="B71">
        <v>180</v>
      </c>
      <c r="C71">
        <v>1</v>
      </c>
      <c r="D71">
        <v>8</v>
      </c>
      <c r="E71">
        <v>100</v>
      </c>
      <c r="F71">
        <v>80</v>
      </c>
      <c r="G71">
        <v>10</v>
      </c>
      <c r="K71">
        <v>29.81</v>
      </c>
      <c r="L71">
        <v>22.39</v>
      </c>
      <c r="M71">
        <v>3.42</v>
      </c>
      <c r="Q71">
        <v>31.36</v>
      </c>
      <c r="R71">
        <v>4.5999999999999996</v>
      </c>
      <c r="S71">
        <v>0.74</v>
      </c>
      <c r="T71">
        <v>63.31</v>
      </c>
      <c r="U71">
        <v>0</v>
      </c>
      <c r="V71">
        <v>1.760204081632653</v>
      </c>
      <c r="W71">
        <v>1.5141103316326532</v>
      </c>
      <c r="Y71">
        <v>5.8676450000000004</v>
      </c>
      <c r="Z71">
        <v>25.9</v>
      </c>
      <c r="AA71">
        <v>2.58</v>
      </c>
      <c r="AB71">
        <v>2.57</v>
      </c>
      <c r="AC71">
        <v>68.95</v>
      </c>
      <c r="AD71">
        <v>0</v>
      </c>
      <c r="AE71">
        <v>1.1953667953667955</v>
      </c>
      <c r="AF71">
        <v>1.9966216216216217</v>
      </c>
      <c r="AH71">
        <v>0.13086500000000001</v>
      </c>
      <c r="AI71">
        <v>52.53</v>
      </c>
    </row>
    <row r="72" spans="1:36" x14ac:dyDescent="0.5">
      <c r="A72">
        <v>250</v>
      </c>
      <c r="B72">
        <v>180</v>
      </c>
      <c r="C72">
        <v>1</v>
      </c>
      <c r="D72">
        <v>8</v>
      </c>
      <c r="E72">
        <v>100</v>
      </c>
      <c r="F72">
        <v>80</v>
      </c>
      <c r="G72">
        <v>10</v>
      </c>
      <c r="K72">
        <v>37.86</v>
      </c>
      <c r="L72">
        <v>18.64</v>
      </c>
      <c r="M72">
        <v>16.010000000000002</v>
      </c>
      <c r="Q72">
        <v>38.79</v>
      </c>
      <c r="R72">
        <v>5.46</v>
      </c>
      <c r="S72">
        <v>0.53</v>
      </c>
      <c r="T72">
        <v>55.22</v>
      </c>
      <c r="U72">
        <v>0</v>
      </c>
      <c r="V72">
        <v>1.6890951276102089</v>
      </c>
      <c r="W72">
        <v>1.0676720804331012</v>
      </c>
      <c r="Y72">
        <v>11.051130000000001</v>
      </c>
      <c r="Z72">
        <v>50.44</v>
      </c>
      <c r="AA72">
        <v>4.72</v>
      </c>
      <c r="AB72">
        <v>4.43</v>
      </c>
      <c r="AC72">
        <v>40.42</v>
      </c>
      <c r="AD72">
        <v>0</v>
      </c>
      <c r="AE72">
        <v>1.1229183187946075</v>
      </c>
      <c r="AF72">
        <v>0.60101110229976218</v>
      </c>
      <c r="AH72">
        <v>16.573909999999998</v>
      </c>
      <c r="AI72">
        <v>44.48</v>
      </c>
    </row>
    <row r="73" spans="1:36" x14ac:dyDescent="0.5">
      <c r="A73">
        <v>250</v>
      </c>
      <c r="B73">
        <v>180</v>
      </c>
      <c r="C73">
        <v>1</v>
      </c>
      <c r="D73">
        <v>8</v>
      </c>
      <c r="E73">
        <v>100</v>
      </c>
      <c r="F73">
        <v>80</v>
      </c>
      <c r="G73">
        <v>10</v>
      </c>
      <c r="K73">
        <v>36.15</v>
      </c>
      <c r="L73">
        <v>27.56</v>
      </c>
      <c r="M73">
        <v>5.13</v>
      </c>
      <c r="Q73">
        <v>40.4</v>
      </c>
      <c r="R73">
        <v>5.5</v>
      </c>
      <c r="S73">
        <v>1.33</v>
      </c>
      <c r="T73">
        <v>52.78</v>
      </c>
      <c r="U73">
        <v>0</v>
      </c>
      <c r="V73">
        <v>1.6336633663366336</v>
      </c>
      <c r="W73">
        <v>0.97982673267326736</v>
      </c>
      <c r="Y73">
        <v>12.08797</v>
      </c>
      <c r="Z73">
        <v>60.05</v>
      </c>
      <c r="AA73">
        <v>5.37</v>
      </c>
      <c r="AB73">
        <v>5.72</v>
      </c>
      <c r="AC73">
        <v>28.86</v>
      </c>
      <c r="AD73">
        <v>0</v>
      </c>
      <c r="AE73">
        <v>1.0731057452123232</v>
      </c>
      <c r="AF73">
        <v>0.36044962531223979</v>
      </c>
      <c r="AH73">
        <v>22.813750000000002</v>
      </c>
      <c r="AI73">
        <v>36.58</v>
      </c>
    </row>
    <row r="74" spans="1:36" x14ac:dyDescent="0.5">
      <c r="A74">
        <v>60</v>
      </c>
      <c r="B74">
        <v>110</v>
      </c>
      <c r="C74">
        <v>4</v>
      </c>
      <c r="D74">
        <v>20</v>
      </c>
      <c r="E74">
        <v>500</v>
      </c>
      <c r="F74">
        <v>150</v>
      </c>
      <c r="G74">
        <v>7.5</v>
      </c>
      <c r="O74">
        <v>48.1</v>
      </c>
      <c r="P74">
        <v>4.0999999999999996</v>
      </c>
      <c r="Q74">
        <v>46.8</v>
      </c>
      <c r="R74">
        <v>8.6999999999999993</v>
      </c>
      <c r="S74">
        <v>7.8</v>
      </c>
      <c r="T74">
        <v>35.200000000000003</v>
      </c>
      <c r="U74">
        <v>1.4</v>
      </c>
      <c r="V74">
        <v>2.2307692307692308</v>
      </c>
      <c r="W74">
        <v>0.56410256410256421</v>
      </c>
      <c r="X74">
        <v>47.8</v>
      </c>
      <c r="Y74">
        <v>22.6</v>
      </c>
      <c r="AH74">
        <v>23</v>
      </c>
      <c r="AI74">
        <v>68</v>
      </c>
      <c r="AJ74" s="2" t="s">
        <v>53</v>
      </c>
    </row>
    <row r="75" spans="1:36" x14ac:dyDescent="0.5">
      <c r="A75">
        <v>60</v>
      </c>
      <c r="B75">
        <v>135</v>
      </c>
      <c r="C75">
        <v>4</v>
      </c>
      <c r="D75">
        <v>20</v>
      </c>
      <c r="E75">
        <v>500</v>
      </c>
      <c r="F75">
        <v>150</v>
      </c>
      <c r="G75">
        <v>7.5</v>
      </c>
      <c r="O75">
        <v>48.1</v>
      </c>
      <c r="P75">
        <v>4.0999999999999996</v>
      </c>
      <c r="Q75">
        <v>46.8</v>
      </c>
      <c r="R75">
        <v>8.6999999999999993</v>
      </c>
      <c r="S75">
        <v>7.8</v>
      </c>
      <c r="T75">
        <v>35.200000000000003</v>
      </c>
      <c r="U75">
        <v>1.4</v>
      </c>
      <c r="V75">
        <v>2.2307692307692308</v>
      </c>
      <c r="W75">
        <v>0.56410256410256421</v>
      </c>
      <c r="X75">
        <v>47.8</v>
      </c>
      <c r="Y75">
        <v>22.6</v>
      </c>
      <c r="AH75">
        <v>27</v>
      </c>
      <c r="AI75">
        <v>56</v>
      </c>
    </row>
    <row r="76" spans="1:36" x14ac:dyDescent="0.5">
      <c r="A76">
        <v>60</v>
      </c>
      <c r="B76">
        <v>160</v>
      </c>
      <c r="C76">
        <v>4</v>
      </c>
      <c r="D76">
        <v>20</v>
      </c>
      <c r="E76">
        <v>500</v>
      </c>
      <c r="F76">
        <v>150</v>
      </c>
      <c r="G76">
        <v>7.5</v>
      </c>
      <c r="O76">
        <v>48.1</v>
      </c>
      <c r="P76">
        <v>4.0999999999999996</v>
      </c>
      <c r="Q76">
        <v>46.8</v>
      </c>
      <c r="R76">
        <v>8.6999999999999993</v>
      </c>
      <c r="S76">
        <v>7.8</v>
      </c>
      <c r="T76">
        <v>35.200000000000003</v>
      </c>
      <c r="U76">
        <v>1.4</v>
      </c>
      <c r="V76">
        <v>2.2307692307692308</v>
      </c>
      <c r="W76">
        <v>0.56410256410256421</v>
      </c>
      <c r="X76">
        <v>47.8</v>
      </c>
      <c r="Y76">
        <v>22.6</v>
      </c>
      <c r="AH76">
        <v>26</v>
      </c>
      <c r="AI76">
        <v>48</v>
      </c>
    </row>
    <row r="77" spans="1:36" x14ac:dyDescent="0.5">
      <c r="A77">
        <v>60</v>
      </c>
      <c r="B77">
        <v>185</v>
      </c>
      <c r="C77">
        <v>4</v>
      </c>
      <c r="D77">
        <v>20</v>
      </c>
      <c r="E77">
        <v>500</v>
      </c>
      <c r="F77">
        <v>150</v>
      </c>
      <c r="G77">
        <v>7.5</v>
      </c>
      <c r="O77">
        <v>48.1</v>
      </c>
      <c r="P77">
        <v>4.0999999999999996</v>
      </c>
      <c r="Q77">
        <v>46.8</v>
      </c>
      <c r="R77">
        <v>8.6999999999999993</v>
      </c>
      <c r="S77">
        <v>7.8</v>
      </c>
      <c r="T77">
        <v>35.200000000000003</v>
      </c>
      <c r="U77">
        <v>1.4</v>
      </c>
      <c r="V77">
        <v>2.2307692307692308</v>
      </c>
      <c r="W77">
        <v>0.56410256410256421</v>
      </c>
      <c r="X77">
        <v>47.8</v>
      </c>
      <c r="Y77">
        <v>22.6</v>
      </c>
      <c r="AH77">
        <v>27</v>
      </c>
      <c r="AI77">
        <v>39</v>
      </c>
    </row>
    <row r="78" spans="1:36" x14ac:dyDescent="0.5">
      <c r="A78">
        <v>60</v>
      </c>
      <c r="B78">
        <v>210</v>
      </c>
      <c r="C78">
        <v>4</v>
      </c>
      <c r="D78">
        <v>20</v>
      </c>
      <c r="E78">
        <v>500</v>
      </c>
      <c r="F78">
        <v>150</v>
      </c>
      <c r="G78">
        <v>7.5</v>
      </c>
      <c r="O78">
        <v>48.1</v>
      </c>
      <c r="P78">
        <v>4.0999999999999996</v>
      </c>
      <c r="Q78">
        <v>46.8</v>
      </c>
      <c r="R78">
        <v>8.6999999999999993</v>
      </c>
      <c r="S78">
        <v>7.8</v>
      </c>
      <c r="T78">
        <v>35.200000000000003</v>
      </c>
      <c r="U78">
        <v>1.4</v>
      </c>
      <c r="V78">
        <v>2.2307692307692308</v>
      </c>
      <c r="W78">
        <v>0.56410256410256421</v>
      </c>
      <c r="X78">
        <v>47.8</v>
      </c>
      <c r="Y78">
        <v>22.6</v>
      </c>
      <c r="AH78">
        <v>30</v>
      </c>
      <c r="AI78">
        <v>30</v>
      </c>
    </row>
    <row r="79" spans="1:36" x14ac:dyDescent="0.5">
      <c r="A79">
        <v>60</v>
      </c>
      <c r="B79">
        <v>235</v>
      </c>
      <c r="C79">
        <v>4</v>
      </c>
      <c r="D79">
        <v>20</v>
      </c>
      <c r="E79">
        <v>500</v>
      </c>
      <c r="F79">
        <v>150</v>
      </c>
      <c r="G79">
        <v>7.5</v>
      </c>
      <c r="O79">
        <v>48.1</v>
      </c>
      <c r="P79">
        <v>4.0999999999999996</v>
      </c>
      <c r="Q79">
        <v>46.8</v>
      </c>
      <c r="R79">
        <v>8.6999999999999993</v>
      </c>
      <c r="S79">
        <v>7.8</v>
      </c>
      <c r="T79">
        <v>35.200000000000003</v>
      </c>
      <c r="U79">
        <v>1.4</v>
      </c>
      <c r="V79">
        <v>2.2307692307692308</v>
      </c>
      <c r="W79">
        <v>0.56410256410256421</v>
      </c>
      <c r="X79">
        <v>47.8</v>
      </c>
      <c r="Y79">
        <v>22.6</v>
      </c>
      <c r="AH79">
        <v>31</v>
      </c>
      <c r="AI79">
        <v>25</v>
      </c>
    </row>
    <row r="80" spans="1:36" x14ac:dyDescent="0.5">
      <c r="A80">
        <v>120</v>
      </c>
      <c r="B80">
        <v>160</v>
      </c>
      <c r="C80">
        <v>0.1</v>
      </c>
      <c r="D80">
        <v>100</v>
      </c>
      <c r="E80">
        <v>4500</v>
      </c>
      <c r="F80">
        <v>1000</v>
      </c>
      <c r="G80">
        <v>10</v>
      </c>
      <c r="N80">
        <v>5.97</v>
      </c>
      <c r="O80">
        <v>73.819999999999993</v>
      </c>
      <c r="P80">
        <v>14.35</v>
      </c>
      <c r="Q80">
        <v>50.49</v>
      </c>
      <c r="R80">
        <v>6.34</v>
      </c>
      <c r="S80">
        <v>0.78</v>
      </c>
      <c r="T80">
        <v>36.049999999999997</v>
      </c>
      <c r="U80">
        <v>0</v>
      </c>
      <c r="V80">
        <v>1.5068330362448008</v>
      </c>
      <c r="W80">
        <v>0.53550207961972662</v>
      </c>
      <c r="X80">
        <v>5.86</v>
      </c>
      <c r="Y80">
        <v>19.684215000000002</v>
      </c>
      <c r="Z80">
        <v>53.16</v>
      </c>
      <c r="AA80">
        <v>6.42</v>
      </c>
      <c r="AB80">
        <v>0</v>
      </c>
      <c r="AC80">
        <v>38.93</v>
      </c>
      <c r="AD80">
        <v>0</v>
      </c>
      <c r="AE80">
        <v>1.4492099322799097</v>
      </c>
      <c r="AF80">
        <v>0.54923814898419865</v>
      </c>
      <c r="AG80">
        <v>1.43</v>
      </c>
      <c r="AH80">
        <v>20.186835000000002</v>
      </c>
      <c r="AI80">
        <v>73.86</v>
      </c>
      <c r="AJ80" s="2" t="s">
        <v>55</v>
      </c>
    </row>
    <row r="81" spans="1:36" x14ac:dyDescent="0.5">
      <c r="A81">
        <v>240</v>
      </c>
      <c r="B81">
        <v>160</v>
      </c>
      <c r="C81">
        <v>0.1</v>
      </c>
      <c r="D81">
        <v>100</v>
      </c>
      <c r="E81">
        <v>4500</v>
      </c>
      <c r="F81">
        <v>1000</v>
      </c>
      <c r="G81">
        <v>10</v>
      </c>
      <c r="N81">
        <v>5.97</v>
      </c>
      <c r="O81">
        <v>73.819999999999993</v>
      </c>
      <c r="P81">
        <v>14.35</v>
      </c>
      <c r="Q81">
        <v>50.49</v>
      </c>
      <c r="R81">
        <v>6.34</v>
      </c>
      <c r="S81">
        <v>0.78</v>
      </c>
      <c r="T81">
        <v>36.049999999999997</v>
      </c>
      <c r="U81">
        <v>0</v>
      </c>
      <c r="V81">
        <v>1.5068330362448008</v>
      </c>
      <c r="W81">
        <v>0.53550207961972662</v>
      </c>
      <c r="X81">
        <v>5.86</v>
      </c>
      <c r="Y81">
        <v>19.684215000000002</v>
      </c>
      <c r="Z81">
        <v>54.22</v>
      </c>
      <c r="AA81">
        <v>6.47</v>
      </c>
      <c r="AB81">
        <v>0</v>
      </c>
      <c r="AC81">
        <v>37.75</v>
      </c>
      <c r="AD81">
        <v>0</v>
      </c>
      <c r="AE81">
        <v>1.4319439321283658</v>
      </c>
      <c r="AF81">
        <v>0.52217816303946885</v>
      </c>
      <c r="AG81">
        <v>1.5</v>
      </c>
      <c r="AH81">
        <v>20.827145000000002</v>
      </c>
      <c r="AI81">
        <v>70.400000000000006</v>
      </c>
    </row>
    <row r="82" spans="1:36" x14ac:dyDescent="0.5">
      <c r="A82">
        <v>350</v>
      </c>
      <c r="B82">
        <v>160</v>
      </c>
      <c r="C82">
        <v>0.1</v>
      </c>
      <c r="D82">
        <v>100</v>
      </c>
      <c r="E82">
        <v>4500</v>
      </c>
      <c r="F82">
        <v>1000</v>
      </c>
      <c r="G82">
        <v>10</v>
      </c>
      <c r="N82">
        <v>5.97</v>
      </c>
      <c r="O82">
        <v>73.819999999999993</v>
      </c>
      <c r="P82">
        <v>14.35</v>
      </c>
      <c r="Q82">
        <v>50.49</v>
      </c>
      <c r="R82">
        <v>6.34</v>
      </c>
      <c r="S82">
        <v>0.78</v>
      </c>
      <c r="T82">
        <v>36.049999999999997</v>
      </c>
      <c r="U82">
        <v>0</v>
      </c>
      <c r="V82">
        <v>1.5068330362448008</v>
      </c>
      <c r="W82">
        <v>0.53550207961972662</v>
      </c>
      <c r="X82">
        <v>5.86</v>
      </c>
      <c r="Y82">
        <v>19.684215000000002</v>
      </c>
      <c r="Z82">
        <v>54.74</v>
      </c>
      <c r="AA82">
        <v>6.45</v>
      </c>
      <c r="AB82">
        <v>0</v>
      </c>
      <c r="AC82">
        <v>37.369999999999997</v>
      </c>
      <c r="AD82">
        <v>0</v>
      </c>
      <c r="AE82">
        <v>1.4139568871026673</v>
      </c>
      <c r="AF82">
        <v>0.5120113262696383</v>
      </c>
      <c r="AG82">
        <v>1.38</v>
      </c>
      <c r="AH82">
        <v>21.042175</v>
      </c>
      <c r="AI82">
        <v>67.55</v>
      </c>
    </row>
    <row r="83" spans="1:36" x14ac:dyDescent="0.5">
      <c r="A83">
        <v>480</v>
      </c>
      <c r="B83">
        <v>160</v>
      </c>
      <c r="C83">
        <v>0.1</v>
      </c>
      <c r="D83">
        <v>100</v>
      </c>
      <c r="E83">
        <v>4500</v>
      </c>
      <c r="F83">
        <v>1000</v>
      </c>
      <c r="G83">
        <v>10</v>
      </c>
      <c r="N83">
        <v>5.97</v>
      </c>
      <c r="O83">
        <v>73.819999999999993</v>
      </c>
      <c r="P83">
        <v>14.35</v>
      </c>
      <c r="Q83">
        <v>50.49</v>
      </c>
      <c r="R83">
        <v>6.34</v>
      </c>
      <c r="S83">
        <v>0.78</v>
      </c>
      <c r="T83">
        <v>36.049999999999997</v>
      </c>
      <c r="U83">
        <v>0</v>
      </c>
      <c r="V83">
        <v>1.5068330362448008</v>
      </c>
      <c r="W83">
        <v>0.53550207961972662</v>
      </c>
      <c r="X83">
        <v>5.86</v>
      </c>
      <c r="Y83">
        <v>19.684215000000002</v>
      </c>
      <c r="Z83">
        <v>54.82</v>
      </c>
      <c r="AA83">
        <v>6.52</v>
      </c>
      <c r="AB83">
        <v>0</v>
      </c>
      <c r="AC83">
        <v>37.33</v>
      </c>
      <c r="AD83">
        <v>0</v>
      </c>
      <c r="AE83">
        <v>1.427216344399854</v>
      </c>
      <c r="AF83">
        <v>0.51071689164538492</v>
      </c>
      <c r="AG83">
        <v>1.29</v>
      </c>
      <c r="AH83">
        <v>21.176315000000002</v>
      </c>
      <c r="AI83">
        <v>65.75</v>
      </c>
    </row>
    <row r="84" spans="1:36" x14ac:dyDescent="0.5">
      <c r="A84">
        <v>120</v>
      </c>
      <c r="B84">
        <v>200</v>
      </c>
      <c r="C84">
        <v>0.1</v>
      </c>
      <c r="D84">
        <v>100</v>
      </c>
      <c r="E84">
        <v>4500</v>
      </c>
      <c r="F84">
        <v>1000</v>
      </c>
      <c r="G84">
        <v>10</v>
      </c>
      <c r="N84">
        <v>5.97</v>
      </c>
      <c r="O84">
        <v>73.819999999999993</v>
      </c>
      <c r="P84">
        <v>14.35</v>
      </c>
      <c r="Q84">
        <v>50.49</v>
      </c>
      <c r="R84">
        <v>6.34</v>
      </c>
      <c r="S84">
        <v>0.78</v>
      </c>
      <c r="T84">
        <v>36.049999999999997</v>
      </c>
      <c r="U84">
        <v>0</v>
      </c>
      <c r="V84">
        <v>1.5068330362448008</v>
      </c>
      <c r="W84">
        <v>0.53550207961972662</v>
      </c>
      <c r="X84">
        <v>5.86</v>
      </c>
      <c r="Y84">
        <v>19.684215000000002</v>
      </c>
      <c r="Z84">
        <v>57</v>
      </c>
      <c r="AA84">
        <v>6.42</v>
      </c>
      <c r="AB84">
        <v>0</v>
      </c>
      <c r="AC84">
        <v>34.950000000000003</v>
      </c>
      <c r="AD84">
        <v>0</v>
      </c>
      <c r="AE84">
        <v>1.351578947368421</v>
      </c>
      <c r="AF84">
        <v>0.45986842105263159</v>
      </c>
      <c r="AG84">
        <v>1.59</v>
      </c>
      <c r="AH84">
        <v>22.195185000000002</v>
      </c>
      <c r="AI84">
        <v>61.46</v>
      </c>
    </row>
    <row r="85" spans="1:36" x14ac:dyDescent="0.5">
      <c r="A85">
        <v>240</v>
      </c>
      <c r="B85">
        <v>200</v>
      </c>
      <c r="C85">
        <v>0.1</v>
      </c>
      <c r="D85">
        <v>100</v>
      </c>
      <c r="E85">
        <v>4500</v>
      </c>
      <c r="F85">
        <v>1000</v>
      </c>
      <c r="G85">
        <v>10</v>
      </c>
      <c r="N85">
        <v>5.97</v>
      </c>
      <c r="O85">
        <v>73.819999999999993</v>
      </c>
      <c r="P85">
        <v>14.35</v>
      </c>
      <c r="Q85">
        <v>50.49</v>
      </c>
      <c r="R85">
        <v>6.34</v>
      </c>
      <c r="S85">
        <v>0.78</v>
      </c>
      <c r="T85">
        <v>36.049999999999997</v>
      </c>
      <c r="U85">
        <v>0</v>
      </c>
      <c r="V85">
        <v>1.5068330362448008</v>
      </c>
      <c r="W85">
        <v>0.53550207961972662</v>
      </c>
      <c r="X85">
        <v>5.86</v>
      </c>
      <c r="Y85">
        <v>19.684215000000002</v>
      </c>
      <c r="Z85">
        <v>58.56</v>
      </c>
      <c r="AA85">
        <v>6.28</v>
      </c>
      <c r="AB85">
        <v>0</v>
      </c>
      <c r="AC85">
        <v>33.340000000000003</v>
      </c>
      <c r="AD85">
        <v>0</v>
      </c>
      <c r="AE85">
        <v>1.2868852459016393</v>
      </c>
      <c r="AF85">
        <v>0.42699795081967218</v>
      </c>
      <c r="AG85">
        <v>1.77</v>
      </c>
      <c r="AH85">
        <v>22.809930000000001</v>
      </c>
      <c r="AI85">
        <v>58.75</v>
      </c>
    </row>
    <row r="86" spans="1:36" x14ac:dyDescent="0.5">
      <c r="A86">
        <v>350</v>
      </c>
      <c r="B86">
        <v>200</v>
      </c>
      <c r="C86">
        <v>0.1</v>
      </c>
      <c r="D86">
        <v>100</v>
      </c>
      <c r="E86">
        <v>4500</v>
      </c>
      <c r="F86">
        <v>1000</v>
      </c>
      <c r="G86">
        <v>10</v>
      </c>
      <c r="N86">
        <v>5.97</v>
      </c>
      <c r="O86">
        <v>73.819999999999993</v>
      </c>
      <c r="P86">
        <v>14.35</v>
      </c>
      <c r="Q86">
        <v>50.49</v>
      </c>
      <c r="R86">
        <v>6.34</v>
      </c>
      <c r="S86">
        <v>0.78</v>
      </c>
      <c r="T86">
        <v>36.049999999999997</v>
      </c>
      <c r="U86">
        <v>0</v>
      </c>
      <c r="V86">
        <v>1.5068330362448008</v>
      </c>
      <c r="W86">
        <v>0.53550207961972662</v>
      </c>
      <c r="X86">
        <v>5.86</v>
      </c>
      <c r="Y86">
        <v>19.684215000000002</v>
      </c>
      <c r="Z86">
        <v>59.57</v>
      </c>
      <c r="AA86">
        <v>6.27</v>
      </c>
      <c r="AB86">
        <v>0</v>
      </c>
      <c r="AC86">
        <v>32.35</v>
      </c>
      <c r="AD86">
        <v>0</v>
      </c>
      <c r="AE86">
        <v>1.2630518717475239</v>
      </c>
      <c r="AF86">
        <v>0.40729393990263557</v>
      </c>
      <c r="AG86">
        <v>1.76</v>
      </c>
      <c r="AH86">
        <v>23.313744999999997</v>
      </c>
      <c r="AI86">
        <v>58.33</v>
      </c>
    </row>
    <row r="87" spans="1:36" x14ac:dyDescent="0.5">
      <c r="A87">
        <v>480</v>
      </c>
      <c r="B87">
        <v>200</v>
      </c>
      <c r="C87">
        <v>0.1</v>
      </c>
      <c r="D87">
        <v>100</v>
      </c>
      <c r="E87">
        <v>4500</v>
      </c>
      <c r="F87">
        <v>1000</v>
      </c>
      <c r="G87">
        <v>10</v>
      </c>
      <c r="N87">
        <v>5.97</v>
      </c>
      <c r="O87">
        <v>73.819999999999993</v>
      </c>
      <c r="P87">
        <v>14.35</v>
      </c>
      <c r="Q87">
        <v>50.49</v>
      </c>
      <c r="R87">
        <v>6.34</v>
      </c>
      <c r="S87">
        <v>0.78</v>
      </c>
      <c r="T87">
        <v>36.049999999999997</v>
      </c>
      <c r="U87">
        <v>0</v>
      </c>
      <c r="V87">
        <v>1.5068330362448008</v>
      </c>
      <c r="W87">
        <v>0.53550207961972662</v>
      </c>
      <c r="X87">
        <v>5.86</v>
      </c>
      <c r="Y87">
        <v>19.684215000000002</v>
      </c>
      <c r="Z87">
        <v>59.54</v>
      </c>
      <c r="AA87">
        <v>6.38</v>
      </c>
      <c r="AB87">
        <v>0</v>
      </c>
      <c r="AC87">
        <v>32.35</v>
      </c>
      <c r="AD87">
        <v>0</v>
      </c>
      <c r="AE87">
        <v>1.2858582465569364</v>
      </c>
      <c r="AF87">
        <v>0.40749916022841787</v>
      </c>
      <c r="AG87">
        <v>1.68</v>
      </c>
      <c r="AH87">
        <v>23.460684999999998</v>
      </c>
      <c r="AI87">
        <v>51.78</v>
      </c>
    </row>
    <row r="88" spans="1:36" x14ac:dyDescent="0.5">
      <c r="A88">
        <v>120</v>
      </c>
      <c r="B88">
        <v>240</v>
      </c>
      <c r="C88">
        <v>0.1</v>
      </c>
      <c r="D88">
        <v>100</v>
      </c>
      <c r="E88">
        <v>4500</v>
      </c>
      <c r="F88">
        <v>1000</v>
      </c>
      <c r="G88">
        <v>10</v>
      </c>
      <c r="N88">
        <v>5.97</v>
      </c>
      <c r="O88">
        <v>73.819999999999993</v>
      </c>
      <c r="P88">
        <v>14.35</v>
      </c>
      <c r="Q88">
        <v>50.49</v>
      </c>
      <c r="R88">
        <v>6.34</v>
      </c>
      <c r="S88">
        <v>0.78</v>
      </c>
      <c r="T88">
        <v>36.049999999999997</v>
      </c>
      <c r="U88">
        <v>0</v>
      </c>
      <c r="V88">
        <v>1.5068330362448008</v>
      </c>
      <c r="W88">
        <v>0.53550207961972662</v>
      </c>
      <c r="X88">
        <v>5.86</v>
      </c>
      <c r="Y88">
        <v>19.684215000000002</v>
      </c>
      <c r="Z88">
        <v>68.400000000000006</v>
      </c>
      <c r="AA88">
        <v>6.42</v>
      </c>
      <c r="AB88">
        <v>0.38</v>
      </c>
      <c r="AC88">
        <v>22.32</v>
      </c>
      <c r="AD88">
        <v>0</v>
      </c>
      <c r="AE88">
        <v>1.1263157894736842</v>
      </c>
      <c r="AF88">
        <v>0.24473684210526314</v>
      </c>
      <c r="AG88">
        <v>2.4300000000000002</v>
      </c>
      <c r="AH88">
        <v>28.302840000000003</v>
      </c>
      <c r="AI88">
        <v>41.15</v>
      </c>
    </row>
    <row r="89" spans="1:36" x14ac:dyDescent="0.5">
      <c r="A89">
        <v>240</v>
      </c>
      <c r="B89">
        <v>240</v>
      </c>
      <c r="C89">
        <v>0.1</v>
      </c>
      <c r="D89">
        <v>100</v>
      </c>
      <c r="E89">
        <v>4500</v>
      </c>
      <c r="F89">
        <v>1000</v>
      </c>
      <c r="G89">
        <v>10</v>
      </c>
      <c r="N89">
        <v>5.97</v>
      </c>
      <c r="O89">
        <v>73.819999999999993</v>
      </c>
      <c r="P89">
        <v>14.35</v>
      </c>
      <c r="Q89">
        <v>50.49</v>
      </c>
      <c r="R89">
        <v>6.34</v>
      </c>
      <c r="S89">
        <v>0.78</v>
      </c>
      <c r="T89">
        <v>36.049999999999997</v>
      </c>
      <c r="U89">
        <v>0</v>
      </c>
      <c r="V89">
        <v>1.5068330362448008</v>
      </c>
      <c r="W89">
        <v>0.53550207961972662</v>
      </c>
      <c r="X89">
        <v>5.86</v>
      </c>
      <c r="Y89">
        <v>19.684215000000002</v>
      </c>
      <c r="Z89">
        <v>66.94</v>
      </c>
      <c r="AA89">
        <v>6.43</v>
      </c>
      <c r="AB89">
        <v>0.35</v>
      </c>
      <c r="AC89">
        <v>24.4</v>
      </c>
      <c r="AD89">
        <v>0</v>
      </c>
      <c r="AE89">
        <v>1.1526740364505528</v>
      </c>
      <c r="AF89">
        <v>0.27337914550343589</v>
      </c>
      <c r="AG89">
        <v>1.84</v>
      </c>
      <c r="AH89">
        <v>27.452359999999999</v>
      </c>
      <c r="AI89">
        <v>40.15</v>
      </c>
    </row>
    <row r="90" spans="1:36" x14ac:dyDescent="0.5">
      <c r="A90">
        <v>350</v>
      </c>
      <c r="B90">
        <v>240</v>
      </c>
      <c r="C90">
        <v>0.1</v>
      </c>
      <c r="D90">
        <v>100</v>
      </c>
      <c r="E90">
        <v>4500</v>
      </c>
      <c r="F90">
        <v>1000</v>
      </c>
      <c r="G90">
        <v>10</v>
      </c>
      <c r="N90">
        <v>5.97</v>
      </c>
      <c r="O90">
        <v>73.819999999999993</v>
      </c>
      <c r="P90">
        <v>14.35</v>
      </c>
      <c r="Q90">
        <v>50.49</v>
      </c>
      <c r="R90">
        <v>6.34</v>
      </c>
      <c r="S90">
        <v>0.78</v>
      </c>
      <c r="T90">
        <v>36.049999999999997</v>
      </c>
      <c r="U90">
        <v>0</v>
      </c>
      <c r="V90">
        <v>1.5068330362448008</v>
      </c>
      <c r="W90">
        <v>0.53550207961972662</v>
      </c>
      <c r="X90">
        <v>5.86</v>
      </c>
      <c r="Y90">
        <v>19.684215000000002</v>
      </c>
      <c r="Z90">
        <v>66.87</v>
      </c>
      <c r="AA90">
        <v>6.6</v>
      </c>
      <c r="AB90">
        <v>0.35</v>
      </c>
      <c r="AC90">
        <v>24.39</v>
      </c>
      <c r="AD90">
        <v>0</v>
      </c>
      <c r="AE90">
        <v>1.1843876177658141</v>
      </c>
      <c r="AF90">
        <v>0.27355316285329739</v>
      </c>
      <c r="AG90">
        <v>1.75</v>
      </c>
      <c r="AH90">
        <v>27.673245000000001</v>
      </c>
      <c r="AI90">
        <v>39.71</v>
      </c>
    </row>
    <row r="91" spans="1:36" x14ac:dyDescent="0.5">
      <c r="A91">
        <v>480</v>
      </c>
      <c r="B91">
        <v>240</v>
      </c>
      <c r="C91">
        <v>0.1</v>
      </c>
      <c r="D91">
        <v>100</v>
      </c>
      <c r="E91">
        <v>4500</v>
      </c>
      <c r="F91">
        <v>1000</v>
      </c>
      <c r="G91">
        <v>10</v>
      </c>
      <c r="N91">
        <v>5.97</v>
      </c>
      <c r="O91">
        <v>73.819999999999993</v>
      </c>
      <c r="P91">
        <v>14.35</v>
      </c>
      <c r="Q91">
        <v>50.49</v>
      </c>
      <c r="R91">
        <v>6.34</v>
      </c>
      <c r="S91">
        <v>0.78</v>
      </c>
      <c r="T91">
        <v>36.049999999999997</v>
      </c>
      <c r="U91">
        <v>0</v>
      </c>
      <c r="V91">
        <v>1.5068330362448008</v>
      </c>
      <c r="W91">
        <v>0.53550207961972662</v>
      </c>
      <c r="X91">
        <v>5.86</v>
      </c>
      <c r="Y91">
        <v>19.684215000000002</v>
      </c>
      <c r="Z91">
        <v>65.33</v>
      </c>
      <c r="AA91">
        <v>6.67</v>
      </c>
      <c r="AB91">
        <v>0.36</v>
      </c>
      <c r="AC91">
        <v>25.87</v>
      </c>
      <c r="AD91">
        <v>0</v>
      </c>
      <c r="AE91">
        <v>1.2251645492116945</v>
      </c>
      <c r="AF91">
        <v>0.29699219347925915</v>
      </c>
      <c r="AG91">
        <v>1.73</v>
      </c>
      <c r="AH91">
        <v>26.988505</v>
      </c>
      <c r="AI91">
        <v>38.81</v>
      </c>
    </row>
    <row r="92" spans="1:36" x14ac:dyDescent="0.5">
      <c r="A92">
        <v>120</v>
      </c>
      <c r="B92">
        <v>280</v>
      </c>
      <c r="C92">
        <v>0.1</v>
      </c>
      <c r="D92">
        <v>100</v>
      </c>
      <c r="E92">
        <v>4500</v>
      </c>
      <c r="F92">
        <v>1000</v>
      </c>
      <c r="G92">
        <v>10</v>
      </c>
      <c r="N92">
        <v>5.97</v>
      </c>
      <c r="O92">
        <v>73.819999999999993</v>
      </c>
      <c r="P92">
        <v>14.35</v>
      </c>
      <c r="Q92">
        <v>50.49</v>
      </c>
      <c r="R92">
        <v>6.34</v>
      </c>
      <c r="S92">
        <v>0.78</v>
      </c>
      <c r="T92">
        <v>36.049999999999997</v>
      </c>
      <c r="U92">
        <v>0</v>
      </c>
      <c r="V92">
        <v>1.5068330362448008</v>
      </c>
      <c r="W92">
        <v>0.53550207961972662</v>
      </c>
      <c r="X92">
        <v>5.86</v>
      </c>
      <c r="Y92">
        <v>19.684215000000002</v>
      </c>
      <c r="Z92">
        <v>69.16</v>
      </c>
      <c r="AA92">
        <v>3.26</v>
      </c>
      <c r="AB92">
        <v>1.01</v>
      </c>
      <c r="AC92">
        <v>22.29</v>
      </c>
      <c r="AD92">
        <v>0</v>
      </c>
      <c r="AE92">
        <v>0.5656448814343551</v>
      </c>
      <c r="AF92">
        <v>0.24172209369577793</v>
      </c>
      <c r="AG92">
        <v>3.97</v>
      </c>
      <c r="AH92">
        <v>24.052595</v>
      </c>
      <c r="AI92">
        <v>34.96</v>
      </c>
    </row>
    <row r="93" spans="1:36" x14ac:dyDescent="0.5">
      <c r="A93">
        <v>240</v>
      </c>
      <c r="B93">
        <v>280</v>
      </c>
      <c r="C93">
        <v>0.1</v>
      </c>
      <c r="D93">
        <v>100</v>
      </c>
      <c r="E93">
        <v>4500</v>
      </c>
      <c r="F93">
        <v>1000</v>
      </c>
      <c r="G93">
        <v>10</v>
      </c>
      <c r="N93">
        <v>5.97</v>
      </c>
      <c r="O93">
        <v>73.819999999999993</v>
      </c>
      <c r="P93">
        <v>14.35</v>
      </c>
      <c r="Q93">
        <v>50.49</v>
      </c>
      <c r="R93">
        <v>6.34</v>
      </c>
      <c r="S93">
        <v>0.78</v>
      </c>
      <c r="T93">
        <v>36.049999999999997</v>
      </c>
      <c r="U93">
        <v>0</v>
      </c>
      <c r="V93">
        <v>1.5068330362448008</v>
      </c>
      <c r="W93">
        <v>0.53550207961972662</v>
      </c>
      <c r="X93">
        <v>5.86</v>
      </c>
      <c r="Y93">
        <v>19.684215000000002</v>
      </c>
      <c r="Z93">
        <v>64.02</v>
      </c>
      <c r="AA93">
        <v>6.61</v>
      </c>
      <c r="AB93">
        <v>0.36</v>
      </c>
      <c r="AC93">
        <v>27.46</v>
      </c>
      <c r="AD93">
        <v>0</v>
      </c>
      <c r="AE93">
        <v>1.238987816307404</v>
      </c>
      <c r="AF93">
        <v>0.32169634489222121</v>
      </c>
      <c r="AG93">
        <v>1.52</v>
      </c>
      <c r="AH93">
        <v>26.17623</v>
      </c>
      <c r="AI93">
        <v>38.06</v>
      </c>
    </row>
    <row r="94" spans="1:36" x14ac:dyDescent="0.5">
      <c r="A94">
        <v>350</v>
      </c>
      <c r="B94">
        <v>280</v>
      </c>
      <c r="C94">
        <v>0.1</v>
      </c>
      <c r="D94">
        <v>100</v>
      </c>
      <c r="E94">
        <v>4500</v>
      </c>
      <c r="F94">
        <v>1000</v>
      </c>
      <c r="G94">
        <v>10</v>
      </c>
      <c r="N94">
        <v>5.97</v>
      </c>
      <c r="O94">
        <v>73.819999999999993</v>
      </c>
      <c r="P94">
        <v>14.35</v>
      </c>
      <c r="Q94">
        <v>50.49</v>
      </c>
      <c r="R94">
        <v>6.34</v>
      </c>
      <c r="S94">
        <v>0.78</v>
      </c>
      <c r="T94">
        <v>36.049999999999997</v>
      </c>
      <c r="U94">
        <v>0</v>
      </c>
      <c r="V94">
        <v>1.5068330362448008</v>
      </c>
      <c r="W94">
        <v>0.53550207961972662</v>
      </c>
      <c r="X94">
        <v>5.86</v>
      </c>
      <c r="Y94">
        <v>19.684215000000002</v>
      </c>
      <c r="Z94">
        <v>70.45</v>
      </c>
      <c r="AA94">
        <v>6.55</v>
      </c>
      <c r="AB94">
        <v>0.33</v>
      </c>
      <c r="AC94">
        <v>20.85</v>
      </c>
      <c r="AD94">
        <v>0</v>
      </c>
      <c r="AE94">
        <v>1.1156848828956707</v>
      </c>
      <c r="AF94">
        <v>0.22196593328601846</v>
      </c>
      <c r="AG94">
        <v>1.8</v>
      </c>
      <c r="AH94">
        <v>29.443775000000002</v>
      </c>
      <c r="AI94">
        <v>36.17</v>
      </c>
    </row>
    <row r="95" spans="1:36" x14ac:dyDescent="0.5">
      <c r="A95">
        <v>480</v>
      </c>
      <c r="B95">
        <v>280</v>
      </c>
      <c r="C95">
        <v>0.1</v>
      </c>
      <c r="D95">
        <v>100</v>
      </c>
      <c r="E95">
        <v>4500</v>
      </c>
      <c r="F95">
        <v>1000</v>
      </c>
      <c r="G95">
        <v>10</v>
      </c>
      <c r="N95">
        <v>5.97</v>
      </c>
      <c r="O95">
        <v>73.819999999999993</v>
      </c>
      <c r="P95">
        <v>14.35</v>
      </c>
      <c r="Q95">
        <v>50.49</v>
      </c>
      <c r="R95">
        <v>6.34</v>
      </c>
      <c r="S95">
        <v>0.78</v>
      </c>
      <c r="T95">
        <v>36.049999999999997</v>
      </c>
      <c r="U95">
        <v>0</v>
      </c>
      <c r="V95">
        <v>1.5068330362448008</v>
      </c>
      <c r="W95">
        <v>0.53550207961972662</v>
      </c>
      <c r="X95">
        <v>5.86</v>
      </c>
      <c r="Y95">
        <v>19.684215000000002</v>
      </c>
      <c r="Z95">
        <v>67.25</v>
      </c>
      <c r="AA95">
        <v>6.73</v>
      </c>
      <c r="AB95">
        <v>0.39</v>
      </c>
      <c r="AC95">
        <v>23.85</v>
      </c>
      <c r="AD95">
        <v>0</v>
      </c>
      <c r="AE95">
        <v>1.2008921933085501</v>
      </c>
      <c r="AF95">
        <v>0.26598513011152419</v>
      </c>
      <c r="AG95">
        <v>1.75</v>
      </c>
      <c r="AH95">
        <v>28.083715000000005</v>
      </c>
      <c r="AI95">
        <v>38.14</v>
      </c>
    </row>
    <row r="96" spans="1:36" x14ac:dyDescent="0.5">
      <c r="A96">
        <v>120</v>
      </c>
      <c r="B96">
        <v>180</v>
      </c>
      <c r="C96">
        <v>0.1</v>
      </c>
      <c r="D96">
        <v>10</v>
      </c>
      <c r="E96">
        <v>150</v>
      </c>
      <c r="F96">
        <v>90</v>
      </c>
      <c r="G96">
        <v>9</v>
      </c>
      <c r="N96">
        <v>2.17</v>
      </c>
      <c r="O96">
        <v>76.930000000000007</v>
      </c>
      <c r="P96">
        <v>11.73</v>
      </c>
      <c r="Q96">
        <v>32.700000000000003</v>
      </c>
      <c r="R96">
        <v>5.79</v>
      </c>
      <c r="S96">
        <v>1.43</v>
      </c>
      <c r="T96">
        <v>50.9</v>
      </c>
      <c r="U96">
        <v>0.01</v>
      </c>
      <c r="V96">
        <v>2.1247706422018346</v>
      </c>
      <c r="W96">
        <v>1.1674311926605503</v>
      </c>
      <c r="X96">
        <v>9.17</v>
      </c>
      <c r="Y96">
        <v>13.4</v>
      </c>
      <c r="Z96">
        <v>41.2</v>
      </c>
      <c r="AA96">
        <v>5.65</v>
      </c>
      <c r="AB96">
        <v>1.55</v>
      </c>
      <c r="AC96">
        <v>43.51</v>
      </c>
      <c r="AD96">
        <v>0.01</v>
      </c>
      <c r="AE96">
        <v>1.645631067961165</v>
      </c>
      <c r="AF96">
        <v>0.79205097087378629</v>
      </c>
      <c r="AG96">
        <v>8.08</v>
      </c>
      <c r="AH96">
        <v>16.5</v>
      </c>
      <c r="AI96">
        <v>76</v>
      </c>
      <c r="AJ96" s="2" t="s">
        <v>57</v>
      </c>
    </row>
    <row r="97" spans="1:36" x14ac:dyDescent="0.5">
      <c r="A97">
        <v>240</v>
      </c>
      <c r="B97">
        <v>180</v>
      </c>
      <c r="C97">
        <v>0.1</v>
      </c>
      <c r="D97">
        <v>10</v>
      </c>
      <c r="E97">
        <v>150</v>
      </c>
      <c r="F97">
        <v>90</v>
      </c>
      <c r="G97">
        <v>9</v>
      </c>
      <c r="N97">
        <v>2.17</v>
      </c>
      <c r="O97">
        <v>76.930000000000007</v>
      </c>
      <c r="P97">
        <v>11.73</v>
      </c>
      <c r="Q97">
        <v>32.700000000000003</v>
      </c>
      <c r="R97">
        <v>5.79</v>
      </c>
      <c r="S97">
        <v>1.43</v>
      </c>
      <c r="T97">
        <v>50.9</v>
      </c>
      <c r="U97">
        <v>0.01</v>
      </c>
      <c r="V97">
        <v>2.1247706422018346</v>
      </c>
      <c r="W97">
        <v>1.1674311926605503</v>
      </c>
      <c r="X97">
        <v>9.17</v>
      </c>
      <c r="Y97">
        <v>13.4</v>
      </c>
      <c r="Z97">
        <v>41.6</v>
      </c>
      <c r="AA97">
        <v>5.44</v>
      </c>
      <c r="AB97">
        <v>1.62</v>
      </c>
      <c r="AC97">
        <v>43.37</v>
      </c>
      <c r="AD97">
        <v>0.01</v>
      </c>
      <c r="AE97">
        <v>1.5692307692307692</v>
      </c>
      <c r="AF97">
        <v>0.78191105769230762</v>
      </c>
      <c r="AG97">
        <v>7.96</v>
      </c>
      <c r="AH97">
        <v>16.8</v>
      </c>
      <c r="AI97">
        <v>72</v>
      </c>
    </row>
    <row r="98" spans="1:36" x14ac:dyDescent="0.5">
      <c r="A98">
        <v>120</v>
      </c>
      <c r="B98">
        <v>200</v>
      </c>
      <c r="C98">
        <v>0.1</v>
      </c>
      <c r="D98">
        <v>10</v>
      </c>
      <c r="E98">
        <v>150</v>
      </c>
      <c r="F98">
        <v>90</v>
      </c>
      <c r="G98">
        <v>9</v>
      </c>
      <c r="N98">
        <v>2.17</v>
      </c>
      <c r="O98">
        <v>76.930000000000007</v>
      </c>
      <c r="P98">
        <v>11.73</v>
      </c>
      <c r="Q98">
        <v>32.700000000000003</v>
      </c>
      <c r="R98">
        <v>5.79</v>
      </c>
      <c r="S98">
        <v>1.43</v>
      </c>
      <c r="T98">
        <v>50.9</v>
      </c>
      <c r="U98">
        <v>0.01</v>
      </c>
      <c r="V98">
        <v>2.1247706422018346</v>
      </c>
      <c r="W98">
        <v>1.1674311926605503</v>
      </c>
      <c r="X98">
        <v>9.17</v>
      </c>
      <c r="Y98">
        <v>13.4</v>
      </c>
      <c r="Z98">
        <v>42.7</v>
      </c>
      <c r="AA98">
        <v>5.38</v>
      </c>
      <c r="AB98">
        <v>1.62</v>
      </c>
      <c r="AC98">
        <v>42.44</v>
      </c>
      <c r="AD98">
        <v>0.01</v>
      </c>
      <c r="AE98">
        <v>1.511943793911007</v>
      </c>
      <c r="AF98">
        <v>0.7454332552693208</v>
      </c>
      <c r="AG98">
        <v>7.85</v>
      </c>
      <c r="AH98">
        <v>17.2</v>
      </c>
      <c r="AI98">
        <v>71</v>
      </c>
    </row>
    <row r="99" spans="1:36" x14ac:dyDescent="0.5">
      <c r="A99">
        <v>240</v>
      </c>
      <c r="B99">
        <v>200</v>
      </c>
      <c r="C99">
        <v>0.1</v>
      </c>
      <c r="D99">
        <v>10</v>
      </c>
      <c r="E99">
        <v>150</v>
      </c>
      <c r="F99">
        <v>90</v>
      </c>
      <c r="G99">
        <v>9</v>
      </c>
      <c r="N99">
        <v>2.17</v>
      </c>
      <c r="O99">
        <v>76.930000000000007</v>
      </c>
      <c r="P99">
        <v>11.73</v>
      </c>
      <c r="Q99">
        <v>32.700000000000003</v>
      </c>
      <c r="R99">
        <v>5.79</v>
      </c>
      <c r="S99">
        <v>1.43</v>
      </c>
      <c r="T99">
        <v>50.9</v>
      </c>
      <c r="U99">
        <v>0.01</v>
      </c>
      <c r="V99">
        <v>2.1247706422018346</v>
      </c>
      <c r="W99">
        <v>1.1674311926605503</v>
      </c>
      <c r="X99">
        <v>9.17</v>
      </c>
      <c r="Y99">
        <v>13.4</v>
      </c>
      <c r="Z99">
        <v>43.4</v>
      </c>
      <c r="AA99">
        <v>5.37</v>
      </c>
      <c r="AB99">
        <v>1.66</v>
      </c>
      <c r="AC99">
        <v>41.28</v>
      </c>
      <c r="AD99">
        <v>0.01</v>
      </c>
      <c r="AE99">
        <v>1.4847926267281106</v>
      </c>
      <c r="AF99">
        <v>0.71336405529953917</v>
      </c>
      <c r="AG99">
        <v>7.74</v>
      </c>
      <c r="AH99">
        <v>17.899999999999999</v>
      </c>
      <c r="AI99">
        <v>68</v>
      </c>
    </row>
    <row r="100" spans="1:36" x14ac:dyDescent="0.5">
      <c r="A100">
        <v>120</v>
      </c>
      <c r="B100">
        <v>220</v>
      </c>
      <c r="C100">
        <v>0.1</v>
      </c>
      <c r="D100">
        <v>10</v>
      </c>
      <c r="E100">
        <v>150</v>
      </c>
      <c r="F100">
        <v>90</v>
      </c>
      <c r="G100">
        <v>9</v>
      </c>
      <c r="N100">
        <v>2.17</v>
      </c>
      <c r="O100">
        <v>76.930000000000007</v>
      </c>
      <c r="P100">
        <v>11.73</v>
      </c>
      <c r="Q100">
        <v>32.700000000000003</v>
      </c>
      <c r="R100">
        <v>5.79</v>
      </c>
      <c r="S100">
        <v>1.43</v>
      </c>
      <c r="T100">
        <v>50.9</v>
      </c>
      <c r="U100">
        <v>0.01</v>
      </c>
      <c r="V100">
        <v>2.1247706422018346</v>
      </c>
      <c r="W100">
        <v>1.1674311926605503</v>
      </c>
      <c r="X100">
        <v>9.17</v>
      </c>
      <c r="Y100">
        <v>13.4</v>
      </c>
      <c r="Z100">
        <v>45.6</v>
      </c>
      <c r="AA100">
        <v>5.34</v>
      </c>
      <c r="AB100">
        <v>1.67</v>
      </c>
      <c r="AC100">
        <v>39.94</v>
      </c>
      <c r="AD100">
        <v>0.01</v>
      </c>
      <c r="AE100">
        <v>1.4052631578947368</v>
      </c>
      <c r="AF100">
        <v>0.65690789473684197</v>
      </c>
      <c r="AG100">
        <v>7.44</v>
      </c>
      <c r="AH100">
        <v>18.8</v>
      </c>
      <c r="AI100">
        <v>65</v>
      </c>
    </row>
    <row r="101" spans="1:36" x14ac:dyDescent="0.5">
      <c r="A101">
        <v>240</v>
      </c>
      <c r="B101">
        <v>220</v>
      </c>
      <c r="C101">
        <v>0.1</v>
      </c>
      <c r="D101">
        <v>10</v>
      </c>
      <c r="E101">
        <v>150</v>
      </c>
      <c r="F101">
        <v>90</v>
      </c>
      <c r="G101">
        <v>9</v>
      </c>
      <c r="N101">
        <v>2.17</v>
      </c>
      <c r="O101">
        <v>76.930000000000007</v>
      </c>
      <c r="P101">
        <v>11.73</v>
      </c>
      <c r="Q101">
        <v>32.700000000000003</v>
      </c>
      <c r="R101">
        <v>5.79</v>
      </c>
      <c r="S101">
        <v>1.43</v>
      </c>
      <c r="T101">
        <v>50.9</v>
      </c>
      <c r="U101">
        <v>0.01</v>
      </c>
      <c r="V101">
        <v>2.1247706422018346</v>
      </c>
      <c r="W101">
        <v>1.1674311926605503</v>
      </c>
      <c r="X101">
        <v>9.17</v>
      </c>
      <c r="Y101">
        <v>13.4</v>
      </c>
      <c r="Z101">
        <v>46.7</v>
      </c>
      <c r="AA101">
        <v>5.32</v>
      </c>
      <c r="AB101">
        <v>1.75</v>
      </c>
      <c r="AC101">
        <v>39.15</v>
      </c>
      <c r="AD101">
        <v>0.01</v>
      </c>
      <c r="AE101">
        <v>1.3670235546038543</v>
      </c>
      <c r="AF101">
        <v>0.62874732334047101</v>
      </c>
      <c r="AG101">
        <v>7.07</v>
      </c>
      <c r="AH101">
        <v>19.2</v>
      </c>
      <c r="AI101">
        <v>63</v>
      </c>
    </row>
    <row r="102" spans="1:36" x14ac:dyDescent="0.5">
      <c r="A102">
        <v>60</v>
      </c>
      <c r="B102">
        <v>140</v>
      </c>
      <c r="C102">
        <v>0.1</v>
      </c>
      <c r="D102">
        <v>4</v>
      </c>
      <c r="E102">
        <v>100</v>
      </c>
      <c r="F102">
        <v>50</v>
      </c>
      <c r="G102">
        <v>12.5</v>
      </c>
      <c r="N102">
        <v>9.5</v>
      </c>
      <c r="O102">
        <v>77</v>
      </c>
      <c r="P102">
        <v>8.5</v>
      </c>
      <c r="Q102">
        <v>40.1</v>
      </c>
      <c r="R102">
        <v>5.7</v>
      </c>
      <c r="S102">
        <v>0.9</v>
      </c>
      <c r="T102">
        <v>53.3</v>
      </c>
      <c r="U102">
        <v>0.03</v>
      </c>
      <c r="V102">
        <v>1.7057356608478802</v>
      </c>
      <c r="W102">
        <v>0.9968827930174563</v>
      </c>
      <c r="X102">
        <v>4.9000000000000004</v>
      </c>
      <c r="Y102">
        <v>14.9</v>
      </c>
      <c r="Z102">
        <v>43.7</v>
      </c>
      <c r="AA102">
        <v>5.8</v>
      </c>
      <c r="AB102">
        <v>0.7</v>
      </c>
      <c r="AC102">
        <v>49.7</v>
      </c>
      <c r="AD102">
        <v>0.05</v>
      </c>
      <c r="AE102">
        <v>1.5926773455377572</v>
      </c>
      <c r="AF102">
        <v>0.85297482837528604</v>
      </c>
      <c r="AG102">
        <v>3.1</v>
      </c>
      <c r="AH102">
        <v>16.7</v>
      </c>
      <c r="AI102">
        <v>75</v>
      </c>
      <c r="AJ102" s="2" t="s">
        <v>59</v>
      </c>
    </row>
    <row r="103" spans="1:36" x14ac:dyDescent="0.5">
      <c r="A103">
        <v>60</v>
      </c>
      <c r="B103">
        <v>170</v>
      </c>
      <c r="C103">
        <v>0.1</v>
      </c>
      <c r="D103">
        <v>4</v>
      </c>
      <c r="E103">
        <v>100</v>
      </c>
      <c r="F103">
        <v>50</v>
      </c>
      <c r="G103">
        <v>12.5</v>
      </c>
      <c r="N103">
        <v>9.5</v>
      </c>
      <c r="O103">
        <v>77</v>
      </c>
      <c r="P103">
        <v>8.5</v>
      </c>
      <c r="Q103">
        <v>40.1</v>
      </c>
      <c r="R103">
        <v>5.7</v>
      </c>
      <c r="S103">
        <v>0.9</v>
      </c>
      <c r="T103">
        <v>53.3</v>
      </c>
      <c r="U103">
        <v>0.03</v>
      </c>
      <c r="V103">
        <v>1.7057356608478802</v>
      </c>
      <c r="W103">
        <v>0.9968827930174563</v>
      </c>
      <c r="X103">
        <v>4.9000000000000004</v>
      </c>
      <c r="Y103">
        <v>14.9</v>
      </c>
      <c r="Z103">
        <v>45.2</v>
      </c>
      <c r="AA103">
        <v>5.8</v>
      </c>
      <c r="AB103">
        <v>0.7</v>
      </c>
      <c r="AC103">
        <v>48.4</v>
      </c>
      <c r="AD103">
        <v>0.03</v>
      </c>
      <c r="AE103">
        <v>1.5398230088495573</v>
      </c>
      <c r="AF103">
        <v>0.80309734513274322</v>
      </c>
      <c r="AG103">
        <v>3.7</v>
      </c>
      <c r="AH103">
        <v>17.3</v>
      </c>
      <c r="AI103">
        <v>56.9</v>
      </c>
    </row>
    <row r="104" spans="1:36" x14ac:dyDescent="0.5">
      <c r="A104">
        <v>60</v>
      </c>
      <c r="B104">
        <v>200</v>
      </c>
      <c r="C104">
        <v>0.1</v>
      </c>
      <c r="D104">
        <v>4</v>
      </c>
      <c r="E104">
        <v>100</v>
      </c>
      <c r="F104">
        <v>50</v>
      </c>
      <c r="G104">
        <v>12.5</v>
      </c>
      <c r="N104">
        <v>9.5</v>
      </c>
      <c r="O104">
        <v>77</v>
      </c>
      <c r="P104">
        <v>8.5</v>
      </c>
      <c r="Q104">
        <v>40.1</v>
      </c>
      <c r="R104">
        <v>5.7</v>
      </c>
      <c r="S104">
        <v>0.9</v>
      </c>
      <c r="T104">
        <v>53.3</v>
      </c>
      <c r="U104">
        <v>0.03</v>
      </c>
      <c r="V104">
        <v>1.7057356608478802</v>
      </c>
      <c r="W104">
        <v>0.9968827930174563</v>
      </c>
      <c r="X104">
        <v>4.9000000000000004</v>
      </c>
      <c r="Y104">
        <v>14.9</v>
      </c>
      <c r="Z104">
        <v>50.8</v>
      </c>
      <c r="AA104">
        <v>5.6</v>
      </c>
      <c r="AB104">
        <v>1</v>
      </c>
      <c r="AC104">
        <v>42.6</v>
      </c>
      <c r="AD104">
        <v>0.05</v>
      </c>
      <c r="AE104">
        <v>1.3228346456692912</v>
      </c>
      <c r="AF104">
        <v>0.62893700787401574</v>
      </c>
      <c r="AG104">
        <v>5.0999999999999996</v>
      </c>
      <c r="AH104">
        <v>19.600000000000001</v>
      </c>
      <c r="AI104">
        <v>49.8</v>
      </c>
    </row>
    <row r="105" spans="1:36" x14ac:dyDescent="0.5">
      <c r="A105">
        <v>60</v>
      </c>
      <c r="B105">
        <v>230</v>
      </c>
      <c r="C105">
        <v>0.1</v>
      </c>
      <c r="D105">
        <v>4</v>
      </c>
      <c r="E105">
        <v>100</v>
      </c>
      <c r="F105">
        <v>50</v>
      </c>
      <c r="G105">
        <v>12.5</v>
      </c>
      <c r="N105">
        <v>9.5</v>
      </c>
      <c r="O105">
        <v>77</v>
      </c>
      <c r="P105">
        <v>8.5</v>
      </c>
      <c r="Q105">
        <v>40.1</v>
      </c>
      <c r="R105">
        <v>5.7</v>
      </c>
      <c r="S105">
        <v>0.9</v>
      </c>
      <c r="T105">
        <v>53.3</v>
      </c>
      <c r="U105">
        <v>0.03</v>
      </c>
      <c r="V105">
        <v>1.7057356608478802</v>
      </c>
      <c r="W105">
        <v>0.9968827930174563</v>
      </c>
      <c r="X105">
        <v>4.9000000000000004</v>
      </c>
      <c r="Y105">
        <v>14.9</v>
      </c>
      <c r="Z105">
        <v>53.1</v>
      </c>
      <c r="AA105">
        <v>5.6</v>
      </c>
      <c r="AB105">
        <v>0.9</v>
      </c>
      <c r="AC105">
        <v>40.299999999999997</v>
      </c>
      <c r="AD105">
        <v>0.04</v>
      </c>
      <c r="AE105">
        <v>1.2655367231638417</v>
      </c>
      <c r="AF105">
        <v>0.5692090395480226</v>
      </c>
      <c r="AG105">
        <v>3.8</v>
      </c>
      <c r="AH105">
        <v>20.7</v>
      </c>
      <c r="AI105">
        <v>45.3</v>
      </c>
    </row>
    <row r="106" spans="1:36" x14ac:dyDescent="0.5">
      <c r="A106">
        <v>60</v>
      </c>
      <c r="B106">
        <v>140</v>
      </c>
      <c r="C106">
        <v>0.1</v>
      </c>
      <c r="D106">
        <v>4</v>
      </c>
      <c r="E106">
        <v>100</v>
      </c>
      <c r="F106">
        <v>50</v>
      </c>
      <c r="G106">
        <v>12.5</v>
      </c>
      <c r="N106">
        <v>8.1</v>
      </c>
      <c r="O106">
        <v>84.6</v>
      </c>
      <c r="P106">
        <v>6.2</v>
      </c>
      <c r="Q106">
        <v>42.2</v>
      </c>
      <c r="R106">
        <v>5.8</v>
      </c>
      <c r="S106">
        <v>0.4</v>
      </c>
      <c r="T106">
        <v>51.5</v>
      </c>
      <c r="U106">
        <v>0.04</v>
      </c>
      <c r="V106">
        <v>1.6492890995260661</v>
      </c>
      <c r="W106">
        <v>0.91528436018957338</v>
      </c>
      <c r="X106">
        <v>1.1000000000000001</v>
      </c>
      <c r="Y106">
        <v>16</v>
      </c>
      <c r="Z106">
        <v>45.3</v>
      </c>
      <c r="AA106">
        <v>5.9</v>
      </c>
      <c r="AB106">
        <v>0.3</v>
      </c>
      <c r="AC106">
        <v>48.4</v>
      </c>
      <c r="AD106">
        <v>0.02</v>
      </c>
      <c r="AE106">
        <v>1.5629139072847684</v>
      </c>
      <c r="AF106">
        <v>0.80132450331125826</v>
      </c>
      <c r="AG106">
        <v>0.7</v>
      </c>
      <c r="AH106">
        <v>17.5</v>
      </c>
      <c r="AI106">
        <v>69.900000000000006</v>
      </c>
    </row>
    <row r="107" spans="1:36" x14ac:dyDescent="0.5">
      <c r="A107">
        <v>60</v>
      </c>
      <c r="B107">
        <v>170</v>
      </c>
      <c r="C107">
        <v>0.1</v>
      </c>
      <c r="D107">
        <v>4</v>
      </c>
      <c r="E107">
        <v>100</v>
      </c>
      <c r="F107">
        <v>50</v>
      </c>
      <c r="G107">
        <v>12.5</v>
      </c>
      <c r="N107">
        <v>8.1</v>
      </c>
      <c r="O107">
        <v>84.6</v>
      </c>
      <c r="P107">
        <v>6.2</v>
      </c>
      <c r="Q107">
        <v>42.2</v>
      </c>
      <c r="R107">
        <v>5.8</v>
      </c>
      <c r="S107">
        <v>0.4</v>
      </c>
      <c r="T107">
        <v>51.5</v>
      </c>
      <c r="U107">
        <v>0.04</v>
      </c>
      <c r="V107">
        <v>1.6492890995260661</v>
      </c>
      <c r="W107">
        <v>0.91528436018957338</v>
      </c>
      <c r="X107">
        <v>1.1000000000000001</v>
      </c>
      <c r="Y107">
        <v>16</v>
      </c>
      <c r="Z107">
        <v>45.7</v>
      </c>
      <c r="AA107">
        <v>5.9</v>
      </c>
      <c r="AB107">
        <v>0.4</v>
      </c>
      <c r="AC107">
        <v>48</v>
      </c>
      <c r="AD107">
        <v>0.04</v>
      </c>
      <c r="AE107">
        <v>1.549234135667396</v>
      </c>
      <c r="AF107">
        <v>0.78774617067833697</v>
      </c>
      <c r="AG107">
        <v>0.7</v>
      </c>
      <c r="AH107">
        <v>17.7</v>
      </c>
      <c r="AI107">
        <v>54.1</v>
      </c>
    </row>
    <row r="108" spans="1:36" x14ac:dyDescent="0.5">
      <c r="A108">
        <v>60</v>
      </c>
      <c r="B108">
        <v>200</v>
      </c>
      <c r="C108">
        <v>0.1</v>
      </c>
      <c r="D108">
        <v>4</v>
      </c>
      <c r="E108">
        <v>100</v>
      </c>
      <c r="F108">
        <v>50</v>
      </c>
      <c r="G108">
        <v>12.5</v>
      </c>
      <c r="N108">
        <v>8.1</v>
      </c>
      <c r="O108">
        <v>84.6</v>
      </c>
      <c r="P108">
        <v>6.2</v>
      </c>
      <c r="Q108">
        <v>42.2</v>
      </c>
      <c r="R108">
        <v>5.8</v>
      </c>
      <c r="S108">
        <v>0.4</v>
      </c>
      <c r="T108">
        <v>51.5</v>
      </c>
      <c r="U108">
        <v>0.04</v>
      </c>
      <c r="V108">
        <v>1.6492890995260661</v>
      </c>
      <c r="W108">
        <v>0.91528436018957338</v>
      </c>
      <c r="X108">
        <v>1.1000000000000001</v>
      </c>
      <c r="Y108">
        <v>16</v>
      </c>
      <c r="Z108">
        <v>49.7</v>
      </c>
      <c r="AA108">
        <v>5.7</v>
      </c>
      <c r="AB108">
        <v>0.5</v>
      </c>
      <c r="AC108">
        <v>44.1</v>
      </c>
      <c r="AD108">
        <v>0.03</v>
      </c>
      <c r="AE108">
        <v>1.3762575452716299</v>
      </c>
      <c r="AF108">
        <v>0.66549295774647887</v>
      </c>
      <c r="AG108">
        <v>0.5</v>
      </c>
      <c r="AH108">
        <v>19.2</v>
      </c>
      <c r="AI108">
        <v>45.5</v>
      </c>
    </row>
    <row r="109" spans="1:36" x14ac:dyDescent="0.5">
      <c r="A109">
        <v>60</v>
      </c>
      <c r="B109">
        <v>230</v>
      </c>
      <c r="C109">
        <v>0.1</v>
      </c>
      <c r="D109">
        <v>4</v>
      </c>
      <c r="E109">
        <v>100</v>
      </c>
      <c r="F109">
        <v>50</v>
      </c>
      <c r="G109">
        <v>12.5</v>
      </c>
      <c r="N109">
        <v>8.1</v>
      </c>
      <c r="O109">
        <v>84.6</v>
      </c>
      <c r="P109">
        <v>6.2</v>
      </c>
      <c r="Q109">
        <v>42.2</v>
      </c>
      <c r="R109">
        <v>5.8</v>
      </c>
      <c r="S109">
        <v>0.4</v>
      </c>
      <c r="T109">
        <v>51.5</v>
      </c>
      <c r="U109">
        <v>0.04</v>
      </c>
      <c r="V109">
        <v>1.6492890995260661</v>
      </c>
      <c r="W109">
        <v>0.91528436018957338</v>
      </c>
      <c r="X109">
        <v>1.1000000000000001</v>
      </c>
      <c r="Y109">
        <v>16</v>
      </c>
      <c r="Z109">
        <v>52.9</v>
      </c>
      <c r="AA109">
        <v>5.4</v>
      </c>
      <c r="AB109">
        <v>0.5</v>
      </c>
      <c r="AC109">
        <v>41.1</v>
      </c>
      <c r="AD109">
        <v>0.05</v>
      </c>
      <c r="AE109">
        <v>1.2249527410207941</v>
      </c>
      <c r="AF109">
        <v>0.58270321361058608</v>
      </c>
      <c r="AG109">
        <v>0.5</v>
      </c>
      <c r="AH109">
        <v>20.3</v>
      </c>
      <c r="AI109">
        <v>43.4</v>
      </c>
    </row>
    <row r="110" spans="1:36" x14ac:dyDescent="0.5">
      <c r="A110">
        <v>60</v>
      </c>
      <c r="B110">
        <v>140</v>
      </c>
      <c r="C110">
        <v>0.1</v>
      </c>
      <c r="D110">
        <v>4</v>
      </c>
      <c r="E110">
        <v>100</v>
      </c>
      <c r="F110">
        <v>50</v>
      </c>
      <c r="G110">
        <v>12.5</v>
      </c>
      <c r="N110">
        <v>8.1999999999999993</v>
      </c>
      <c r="O110">
        <v>84.6</v>
      </c>
      <c r="P110">
        <v>3.5</v>
      </c>
      <c r="Q110">
        <v>43.3</v>
      </c>
      <c r="R110">
        <v>5.0999999999999996</v>
      </c>
      <c r="S110">
        <v>1.5</v>
      </c>
      <c r="T110">
        <v>50.1</v>
      </c>
      <c r="U110">
        <v>7.0000000000000007E-2</v>
      </c>
      <c r="V110">
        <v>1.4133949191685913</v>
      </c>
      <c r="W110">
        <v>0.86778290993071605</v>
      </c>
      <c r="X110">
        <v>3.7</v>
      </c>
      <c r="Y110">
        <v>15.6</v>
      </c>
      <c r="Z110">
        <v>42.8</v>
      </c>
      <c r="AA110">
        <v>6</v>
      </c>
      <c r="AB110">
        <v>1.2</v>
      </c>
      <c r="AC110">
        <v>50</v>
      </c>
      <c r="AD110">
        <v>0.06</v>
      </c>
      <c r="AE110">
        <v>1.6822429906542058</v>
      </c>
      <c r="AF110">
        <v>0.87616822429906549</v>
      </c>
      <c r="AG110">
        <v>1.9</v>
      </c>
      <c r="AH110">
        <v>16.600000000000001</v>
      </c>
      <c r="AI110">
        <v>85.9</v>
      </c>
    </row>
    <row r="111" spans="1:36" x14ac:dyDescent="0.5">
      <c r="A111">
        <v>60</v>
      </c>
      <c r="B111">
        <v>170</v>
      </c>
      <c r="C111">
        <v>0.1</v>
      </c>
      <c r="D111">
        <v>4</v>
      </c>
      <c r="E111">
        <v>100</v>
      </c>
      <c r="F111">
        <v>50</v>
      </c>
      <c r="G111">
        <v>12.5</v>
      </c>
      <c r="N111">
        <v>8.1999999999999993</v>
      </c>
      <c r="O111">
        <v>84.6</v>
      </c>
      <c r="P111">
        <v>3.5</v>
      </c>
      <c r="Q111">
        <v>43.3</v>
      </c>
      <c r="R111">
        <v>5.0999999999999996</v>
      </c>
      <c r="S111">
        <v>1.5</v>
      </c>
      <c r="T111">
        <v>50.1</v>
      </c>
      <c r="U111">
        <v>7.0000000000000007E-2</v>
      </c>
      <c r="V111">
        <v>1.4133949191685913</v>
      </c>
      <c r="W111">
        <v>0.86778290993071605</v>
      </c>
      <c r="X111">
        <v>3.7</v>
      </c>
      <c r="Y111">
        <v>15.6</v>
      </c>
      <c r="Z111">
        <v>43.4</v>
      </c>
      <c r="AA111">
        <v>5.9</v>
      </c>
      <c r="AB111">
        <v>1.2</v>
      </c>
      <c r="AC111">
        <v>49.5</v>
      </c>
      <c r="AD111">
        <v>0.04</v>
      </c>
      <c r="AE111">
        <v>1.631336405529954</v>
      </c>
      <c r="AF111">
        <v>0.8554147465437788</v>
      </c>
      <c r="AG111">
        <v>2.1</v>
      </c>
      <c r="AH111">
        <v>16.7</v>
      </c>
      <c r="AI111">
        <v>55.8</v>
      </c>
    </row>
    <row r="112" spans="1:36" x14ac:dyDescent="0.5">
      <c r="A112">
        <v>60</v>
      </c>
      <c r="B112">
        <v>200</v>
      </c>
      <c r="C112">
        <v>0.1</v>
      </c>
      <c r="D112">
        <v>4</v>
      </c>
      <c r="E112">
        <v>100</v>
      </c>
      <c r="F112">
        <v>50</v>
      </c>
      <c r="G112">
        <v>12.5</v>
      </c>
      <c r="N112">
        <v>8.1999999999999993</v>
      </c>
      <c r="O112">
        <v>84.6</v>
      </c>
      <c r="P112">
        <v>3.5</v>
      </c>
      <c r="Q112">
        <v>43.3</v>
      </c>
      <c r="R112">
        <v>5.0999999999999996</v>
      </c>
      <c r="S112">
        <v>1.5</v>
      </c>
      <c r="T112">
        <v>50.1</v>
      </c>
      <c r="U112">
        <v>7.0000000000000007E-2</v>
      </c>
      <c r="V112">
        <v>1.4133949191685913</v>
      </c>
      <c r="W112">
        <v>0.86778290993071605</v>
      </c>
      <c r="X112">
        <v>3.7</v>
      </c>
      <c r="Y112">
        <v>15.6</v>
      </c>
      <c r="Z112">
        <v>49.7</v>
      </c>
      <c r="AA112">
        <v>5.7</v>
      </c>
      <c r="AB112">
        <v>1.3</v>
      </c>
      <c r="AC112">
        <v>43.3</v>
      </c>
      <c r="AD112">
        <v>0.04</v>
      </c>
      <c r="AE112">
        <v>1.3762575452716299</v>
      </c>
      <c r="AF112">
        <v>0.65342052313883292</v>
      </c>
      <c r="AG112">
        <v>1.4</v>
      </c>
      <c r="AH112">
        <v>19.3</v>
      </c>
      <c r="AI112">
        <v>45.9</v>
      </c>
    </row>
    <row r="113" spans="1:36" x14ac:dyDescent="0.5">
      <c r="A113">
        <v>60</v>
      </c>
      <c r="B113">
        <v>230</v>
      </c>
      <c r="C113">
        <v>0.1</v>
      </c>
      <c r="D113">
        <v>4</v>
      </c>
      <c r="E113">
        <v>100</v>
      </c>
      <c r="F113">
        <v>50</v>
      </c>
      <c r="G113">
        <v>12.5</v>
      </c>
      <c r="N113">
        <v>8.1999999999999993</v>
      </c>
      <c r="O113">
        <v>84.6</v>
      </c>
      <c r="P113">
        <v>3.5</v>
      </c>
      <c r="Q113">
        <v>43.3</v>
      </c>
      <c r="R113">
        <v>5.0999999999999996</v>
      </c>
      <c r="S113">
        <v>1.5</v>
      </c>
      <c r="T113">
        <v>50.1</v>
      </c>
      <c r="U113">
        <v>7.0000000000000007E-2</v>
      </c>
      <c r="V113">
        <v>1.4133949191685913</v>
      </c>
      <c r="W113">
        <v>0.86778290993071605</v>
      </c>
      <c r="X113">
        <v>3.7</v>
      </c>
      <c r="Y113">
        <v>15.6</v>
      </c>
      <c r="Z113">
        <v>50.5</v>
      </c>
      <c r="AA113">
        <v>5.8</v>
      </c>
      <c r="AB113">
        <v>1.3</v>
      </c>
      <c r="AC113">
        <v>42.3</v>
      </c>
      <c r="AD113">
        <v>0.06</v>
      </c>
      <c r="AE113">
        <v>1.3782178217821783</v>
      </c>
      <c r="AF113">
        <v>0.62821782178217822</v>
      </c>
      <c r="AG113">
        <v>1.2</v>
      </c>
      <c r="AH113">
        <v>19.8</v>
      </c>
      <c r="AI113">
        <v>44.6</v>
      </c>
    </row>
    <row r="114" spans="1:36" x14ac:dyDescent="0.5">
      <c r="A114">
        <v>60</v>
      </c>
      <c r="B114">
        <v>140</v>
      </c>
      <c r="C114">
        <v>0.1</v>
      </c>
      <c r="D114">
        <v>1</v>
      </c>
      <c r="E114">
        <v>100</v>
      </c>
      <c r="F114">
        <v>50</v>
      </c>
      <c r="G114">
        <v>50</v>
      </c>
      <c r="H114">
        <v>69.650000000000006</v>
      </c>
      <c r="Q114">
        <v>48.94</v>
      </c>
      <c r="R114">
        <v>6.76</v>
      </c>
      <c r="S114">
        <v>10.95</v>
      </c>
      <c r="T114">
        <v>28.41</v>
      </c>
      <c r="U114">
        <v>0.56000000000000005</v>
      </c>
      <c r="V114">
        <v>1.6575398447078056</v>
      </c>
      <c r="W114">
        <v>0.43538005721291378</v>
      </c>
      <c r="X114">
        <v>4.38</v>
      </c>
      <c r="Y114">
        <v>21.123815</v>
      </c>
      <c r="Z114">
        <v>49.03</v>
      </c>
      <c r="AA114">
        <v>7.38</v>
      </c>
      <c r="AB114">
        <v>10.42</v>
      </c>
      <c r="AC114">
        <v>26.28</v>
      </c>
      <c r="AD114">
        <v>0.55000000000000004</v>
      </c>
      <c r="AE114">
        <v>1.806241076891699</v>
      </c>
      <c r="AF114">
        <v>0.40199877625943303</v>
      </c>
      <c r="AG114">
        <v>6.34</v>
      </c>
      <c r="AH114">
        <v>22.419800000000002</v>
      </c>
      <c r="AI114">
        <v>69.3</v>
      </c>
      <c r="AJ114" s="2" t="s">
        <v>61</v>
      </c>
    </row>
    <row r="115" spans="1:36" x14ac:dyDescent="0.5">
      <c r="A115">
        <v>60</v>
      </c>
      <c r="B115">
        <v>160</v>
      </c>
      <c r="C115">
        <v>0.1</v>
      </c>
      <c r="D115">
        <v>1</v>
      </c>
      <c r="E115">
        <v>100</v>
      </c>
      <c r="F115">
        <v>50</v>
      </c>
      <c r="G115">
        <v>50</v>
      </c>
      <c r="H115">
        <v>69.650000000000006</v>
      </c>
      <c r="Q115">
        <v>48.94</v>
      </c>
      <c r="R115">
        <v>6.76</v>
      </c>
      <c r="S115">
        <v>10.95</v>
      </c>
      <c r="T115">
        <v>28.41</v>
      </c>
      <c r="U115">
        <v>0.56000000000000005</v>
      </c>
      <c r="V115">
        <v>1.6575398447078056</v>
      </c>
      <c r="W115">
        <v>0.43538005721291378</v>
      </c>
      <c r="X115">
        <v>4.38</v>
      </c>
      <c r="Y115">
        <v>21.123815</v>
      </c>
      <c r="Z115">
        <v>51.76</v>
      </c>
      <c r="AA115">
        <v>7.41</v>
      </c>
      <c r="AB115">
        <v>8.98</v>
      </c>
      <c r="AC115">
        <v>24.59</v>
      </c>
      <c r="AD115">
        <v>0.54</v>
      </c>
      <c r="AE115">
        <v>1.7179289026275115</v>
      </c>
      <c r="AF115">
        <v>0.35630795981452856</v>
      </c>
      <c r="AG115">
        <v>6.72</v>
      </c>
      <c r="AH115">
        <v>23.687045000000001</v>
      </c>
      <c r="AI115">
        <v>50.3</v>
      </c>
    </row>
    <row r="116" spans="1:36" x14ac:dyDescent="0.5">
      <c r="A116">
        <v>60</v>
      </c>
      <c r="B116">
        <v>180</v>
      </c>
      <c r="C116">
        <v>0.1</v>
      </c>
      <c r="D116">
        <v>1</v>
      </c>
      <c r="E116">
        <v>100</v>
      </c>
      <c r="F116">
        <v>50</v>
      </c>
      <c r="G116">
        <v>50</v>
      </c>
      <c r="H116">
        <v>69.650000000000006</v>
      </c>
      <c r="Q116">
        <v>48.94</v>
      </c>
      <c r="R116">
        <v>6.76</v>
      </c>
      <c r="S116">
        <v>10.95</v>
      </c>
      <c r="T116">
        <v>28.41</v>
      </c>
      <c r="U116">
        <v>0.56000000000000005</v>
      </c>
      <c r="V116">
        <v>1.6575398447078056</v>
      </c>
      <c r="W116">
        <v>0.43538005721291378</v>
      </c>
      <c r="X116">
        <v>4.38</v>
      </c>
      <c r="Y116">
        <v>21.123815</v>
      </c>
      <c r="Z116">
        <v>55.54</v>
      </c>
      <c r="AA116">
        <v>7.47</v>
      </c>
      <c r="AB116">
        <v>8.2100000000000009</v>
      </c>
      <c r="AC116">
        <v>20.51</v>
      </c>
      <c r="AD116">
        <v>0.51</v>
      </c>
      <c r="AE116">
        <v>1.6139719121353979</v>
      </c>
      <c r="AF116">
        <v>0.2769625495138639</v>
      </c>
      <c r="AG116">
        <v>7.76</v>
      </c>
      <c r="AH116">
        <v>25.778645000000001</v>
      </c>
      <c r="AI116">
        <v>36.799999999999997</v>
      </c>
    </row>
    <row r="117" spans="1:36" x14ac:dyDescent="0.5">
      <c r="A117">
        <v>60</v>
      </c>
      <c r="B117">
        <v>200</v>
      </c>
      <c r="C117">
        <v>0.1</v>
      </c>
      <c r="D117">
        <v>1</v>
      </c>
      <c r="E117">
        <v>100</v>
      </c>
      <c r="F117">
        <v>50</v>
      </c>
      <c r="G117">
        <v>50</v>
      </c>
      <c r="H117">
        <v>69.650000000000006</v>
      </c>
      <c r="Q117">
        <v>48.94</v>
      </c>
      <c r="R117">
        <v>6.76</v>
      </c>
      <c r="S117">
        <v>10.95</v>
      </c>
      <c r="T117">
        <v>28.41</v>
      </c>
      <c r="U117">
        <v>0.56000000000000005</v>
      </c>
      <c r="V117">
        <v>1.6575398447078056</v>
      </c>
      <c r="W117">
        <v>0.43538005721291378</v>
      </c>
      <c r="X117">
        <v>4.38</v>
      </c>
      <c r="Y117">
        <v>21.123815</v>
      </c>
      <c r="Z117">
        <v>61.62</v>
      </c>
      <c r="AA117">
        <v>7.67</v>
      </c>
      <c r="AB117">
        <v>7.58</v>
      </c>
      <c r="AC117">
        <v>14.59</v>
      </c>
      <c r="AD117">
        <v>0.43</v>
      </c>
      <c r="AE117">
        <v>1.4936708860759493</v>
      </c>
      <c r="AF117">
        <v>0.17758033106134372</v>
      </c>
      <c r="AG117">
        <v>8.11</v>
      </c>
      <c r="AH117">
        <v>29.176005</v>
      </c>
      <c r="AI117">
        <v>23.8</v>
      </c>
    </row>
    <row r="118" spans="1:36" x14ac:dyDescent="0.5">
      <c r="A118">
        <v>60</v>
      </c>
      <c r="B118">
        <v>220</v>
      </c>
      <c r="C118">
        <v>0.1</v>
      </c>
      <c r="D118">
        <v>1</v>
      </c>
      <c r="E118">
        <v>100</v>
      </c>
      <c r="F118">
        <v>50</v>
      </c>
      <c r="G118">
        <v>50</v>
      </c>
      <c r="H118">
        <v>69.650000000000006</v>
      </c>
      <c r="Q118">
        <v>48.94</v>
      </c>
      <c r="R118">
        <v>6.76</v>
      </c>
      <c r="S118">
        <v>10.95</v>
      </c>
      <c r="T118">
        <v>28.41</v>
      </c>
      <c r="U118">
        <v>0.56000000000000005</v>
      </c>
      <c r="V118">
        <v>1.6575398447078056</v>
      </c>
      <c r="W118">
        <v>0.43538005721291378</v>
      </c>
      <c r="X118">
        <v>4.38</v>
      </c>
      <c r="Y118">
        <v>21.123815</v>
      </c>
      <c r="Z118">
        <v>64.150000000000006</v>
      </c>
      <c r="AA118">
        <v>8.06</v>
      </c>
      <c r="AB118">
        <v>6.53</v>
      </c>
      <c r="AC118">
        <v>12.45</v>
      </c>
      <c r="AD118">
        <v>0.38</v>
      </c>
      <c r="AE118">
        <v>1.5077162899454402</v>
      </c>
      <c r="AF118">
        <v>0.14555728760717065</v>
      </c>
      <c r="AG118">
        <v>8.43</v>
      </c>
      <c r="AH118">
        <v>30.970055000000002</v>
      </c>
      <c r="AI118">
        <v>15.3</v>
      </c>
    </row>
    <row r="119" spans="1:36" x14ac:dyDescent="0.5">
      <c r="A119">
        <v>120</v>
      </c>
      <c r="B119">
        <v>180</v>
      </c>
      <c r="C119">
        <v>0.1</v>
      </c>
      <c r="D119">
        <v>1</v>
      </c>
      <c r="E119">
        <v>100</v>
      </c>
      <c r="F119">
        <v>50</v>
      </c>
      <c r="G119">
        <v>50</v>
      </c>
      <c r="H119">
        <v>69.650000000000006</v>
      </c>
      <c r="Q119">
        <v>48.94</v>
      </c>
      <c r="R119">
        <v>6.76</v>
      </c>
      <c r="S119">
        <v>10.95</v>
      </c>
      <c r="T119">
        <v>28.41</v>
      </c>
      <c r="U119">
        <v>0.56000000000000005</v>
      </c>
      <c r="V119">
        <v>1.6575398447078056</v>
      </c>
      <c r="W119">
        <v>0.43538005721291378</v>
      </c>
      <c r="X119">
        <v>4.38</v>
      </c>
      <c r="Y119">
        <v>21.123815</v>
      </c>
      <c r="Z119">
        <v>55.81</v>
      </c>
      <c r="AA119">
        <v>7.35</v>
      </c>
      <c r="AB119">
        <v>8.14</v>
      </c>
      <c r="AC119">
        <v>20.350000000000001</v>
      </c>
      <c r="AD119">
        <v>0.47</v>
      </c>
      <c r="AE119">
        <v>1.5803619423042463</v>
      </c>
      <c r="AF119">
        <v>0.2734724959684644</v>
      </c>
      <c r="AG119">
        <v>7.88</v>
      </c>
      <c r="AH119">
        <v>25.727105000000002</v>
      </c>
      <c r="AI119">
        <v>29.3</v>
      </c>
    </row>
    <row r="120" spans="1:36" x14ac:dyDescent="0.5">
      <c r="A120">
        <v>180</v>
      </c>
      <c r="B120">
        <v>180</v>
      </c>
      <c r="C120">
        <v>0.1</v>
      </c>
      <c r="D120">
        <v>1</v>
      </c>
      <c r="E120">
        <v>100</v>
      </c>
      <c r="F120">
        <v>50</v>
      </c>
      <c r="G120">
        <v>50</v>
      </c>
      <c r="H120">
        <v>69.650000000000006</v>
      </c>
      <c r="Q120">
        <v>48.94</v>
      </c>
      <c r="R120">
        <v>6.76</v>
      </c>
      <c r="S120">
        <v>10.95</v>
      </c>
      <c r="T120">
        <v>28.41</v>
      </c>
      <c r="U120">
        <v>0.56000000000000005</v>
      </c>
      <c r="V120">
        <v>1.6575398447078056</v>
      </c>
      <c r="W120">
        <v>0.43538005721291378</v>
      </c>
      <c r="X120">
        <v>4.38</v>
      </c>
      <c r="Y120">
        <v>21.123815</v>
      </c>
      <c r="Z120">
        <v>58.31</v>
      </c>
      <c r="AA120">
        <v>7.32</v>
      </c>
      <c r="AB120">
        <v>8.1199999999999992</v>
      </c>
      <c r="AC120">
        <v>17.850000000000001</v>
      </c>
      <c r="AD120">
        <v>0.45</v>
      </c>
      <c r="AE120">
        <v>1.506431143886126</v>
      </c>
      <c r="AF120">
        <v>0.22959183673469388</v>
      </c>
      <c r="AG120">
        <v>7.95</v>
      </c>
      <c r="AH120">
        <v>26.975515000000001</v>
      </c>
      <c r="AI120">
        <v>22.3</v>
      </c>
    </row>
    <row r="121" spans="1:36" x14ac:dyDescent="0.5">
      <c r="A121">
        <v>240</v>
      </c>
      <c r="B121">
        <v>180</v>
      </c>
      <c r="C121">
        <v>0.1</v>
      </c>
      <c r="D121">
        <v>1</v>
      </c>
      <c r="E121">
        <v>100</v>
      </c>
      <c r="F121">
        <v>50</v>
      </c>
      <c r="G121">
        <v>50</v>
      </c>
      <c r="H121">
        <v>69.650000000000006</v>
      </c>
      <c r="Q121">
        <v>48.94</v>
      </c>
      <c r="R121">
        <v>6.76</v>
      </c>
      <c r="S121">
        <v>10.95</v>
      </c>
      <c r="T121">
        <v>28.41</v>
      </c>
      <c r="U121">
        <v>0.56000000000000005</v>
      </c>
      <c r="V121">
        <v>1.6575398447078056</v>
      </c>
      <c r="W121">
        <v>0.43538005721291378</v>
      </c>
      <c r="X121">
        <v>4.38</v>
      </c>
      <c r="Y121">
        <v>21.123815</v>
      </c>
      <c r="Z121">
        <v>59.73</v>
      </c>
      <c r="AA121">
        <v>7.3</v>
      </c>
      <c r="AB121">
        <v>8.0299999999999994</v>
      </c>
      <c r="AC121">
        <v>16.37</v>
      </c>
      <c r="AD121">
        <v>0.44</v>
      </c>
      <c r="AE121">
        <v>1.4665996986438974</v>
      </c>
      <c r="AF121">
        <v>0.20554997488699148</v>
      </c>
      <c r="AG121">
        <v>8.1300000000000008</v>
      </c>
      <c r="AH121">
        <v>27.691094999999997</v>
      </c>
      <c r="AI121">
        <v>20.8</v>
      </c>
    </row>
    <row r="122" spans="1:36" x14ac:dyDescent="0.5">
      <c r="A122">
        <v>60</v>
      </c>
      <c r="B122">
        <v>160</v>
      </c>
      <c r="C122">
        <v>0.1</v>
      </c>
      <c r="D122">
        <v>20</v>
      </c>
      <c r="E122">
        <v>500</v>
      </c>
      <c r="F122">
        <v>60</v>
      </c>
      <c r="G122">
        <v>3</v>
      </c>
      <c r="O122">
        <v>48.37</v>
      </c>
      <c r="P122">
        <v>9</v>
      </c>
      <c r="Q122">
        <v>27.89</v>
      </c>
      <c r="R122">
        <v>4.76</v>
      </c>
      <c r="S122">
        <v>0.82</v>
      </c>
      <c r="T122">
        <v>23.9</v>
      </c>
      <c r="U122">
        <v>0</v>
      </c>
      <c r="V122">
        <v>2.0480458945858731</v>
      </c>
      <c r="W122">
        <v>0.64270347794908567</v>
      </c>
      <c r="X122">
        <v>42.63</v>
      </c>
      <c r="Y122">
        <v>11.95795</v>
      </c>
      <c r="Z122">
        <v>26.98</v>
      </c>
      <c r="AA122">
        <v>4.45</v>
      </c>
      <c r="AB122">
        <v>1.46</v>
      </c>
      <c r="AC122">
        <v>22.49</v>
      </c>
      <c r="AD122">
        <v>0</v>
      </c>
      <c r="AE122">
        <v>1.9792438843587843</v>
      </c>
      <c r="AF122">
        <v>0.62518532246108216</v>
      </c>
      <c r="AG122">
        <v>44.63</v>
      </c>
      <c r="AH122">
        <v>11.459375000000001</v>
      </c>
      <c r="AI122">
        <v>38</v>
      </c>
      <c r="AJ122" s="2" t="s">
        <v>63</v>
      </c>
    </row>
    <row r="123" spans="1:36" x14ac:dyDescent="0.5">
      <c r="A123">
        <v>60</v>
      </c>
      <c r="B123">
        <v>180</v>
      </c>
      <c r="C123">
        <v>0.1</v>
      </c>
      <c r="D123">
        <v>20</v>
      </c>
      <c r="E123">
        <v>500</v>
      </c>
      <c r="F123">
        <v>60</v>
      </c>
      <c r="G123">
        <v>3</v>
      </c>
      <c r="O123">
        <v>48.37</v>
      </c>
      <c r="P123">
        <v>9</v>
      </c>
      <c r="Q123">
        <v>27.89</v>
      </c>
      <c r="R123">
        <v>4.76</v>
      </c>
      <c r="S123">
        <v>0.82</v>
      </c>
      <c r="T123">
        <v>23.9</v>
      </c>
      <c r="U123">
        <v>0</v>
      </c>
      <c r="V123">
        <v>2.0480458945858731</v>
      </c>
      <c r="W123">
        <v>0.64270347794908567</v>
      </c>
      <c r="X123">
        <v>42.63</v>
      </c>
      <c r="Y123">
        <v>11.95795</v>
      </c>
      <c r="Z123">
        <v>27.06</v>
      </c>
      <c r="AA123">
        <v>4.4800000000000004</v>
      </c>
      <c r="AB123">
        <v>1.27</v>
      </c>
      <c r="AC123">
        <v>19.71</v>
      </c>
      <c r="AD123">
        <v>0</v>
      </c>
      <c r="AE123">
        <v>1.98669623059867</v>
      </c>
      <c r="AF123">
        <v>0.54628603104212869</v>
      </c>
      <c r="AG123">
        <v>47.48</v>
      </c>
      <c r="AH123">
        <v>12.025485000000002</v>
      </c>
      <c r="AI123">
        <v>38</v>
      </c>
    </row>
    <row r="124" spans="1:36" x14ac:dyDescent="0.5">
      <c r="A124">
        <v>60</v>
      </c>
      <c r="B124">
        <v>200</v>
      </c>
      <c r="C124">
        <v>0.1</v>
      </c>
      <c r="D124">
        <v>20</v>
      </c>
      <c r="E124">
        <v>500</v>
      </c>
      <c r="F124">
        <v>60</v>
      </c>
      <c r="G124">
        <v>3</v>
      </c>
      <c r="O124">
        <v>48.37</v>
      </c>
      <c r="P124">
        <v>9</v>
      </c>
      <c r="Q124">
        <v>27.89</v>
      </c>
      <c r="R124">
        <v>4.76</v>
      </c>
      <c r="S124">
        <v>0.82</v>
      </c>
      <c r="T124">
        <v>23.9</v>
      </c>
      <c r="U124">
        <v>0</v>
      </c>
      <c r="V124">
        <v>2.0480458945858731</v>
      </c>
      <c r="W124">
        <v>0.64270347794908567</v>
      </c>
      <c r="X124">
        <v>42.63</v>
      </c>
      <c r="Y124">
        <v>11.95795</v>
      </c>
      <c r="Z124">
        <v>26.92</v>
      </c>
      <c r="AA124">
        <v>4.46</v>
      </c>
      <c r="AB124">
        <v>1.1200000000000001</v>
      </c>
      <c r="AC124">
        <v>18.14</v>
      </c>
      <c r="AD124">
        <v>0</v>
      </c>
      <c r="AE124">
        <v>1.9881129271916789</v>
      </c>
      <c r="AF124">
        <v>0.50538632986627041</v>
      </c>
      <c r="AG124">
        <v>49.36</v>
      </c>
      <c r="AH124">
        <v>12.229850000000001</v>
      </c>
      <c r="AI124">
        <v>36</v>
      </c>
    </row>
    <row r="125" spans="1:36" x14ac:dyDescent="0.5">
      <c r="A125">
        <v>60</v>
      </c>
      <c r="B125">
        <v>220</v>
      </c>
      <c r="C125">
        <v>0.1</v>
      </c>
      <c r="D125">
        <v>20</v>
      </c>
      <c r="E125">
        <v>500</v>
      </c>
      <c r="F125">
        <v>60</v>
      </c>
      <c r="G125">
        <v>3</v>
      </c>
      <c r="O125">
        <v>48.37</v>
      </c>
      <c r="P125">
        <v>9</v>
      </c>
      <c r="Q125">
        <v>27.89</v>
      </c>
      <c r="R125">
        <v>4.76</v>
      </c>
      <c r="S125">
        <v>0.82</v>
      </c>
      <c r="T125">
        <v>23.9</v>
      </c>
      <c r="U125">
        <v>0</v>
      </c>
      <c r="V125">
        <v>2.0480458945858731</v>
      </c>
      <c r="W125">
        <v>0.64270347794908567</v>
      </c>
      <c r="X125">
        <v>42.63</v>
      </c>
      <c r="Y125">
        <v>11.95795</v>
      </c>
      <c r="Z125">
        <v>26.24</v>
      </c>
      <c r="AA125">
        <v>4.24</v>
      </c>
      <c r="AB125">
        <v>1.1399999999999999</v>
      </c>
      <c r="AC125">
        <v>17.02</v>
      </c>
      <c r="AD125">
        <v>0</v>
      </c>
      <c r="AE125">
        <v>1.8900445765230312</v>
      </c>
      <c r="AF125">
        <v>0.47418276374442786</v>
      </c>
      <c r="AG125">
        <v>51.37</v>
      </c>
      <c r="AH125">
        <v>12.115610000000002</v>
      </c>
      <c r="AI125">
        <v>35</v>
      </c>
    </row>
    <row r="126" spans="1:36" x14ac:dyDescent="0.5">
      <c r="A126">
        <v>60</v>
      </c>
      <c r="B126">
        <v>160</v>
      </c>
      <c r="C126">
        <v>0.1</v>
      </c>
      <c r="D126">
        <v>20</v>
      </c>
      <c r="E126">
        <v>500</v>
      </c>
      <c r="F126">
        <v>60</v>
      </c>
      <c r="G126">
        <v>3</v>
      </c>
      <c r="O126">
        <v>48.37</v>
      </c>
      <c r="P126">
        <v>9</v>
      </c>
      <c r="Q126">
        <v>27.89</v>
      </c>
      <c r="R126">
        <v>4.76</v>
      </c>
      <c r="S126">
        <v>0.82</v>
      </c>
      <c r="T126">
        <v>23.9</v>
      </c>
      <c r="U126">
        <v>0</v>
      </c>
      <c r="V126">
        <v>2.0480458945858731</v>
      </c>
      <c r="W126">
        <v>0.64270347794908567</v>
      </c>
      <c r="X126">
        <v>42.63</v>
      </c>
      <c r="Y126">
        <v>11.95795</v>
      </c>
      <c r="Z126">
        <v>23.51</v>
      </c>
      <c r="AA126">
        <v>4.1100000000000003</v>
      </c>
      <c r="AB126">
        <v>1.59</v>
      </c>
      <c r="AC126">
        <v>24.7</v>
      </c>
      <c r="AD126">
        <v>0</v>
      </c>
      <c r="AE126">
        <v>2.0978307103360274</v>
      </c>
      <c r="AF126">
        <v>0.78796256911952356</v>
      </c>
      <c r="AG126">
        <v>46.09</v>
      </c>
      <c r="AH126">
        <v>9.4065100000000026</v>
      </c>
      <c r="AI126">
        <v>34</v>
      </c>
    </row>
    <row r="127" spans="1:36" x14ac:dyDescent="0.5">
      <c r="A127">
        <v>60</v>
      </c>
      <c r="B127">
        <v>180</v>
      </c>
      <c r="C127">
        <v>0.1</v>
      </c>
      <c r="D127">
        <v>20</v>
      </c>
      <c r="E127">
        <v>500</v>
      </c>
      <c r="F127">
        <v>60</v>
      </c>
      <c r="G127">
        <v>3</v>
      </c>
      <c r="O127">
        <v>48.37</v>
      </c>
      <c r="P127">
        <v>9</v>
      </c>
      <c r="Q127">
        <v>27.89</v>
      </c>
      <c r="R127">
        <v>4.76</v>
      </c>
      <c r="S127">
        <v>0.82</v>
      </c>
      <c r="T127">
        <v>23.9</v>
      </c>
      <c r="U127">
        <v>0</v>
      </c>
      <c r="V127">
        <v>2.0480458945858731</v>
      </c>
      <c r="W127">
        <v>0.64270347794908567</v>
      </c>
      <c r="X127">
        <v>42.63</v>
      </c>
      <c r="Y127">
        <v>11.95795</v>
      </c>
      <c r="Z127">
        <v>21.48</v>
      </c>
      <c r="AA127">
        <v>3.93</v>
      </c>
      <c r="AB127">
        <v>0.8</v>
      </c>
      <c r="AC127">
        <v>20.8</v>
      </c>
      <c r="AD127">
        <v>0</v>
      </c>
      <c r="AE127">
        <v>2.1955307262569832</v>
      </c>
      <c r="AF127">
        <v>0.72625698324022347</v>
      </c>
      <c r="AG127">
        <v>52.99</v>
      </c>
      <c r="AH127">
        <v>9.1594800000000003</v>
      </c>
      <c r="AI127">
        <v>34</v>
      </c>
    </row>
    <row r="128" spans="1:36" x14ac:dyDescent="0.5">
      <c r="A128">
        <v>60</v>
      </c>
      <c r="B128">
        <v>200</v>
      </c>
      <c r="C128">
        <v>0.1</v>
      </c>
      <c r="D128">
        <v>20</v>
      </c>
      <c r="E128">
        <v>500</v>
      </c>
      <c r="F128">
        <v>60</v>
      </c>
      <c r="G128">
        <v>3</v>
      </c>
      <c r="O128">
        <v>48.37</v>
      </c>
      <c r="P128">
        <v>9</v>
      </c>
      <c r="Q128">
        <v>27.89</v>
      </c>
      <c r="R128">
        <v>4.76</v>
      </c>
      <c r="S128">
        <v>0.82</v>
      </c>
      <c r="T128">
        <v>23.9</v>
      </c>
      <c r="U128">
        <v>0</v>
      </c>
      <c r="V128">
        <v>2.0480458945858731</v>
      </c>
      <c r="W128">
        <v>0.64270347794908567</v>
      </c>
      <c r="X128">
        <v>42.63</v>
      </c>
      <c r="Y128">
        <v>11.95795</v>
      </c>
      <c r="Z128">
        <v>20.75</v>
      </c>
      <c r="AA128">
        <v>3.67</v>
      </c>
      <c r="AB128">
        <v>0.84</v>
      </c>
      <c r="AC128">
        <v>20.38</v>
      </c>
      <c r="AD128">
        <v>0</v>
      </c>
      <c r="AE128">
        <v>2.1275362318840583</v>
      </c>
      <c r="AF128">
        <v>0.73840579710144927</v>
      </c>
      <c r="AG128">
        <v>54.36</v>
      </c>
      <c r="AH128">
        <v>8.5995299999999997</v>
      </c>
      <c r="AI128">
        <v>34</v>
      </c>
    </row>
    <row r="129" spans="1:41" x14ac:dyDescent="0.5">
      <c r="A129">
        <v>60</v>
      </c>
      <c r="B129">
        <v>220</v>
      </c>
      <c r="C129">
        <v>0.1</v>
      </c>
      <c r="D129">
        <v>20</v>
      </c>
      <c r="E129">
        <v>500</v>
      </c>
      <c r="F129">
        <v>60</v>
      </c>
      <c r="G129">
        <v>3</v>
      </c>
      <c r="O129">
        <v>48.37</v>
      </c>
      <c r="P129">
        <v>9</v>
      </c>
      <c r="Q129">
        <v>27.89</v>
      </c>
      <c r="R129">
        <v>4.76</v>
      </c>
      <c r="S129">
        <v>0.82</v>
      </c>
      <c r="T129">
        <v>23.9</v>
      </c>
      <c r="U129">
        <v>0</v>
      </c>
      <c r="V129">
        <v>2.0480458945858731</v>
      </c>
      <c r="W129">
        <v>0.64270347794908567</v>
      </c>
      <c r="X129">
        <v>42.63</v>
      </c>
      <c r="Y129">
        <v>11.95795</v>
      </c>
      <c r="Z129">
        <v>21.01</v>
      </c>
      <c r="AA129">
        <v>3.55</v>
      </c>
      <c r="AB129">
        <v>0.76</v>
      </c>
      <c r="AC129">
        <v>16.22</v>
      </c>
      <c r="AD129">
        <v>0</v>
      </c>
      <c r="AE129">
        <v>2.0276059019514516</v>
      </c>
      <c r="AF129">
        <v>0.57900999524036167</v>
      </c>
      <c r="AG129">
        <v>58.46</v>
      </c>
      <c r="AH129">
        <v>9.2755100000000006</v>
      </c>
      <c r="AI129">
        <v>33</v>
      </c>
    </row>
    <row r="130" spans="1:41" x14ac:dyDescent="0.5">
      <c r="A130">
        <v>60</v>
      </c>
      <c r="B130">
        <v>170</v>
      </c>
      <c r="C130">
        <v>0.1</v>
      </c>
      <c r="D130">
        <v>500</v>
      </c>
      <c r="E130">
        <v>4000</v>
      </c>
      <c r="F130">
        <v>1000</v>
      </c>
      <c r="G130">
        <v>2</v>
      </c>
      <c r="N130">
        <v>92.7</v>
      </c>
      <c r="O130">
        <v>67.599999999999994</v>
      </c>
      <c r="P130">
        <v>20.6</v>
      </c>
      <c r="Q130">
        <v>44.5</v>
      </c>
      <c r="R130">
        <v>6.1</v>
      </c>
      <c r="S130">
        <v>3.1</v>
      </c>
      <c r="T130">
        <v>34.299999999999997</v>
      </c>
      <c r="U130">
        <v>0.2</v>
      </c>
      <c r="V130">
        <v>1.6449438202247189</v>
      </c>
      <c r="W130">
        <v>0.57808988764044933</v>
      </c>
      <c r="X130">
        <v>11.8</v>
      </c>
      <c r="Y130">
        <v>18.899999999999999</v>
      </c>
      <c r="Z130">
        <v>56.1</v>
      </c>
      <c r="AA130">
        <v>6</v>
      </c>
      <c r="AB130">
        <v>0.3</v>
      </c>
      <c r="AC130">
        <v>30.9</v>
      </c>
      <c r="AD130">
        <v>0.3</v>
      </c>
      <c r="AE130">
        <v>1.2834224598930482</v>
      </c>
      <c r="AF130">
        <v>0.41310160427807485</v>
      </c>
      <c r="AG130">
        <v>6.4</v>
      </c>
      <c r="AH130">
        <v>23.6</v>
      </c>
      <c r="AI130">
        <v>49.5</v>
      </c>
      <c r="AJ130" s="2" t="s">
        <v>65</v>
      </c>
    </row>
    <row r="131" spans="1:41" x14ac:dyDescent="0.5">
      <c r="A131">
        <v>30</v>
      </c>
      <c r="B131">
        <v>220</v>
      </c>
      <c r="C131">
        <v>0.1</v>
      </c>
      <c r="D131">
        <v>30</v>
      </c>
      <c r="E131">
        <v>500</v>
      </c>
      <c r="F131">
        <v>270</v>
      </c>
      <c r="G131">
        <v>9</v>
      </c>
      <c r="N131">
        <v>86.4</v>
      </c>
      <c r="O131">
        <v>36.06</v>
      </c>
      <c r="P131">
        <v>5.89</v>
      </c>
      <c r="Q131">
        <v>19.010000000000002</v>
      </c>
      <c r="R131">
        <v>3.06</v>
      </c>
      <c r="S131">
        <v>3.13</v>
      </c>
      <c r="T131">
        <v>15.7</v>
      </c>
      <c r="U131">
        <v>1.02</v>
      </c>
      <c r="V131">
        <v>1.9316149395055233</v>
      </c>
      <c r="W131">
        <v>0.61941083640189365</v>
      </c>
      <c r="X131">
        <v>58.05</v>
      </c>
      <c r="Y131">
        <v>7.45</v>
      </c>
      <c r="Z131">
        <v>18.28</v>
      </c>
      <c r="AA131">
        <v>1.76</v>
      </c>
      <c r="AB131">
        <v>1.64</v>
      </c>
      <c r="AC131">
        <v>6.41</v>
      </c>
      <c r="AD131">
        <v>0.41</v>
      </c>
      <c r="AE131">
        <v>1.1553610503282274</v>
      </c>
      <c r="AF131">
        <v>0.26299234135667393</v>
      </c>
      <c r="AG131">
        <v>71.5</v>
      </c>
      <c r="AH131">
        <v>6.3</v>
      </c>
      <c r="AI131">
        <v>59.41</v>
      </c>
      <c r="AJ131" s="2" t="s">
        <v>66</v>
      </c>
    </row>
    <row r="132" spans="1:41" x14ac:dyDescent="0.5">
      <c r="A132">
        <v>30</v>
      </c>
      <c r="B132">
        <v>220</v>
      </c>
      <c r="C132">
        <v>0.1</v>
      </c>
      <c r="D132">
        <v>30</v>
      </c>
      <c r="E132">
        <v>500</v>
      </c>
      <c r="F132">
        <v>270</v>
      </c>
      <c r="G132">
        <v>9</v>
      </c>
      <c r="N132">
        <v>61.05</v>
      </c>
      <c r="O132">
        <v>41.06</v>
      </c>
      <c r="P132">
        <v>13.46</v>
      </c>
      <c r="Q132">
        <v>30.47</v>
      </c>
      <c r="R132">
        <v>7.9</v>
      </c>
      <c r="S132">
        <v>2.5</v>
      </c>
      <c r="T132">
        <v>26.3</v>
      </c>
      <c r="U132">
        <v>0.91</v>
      </c>
      <c r="V132">
        <v>3.1112569740728588</v>
      </c>
      <c r="W132">
        <v>0.64735805710534955</v>
      </c>
      <c r="X132">
        <v>35.86</v>
      </c>
      <c r="Y132">
        <v>11.87</v>
      </c>
      <c r="Z132">
        <v>31.12</v>
      </c>
      <c r="AA132">
        <v>3.23</v>
      </c>
      <c r="AB132">
        <v>1.34</v>
      </c>
      <c r="AC132">
        <v>18.27</v>
      </c>
      <c r="AD132">
        <v>0.51</v>
      </c>
      <c r="AE132">
        <v>1.2455012853470437</v>
      </c>
      <c r="AF132">
        <v>0.44031169665809766</v>
      </c>
      <c r="AG132">
        <v>45.48</v>
      </c>
      <c r="AH132">
        <v>11.84</v>
      </c>
      <c r="AI132">
        <v>67.98</v>
      </c>
    </row>
    <row r="133" spans="1:41" x14ac:dyDescent="0.5">
      <c r="A133">
        <v>60</v>
      </c>
      <c r="B133">
        <v>180</v>
      </c>
      <c r="C133">
        <v>0.1</v>
      </c>
      <c r="D133">
        <v>20</v>
      </c>
      <c r="E133">
        <v>1000</v>
      </c>
      <c r="F133">
        <v>320</v>
      </c>
      <c r="G133">
        <v>16</v>
      </c>
      <c r="N133">
        <v>97.86</v>
      </c>
      <c r="O133">
        <v>81.239999999999995</v>
      </c>
      <c r="P133">
        <v>15.65</v>
      </c>
      <c r="Q133">
        <v>43.4</v>
      </c>
      <c r="R133">
        <v>5.91</v>
      </c>
      <c r="S133">
        <v>1.5</v>
      </c>
      <c r="T133">
        <v>45.97</v>
      </c>
      <c r="U133">
        <v>0.11</v>
      </c>
      <c r="V133">
        <v>1.6341013824884794</v>
      </c>
      <c r="W133">
        <v>0.79441244239631337</v>
      </c>
      <c r="X133">
        <v>0.97</v>
      </c>
      <c r="Y133">
        <v>14.903035000000001</v>
      </c>
      <c r="Z133">
        <v>48</v>
      </c>
      <c r="AA133">
        <v>6.15</v>
      </c>
      <c r="AB133">
        <v>2.0299999999999998</v>
      </c>
      <c r="AC133">
        <v>38.619999999999997</v>
      </c>
      <c r="AD133">
        <v>0</v>
      </c>
      <c r="AE133">
        <v>1.5375000000000001</v>
      </c>
      <c r="AF133">
        <v>0.60343749999999996</v>
      </c>
      <c r="AG133">
        <v>0.92</v>
      </c>
      <c r="AH133">
        <v>19.61</v>
      </c>
      <c r="AI133">
        <v>48</v>
      </c>
      <c r="AJ133" t="s">
        <v>68</v>
      </c>
      <c r="AL133" s="6"/>
      <c r="AM133" s="6"/>
      <c r="AN133" s="6"/>
      <c r="AO133" s="6"/>
    </row>
    <row r="134" spans="1:41" x14ac:dyDescent="0.5">
      <c r="A134">
        <v>120</v>
      </c>
      <c r="B134">
        <v>180</v>
      </c>
      <c r="C134">
        <v>0.1</v>
      </c>
      <c r="D134">
        <v>20</v>
      </c>
      <c r="E134">
        <v>1000</v>
      </c>
      <c r="F134">
        <v>320</v>
      </c>
      <c r="G134">
        <v>16</v>
      </c>
      <c r="N134">
        <v>97.86</v>
      </c>
      <c r="O134">
        <v>81.239999999999995</v>
      </c>
      <c r="P134">
        <v>15.65</v>
      </c>
      <c r="Q134">
        <v>43.4</v>
      </c>
      <c r="R134">
        <v>5.91</v>
      </c>
      <c r="S134">
        <v>1.5</v>
      </c>
      <c r="T134">
        <v>45.97</v>
      </c>
      <c r="U134">
        <v>0.11</v>
      </c>
      <c r="V134">
        <v>1.6341013824884794</v>
      </c>
      <c r="W134">
        <v>0.79441244239631337</v>
      </c>
      <c r="X134">
        <v>0.97</v>
      </c>
      <c r="Y134">
        <v>14.903035000000001</v>
      </c>
      <c r="Z134">
        <v>50.7</v>
      </c>
      <c r="AA134">
        <v>5.98</v>
      </c>
      <c r="AB134">
        <v>1.76</v>
      </c>
      <c r="AC134">
        <v>40.33</v>
      </c>
      <c r="AD134">
        <v>0</v>
      </c>
      <c r="AE134">
        <v>1.4153846153846152</v>
      </c>
      <c r="AF134">
        <v>0.5965976331360946</v>
      </c>
      <c r="AG134">
        <v>0.94</v>
      </c>
      <c r="AH134">
        <v>20.53</v>
      </c>
      <c r="AI134">
        <v>43</v>
      </c>
      <c r="AL134" s="7"/>
      <c r="AM134" s="7"/>
      <c r="AN134" s="7"/>
      <c r="AO134" s="7"/>
    </row>
    <row r="135" spans="1:41" x14ac:dyDescent="0.5">
      <c r="A135">
        <v>180</v>
      </c>
      <c r="B135">
        <v>180</v>
      </c>
      <c r="C135">
        <v>0.1</v>
      </c>
      <c r="D135">
        <v>20</v>
      </c>
      <c r="E135">
        <v>1000</v>
      </c>
      <c r="F135">
        <v>320</v>
      </c>
      <c r="G135">
        <v>16</v>
      </c>
      <c r="N135">
        <v>97.86</v>
      </c>
      <c r="O135">
        <v>81.239999999999995</v>
      </c>
      <c r="P135">
        <v>15.65</v>
      </c>
      <c r="Q135">
        <v>43.4</v>
      </c>
      <c r="R135">
        <v>5.91</v>
      </c>
      <c r="S135">
        <v>1.5</v>
      </c>
      <c r="T135">
        <v>45.97</v>
      </c>
      <c r="U135">
        <v>0.11</v>
      </c>
      <c r="V135">
        <v>1.6341013824884794</v>
      </c>
      <c r="W135">
        <v>0.79441244239631337</v>
      </c>
      <c r="X135">
        <v>0.97</v>
      </c>
      <c r="Y135">
        <v>14.903035000000001</v>
      </c>
      <c r="Z135">
        <v>51.7</v>
      </c>
      <c r="AA135">
        <v>6.07</v>
      </c>
      <c r="AB135">
        <v>1.69</v>
      </c>
      <c r="AC135">
        <v>38.380000000000003</v>
      </c>
      <c r="AD135">
        <v>0</v>
      </c>
      <c r="AE135">
        <v>1.4088974854932301</v>
      </c>
      <c r="AF135">
        <v>0.55676982591876212</v>
      </c>
      <c r="AG135">
        <v>0.93</v>
      </c>
      <c r="AH135">
        <v>21.19</v>
      </c>
      <c r="AI135">
        <v>41</v>
      </c>
      <c r="AL135" s="7"/>
      <c r="AM135" s="7"/>
      <c r="AN135" s="7"/>
      <c r="AO135" s="7"/>
    </row>
    <row r="136" spans="1:41" x14ac:dyDescent="0.5">
      <c r="A136">
        <v>240</v>
      </c>
      <c r="B136">
        <v>180</v>
      </c>
      <c r="C136">
        <v>0.1</v>
      </c>
      <c r="D136">
        <v>20</v>
      </c>
      <c r="E136">
        <v>1000</v>
      </c>
      <c r="F136">
        <v>320</v>
      </c>
      <c r="G136">
        <v>16</v>
      </c>
      <c r="N136">
        <v>97.86</v>
      </c>
      <c r="O136">
        <v>81.239999999999995</v>
      </c>
      <c r="P136">
        <v>15.65</v>
      </c>
      <c r="Q136">
        <v>43.4</v>
      </c>
      <c r="R136">
        <v>5.91</v>
      </c>
      <c r="S136">
        <v>1.5</v>
      </c>
      <c r="T136">
        <v>45.97</v>
      </c>
      <c r="U136">
        <v>0.11</v>
      </c>
      <c r="V136">
        <v>1.6341013824884794</v>
      </c>
      <c r="W136">
        <v>0.79441244239631337</v>
      </c>
      <c r="X136">
        <v>0.97</v>
      </c>
      <c r="Y136">
        <v>14.903035000000001</v>
      </c>
      <c r="Z136">
        <v>53.7</v>
      </c>
      <c r="AA136">
        <v>5.95</v>
      </c>
      <c r="AB136">
        <v>1.59</v>
      </c>
      <c r="AC136">
        <v>33.44</v>
      </c>
      <c r="AD136">
        <v>0</v>
      </c>
      <c r="AE136">
        <v>1.3296089385474859</v>
      </c>
      <c r="AF136">
        <v>0.46703910614525129</v>
      </c>
      <c r="AG136">
        <v>1</v>
      </c>
      <c r="AH136">
        <v>22.25</v>
      </c>
      <c r="AI136">
        <v>47</v>
      </c>
      <c r="AL136" s="7"/>
      <c r="AM136" s="7"/>
      <c r="AN136" s="7"/>
      <c r="AO136" s="7"/>
    </row>
    <row r="137" spans="1:41" x14ac:dyDescent="0.5">
      <c r="A137">
        <v>60</v>
      </c>
      <c r="B137">
        <v>200</v>
      </c>
      <c r="C137">
        <v>0.1</v>
      </c>
      <c r="D137">
        <v>20</v>
      </c>
      <c r="E137">
        <v>1000</v>
      </c>
      <c r="F137">
        <v>320</v>
      </c>
      <c r="G137">
        <v>16</v>
      </c>
      <c r="N137">
        <v>97.86</v>
      </c>
      <c r="O137">
        <v>81.239999999999995</v>
      </c>
      <c r="P137">
        <v>15.65</v>
      </c>
      <c r="Q137">
        <v>43.4</v>
      </c>
      <c r="R137">
        <v>5.91</v>
      </c>
      <c r="S137">
        <v>1.5</v>
      </c>
      <c r="T137">
        <v>45.97</v>
      </c>
      <c r="U137">
        <v>0.11</v>
      </c>
      <c r="V137">
        <v>1.6341013824884794</v>
      </c>
      <c r="W137">
        <v>0.79441244239631337</v>
      </c>
      <c r="X137">
        <v>0.97</v>
      </c>
      <c r="Y137">
        <v>14.903035000000001</v>
      </c>
      <c r="Z137">
        <v>53.1</v>
      </c>
      <c r="AA137">
        <v>6.11</v>
      </c>
      <c r="AB137">
        <v>1.92</v>
      </c>
      <c r="AC137">
        <v>37.35</v>
      </c>
      <c r="AD137">
        <v>0</v>
      </c>
      <c r="AE137">
        <v>1.3807909604519775</v>
      </c>
      <c r="AF137">
        <v>0.52754237288135597</v>
      </c>
      <c r="AG137">
        <v>0.93</v>
      </c>
      <c r="AH137">
        <v>21.83</v>
      </c>
      <c r="AI137">
        <v>56</v>
      </c>
      <c r="AL137" s="7"/>
      <c r="AM137" s="7"/>
      <c r="AN137" s="7"/>
      <c r="AO137" s="7"/>
    </row>
    <row r="138" spans="1:41" x14ac:dyDescent="0.5">
      <c r="A138">
        <v>120</v>
      </c>
      <c r="B138">
        <v>200</v>
      </c>
      <c r="C138">
        <v>0.1</v>
      </c>
      <c r="D138">
        <v>20</v>
      </c>
      <c r="E138">
        <v>1000</v>
      </c>
      <c r="F138">
        <v>320</v>
      </c>
      <c r="G138">
        <v>16</v>
      </c>
      <c r="N138">
        <v>97.86</v>
      </c>
      <c r="O138">
        <v>81.239999999999995</v>
      </c>
      <c r="P138">
        <v>15.65</v>
      </c>
      <c r="Q138">
        <v>43.4</v>
      </c>
      <c r="R138">
        <v>5.91</v>
      </c>
      <c r="S138">
        <v>1.5</v>
      </c>
      <c r="T138">
        <v>45.97</v>
      </c>
      <c r="U138">
        <v>0.11</v>
      </c>
      <c r="V138">
        <v>1.6341013824884794</v>
      </c>
      <c r="W138">
        <v>0.79441244239631337</v>
      </c>
      <c r="X138">
        <v>0.97</v>
      </c>
      <c r="Y138">
        <v>14.903035000000001</v>
      </c>
      <c r="Z138">
        <v>53.7</v>
      </c>
      <c r="AA138">
        <v>6.12</v>
      </c>
      <c r="AB138">
        <v>1.76</v>
      </c>
      <c r="AC138">
        <v>37.42</v>
      </c>
      <c r="AD138">
        <v>0</v>
      </c>
      <c r="AE138">
        <v>1.3675977653631284</v>
      </c>
      <c r="AF138">
        <v>0.52262569832402228</v>
      </c>
      <c r="AG138">
        <v>0.92</v>
      </c>
      <c r="AH138">
        <v>22.04</v>
      </c>
      <c r="AI138">
        <v>42</v>
      </c>
      <c r="AL138" s="7"/>
      <c r="AM138" s="7"/>
      <c r="AN138" s="7"/>
      <c r="AO138" s="7"/>
    </row>
    <row r="139" spans="1:41" x14ac:dyDescent="0.5">
      <c r="A139">
        <v>180</v>
      </c>
      <c r="B139">
        <v>200</v>
      </c>
      <c r="C139">
        <v>0.1</v>
      </c>
      <c r="D139">
        <v>20</v>
      </c>
      <c r="E139">
        <v>1000</v>
      </c>
      <c r="F139">
        <v>320</v>
      </c>
      <c r="G139">
        <v>16</v>
      </c>
      <c r="N139">
        <v>97.86</v>
      </c>
      <c r="O139">
        <v>81.239999999999995</v>
      </c>
      <c r="P139">
        <v>15.65</v>
      </c>
      <c r="Q139">
        <v>43.4</v>
      </c>
      <c r="R139">
        <v>5.91</v>
      </c>
      <c r="S139">
        <v>1.5</v>
      </c>
      <c r="T139">
        <v>45.97</v>
      </c>
      <c r="U139">
        <v>0.11</v>
      </c>
      <c r="V139">
        <v>1.6341013824884794</v>
      </c>
      <c r="W139">
        <v>0.79441244239631337</v>
      </c>
      <c r="X139">
        <v>0.97</v>
      </c>
      <c r="Y139">
        <v>14.903035000000001</v>
      </c>
      <c r="Z139">
        <v>55.2</v>
      </c>
      <c r="AA139">
        <v>5.97</v>
      </c>
      <c r="AB139">
        <v>1.61</v>
      </c>
      <c r="AC139">
        <v>35.01</v>
      </c>
      <c r="AD139">
        <v>0</v>
      </c>
      <c r="AE139">
        <v>1.2978260869565215</v>
      </c>
      <c r="AF139">
        <v>0.4756793478260869</v>
      </c>
      <c r="AG139">
        <v>0.98</v>
      </c>
      <c r="AH139">
        <v>22.64</v>
      </c>
      <c r="AI139">
        <v>43</v>
      </c>
      <c r="AL139" s="7"/>
      <c r="AM139" s="7"/>
      <c r="AN139" s="7"/>
      <c r="AO139" s="7"/>
    </row>
    <row r="140" spans="1:41" x14ac:dyDescent="0.5">
      <c r="A140">
        <v>240</v>
      </c>
      <c r="B140">
        <v>200</v>
      </c>
      <c r="C140">
        <v>0.1</v>
      </c>
      <c r="D140">
        <v>20</v>
      </c>
      <c r="E140">
        <v>1000</v>
      </c>
      <c r="F140">
        <v>320</v>
      </c>
      <c r="G140">
        <v>16</v>
      </c>
      <c r="N140">
        <v>97.86</v>
      </c>
      <c r="O140">
        <v>81.239999999999995</v>
      </c>
      <c r="P140">
        <v>15.65</v>
      </c>
      <c r="Q140">
        <v>43.4</v>
      </c>
      <c r="R140">
        <v>5.91</v>
      </c>
      <c r="S140">
        <v>1.5</v>
      </c>
      <c r="T140">
        <v>45.97</v>
      </c>
      <c r="U140">
        <v>0.11</v>
      </c>
      <c r="V140">
        <v>1.6341013824884794</v>
      </c>
      <c r="W140">
        <v>0.79441244239631337</v>
      </c>
      <c r="X140">
        <v>0.97</v>
      </c>
      <c r="Y140">
        <v>14.903035000000001</v>
      </c>
      <c r="Z140">
        <v>56.5</v>
      </c>
      <c r="AA140">
        <v>5.85</v>
      </c>
      <c r="AB140">
        <v>1.63</v>
      </c>
      <c r="AC140">
        <v>31.38</v>
      </c>
      <c r="AD140">
        <v>0</v>
      </c>
      <c r="AE140">
        <v>1.2424778761061948</v>
      </c>
      <c r="AF140">
        <v>0.41654867256637168</v>
      </c>
      <c r="AG140">
        <v>1</v>
      </c>
      <c r="AH140">
        <v>23.33</v>
      </c>
      <c r="AI140">
        <v>44</v>
      </c>
      <c r="AL140" s="7"/>
      <c r="AM140" s="7"/>
      <c r="AN140" s="7"/>
      <c r="AO140" s="7"/>
    </row>
    <row r="141" spans="1:41" x14ac:dyDescent="0.5">
      <c r="A141">
        <v>60</v>
      </c>
      <c r="B141">
        <v>220</v>
      </c>
      <c r="C141">
        <v>0.1</v>
      </c>
      <c r="D141">
        <v>20</v>
      </c>
      <c r="E141">
        <v>1000</v>
      </c>
      <c r="F141">
        <v>320</v>
      </c>
      <c r="G141">
        <v>16</v>
      </c>
      <c r="N141">
        <v>97.86</v>
      </c>
      <c r="O141">
        <v>81.239999999999995</v>
      </c>
      <c r="P141">
        <v>15.65</v>
      </c>
      <c r="Q141">
        <v>43.4</v>
      </c>
      <c r="R141">
        <v>5.91</v>
      </c>
      <c r="S141">
        <v>1.5</v>
      </c>
      <c r="T141">
        <v>45.97</v>
      </c>
      <c r="U141">
        <v>0.11</v>
      </c>
      <c r="V141">
        <v>1.6341013824884794</v>
      </c>
      <c r="W141">
        <v>0.79441244239631337</v>
      </c>
      <c r="X141">
        <v>0.97</v>
      </c>
      <c r="Y141">
        <v>14.903035000000001</v>
      </c>
      <c r="Z141">
        <v>55.1</v>
      </c>
      <c r="AA141">
        <v>5.67</v>
      </c>
      <c r="AB141">
        <v>1.59</v>
      </c>
      <c r="AC141">
        <v>36.67</v>
      </c>
      <c r="AD141">
        <v>0</v>
      </c>
      <c r="AE141">
        <v>1.2348457350272233</v>
      </c>
      <c r="AF141">
        <v>0.49913793103448278</v>
      </c>
      <c r="AG141">
        <v>0.88</v>
      </c>
      <c r="AH141">
        <v>22.1</v>
      </c>
      <c r="AI141">
        <v>44</v>
      </c>
      <c r="AL141" s="7"/>
      <c r="AM141" s="7"/>
      <c r="AN141" s="7"/>
      <c r="AO141" s="7"/>
    </row>
    <row r="142" spans="1:41" x14ac:dyDescent="0.5">
      <c r="A142">
        <v>120</v>
      </c>
      <c r="B142">
        <v>220</v>
      </c>
      <c r="C142">
        <v>0.1</v>
      </c>
      <c r="D142">
        <v>20</v>
      </c>
      <c r="E142">
        <v>1000</v>
      </c>
      <c r="F142">
        <v>320</v>
      </c>
      <c r="G142">
        <v>16</v>
      </c>
      <c r="N142">
        <v>97.86</v>
      </c>
      <c r="O142">
        <v>81.239999999999995</v>
      </c>
      <c r="P142">
        <v>15.65</v>
      </c>
      <c r="Q142">
        <v>43.4</v>
      </c>
      <c r="R142">
        <v>5.91</v>
      </c>
      <c r="S142">
        <v>1.5</v>
      </c>
      <c r="T142">
        <v>45.97</v>
      </c>
      <c r="U142">
        <v>0.11</v>
      </c>
      <c r="V142">
        <v>1.6341013824884794</v>
      </c>
      <c r="W142">
        <v>0.79441244239631337</v>
      </c>
      <c r="X142">
        <v>0.97</v>
      </c>
      <c r="Y142">
        <v>14.903035000000001</v>
      </c>
      <c r="Z142">
        <v>56.8</v>
      </c>
      <c r="AA142">
        <v>6</v>
      </c>
      <c r="AB142">
        <v>1.67</v>
      </c>
      <c r="AC142">
        <v>33.909999999999997</v>
      </c>
      <c r="AD142">
        <v>0</v>
      </c>
      <c r="AE142">
        <v>1.267605633802817</v>
      </c>
      <c r="AF142">
        <v>0.44775528169014078</v>
      </c>
      <c r="AG142">
        <v>0.92</v>
      </c>
      <c r="AH142">
        <v>23.35</v>
      </c>
      <c r="AI142">
        <v>43</v>
      </c>
      <c r="AL142" s="7"/>
      <c r="AM142" s="7"/>
      <c r="AN142" s="7"/>
      <c r="AO142" s="7"/>
    </row>
    <row r="143" spans="1:41" x14ac:dyDescent="0.5">
      <c r="A143">
        <v>180</v>
      </c>
      <c r="B143">
        <v>220</v>
      </c>
      <c r="C143">
        <v>0.1</v>
      </c>
      <c r="D143">
        <v>20</v>
      </c>
      <c r="E143">
        <v>1000</v>
      </c>
      <c r="F143">
        <v>320</v>
      </c>
      <c r="G143">
        <v>16</v>
      </c>
      <c r="N143">
        <v>97.86</v>
      </c>
      <c r="O143">
        <v>81.239999999999995</v>
      </c>
      <c r="P143">
        <v>15.65</v>
      </c>
      <c r="Q143">
        <v>43.4</v>
      </c>
      <c r="R143">
        <v>5.91</v>
      </c>
      <c r="S143">
        <v>1.5</v>
      </c>
      <c r="T143">
        <v>45.97</v>
      </c>
      <c r="U143">
        <v>0.11</v>
      </c>
      <c r="V143">
        <v>1.6341013824884794</v>
      </c>
      <c r="W143">
        <v>0.79441244239631337</v>
      </c>
      <c r="X143">
        <v>0.97</v>
      </c>
      <c r="Y143">
        <v>14.903035000000001</v>
      </c>
      <c r="Z143">
        <v>57.9</v>
      </c>
      <c r="AA143">
        <v>5.87</v>
      </c>
      <c r="AB143">
        <v>1.85</v>
      </c>
      <c r="AC143">
        <v>32.19</v>
      </c>
      <c r="AD143">
        <v>0</v>
      </c>
      <c r="AE143">
        <v>1.2165803108808291</v>
      </c>
      <c r="AF143">
        <v>0.41696891191709839</v>
      </c>
      <c r="AG143">
        <v>0.97</v>
      </c>
      <c r="AH143">
        <v>23.75</v>
      </c>
      <c r="AI143">
        <v>40</v>
      </c>
      <c r="AL143" s="7"/>
      <c r="AM143" s="7"/>
      <c r="AN143" s="7"/>
      <c r="AO143" s="7"/>
    </row>
    <row r="144" spans="1:41" x14ac:dyDescent="0.5">
      <c r="A144">
        <v>240</v>
      </c>
      <c r="B144">
        <v>220</v>
      </c>
      <c r="C144">
        <v>0.1</v>
      </c>
      <c r="D144">
        <v>20</v>
      </c>
      <c r="E144">
        <v>1000</v>
      </c>
      <c r="F144">
        <v>320</v>
      </c>
      <c r="G144">
        <v>16</v>
      </c>
      <c r="N144">
        <v>97.86</v>
      </c>
      <c r="O144">
        <v>81.239999999999995</v>
      </c>
      <c r="P144">
        <v>15.65</v>
      </c>
      <c r="Q144">
        <v>43.4</v>
      </c>
      <c r="R144">
        <v>5.91</v>
      </c>
      <c r="S144">
        <v>1.5</v>
      </c>
      <c r="T144">
        <v>45.97</v>
      </c>
      <c r="U144">
        <v>0.11</v>
      </c>
      <c r="V144">
        <v>1.6341013824884794</v>
      </c>
      <c r="W144">
        <v>0.79441244239631337</v>
      </c>
      <c r="X144">
        <v>0.97</v>
      </c>
      <c r="Y144">
        <v>14.903035000000001</v>
      </c>
      <c r="Z144">
        <v>60.8</v>
      </c>
      <c r="AA144">
        <v>5.86</v>
      </c>
      <c r="AB144">
        <v>2.09</v>
      </c>
      <c r="AC144">
        <v>26.3</v>
      </c>
      <c r="AD144">
        <v>0</v>
      </c>
      <c r="AE144">
        <v>1.1565789473684212</v>
      </c>
      <c r="AF144">
        <v>0.32442434210526316</v>
      </c>
      <c r="AG144">
        <v>1</v>
      </c>
      <c r="AH144">
        <v>25.36</v>
      </c>
      <c r="AI144">
        <v>37</v>
      </c>
      <c r="AL144" s="7"/>
      <c r="AM144" s="7"/>
      <c r="AN144" s="7"/>
      <c r="AO144" s="7"/>
    </row>
    <row r="145" spans="1:41" x14ac:dyDescent="0.5">
      <c r="A145">
        <v>120</v>
      </c>
      <c r="B145">
        <v>170</v>
      </c>
      <c r="C145">
        <v>0.1</v>
      </c>
      <c r="D145">
        <v>27.45</v>
      </c>
      <c r="E145">
        <v>500</v>
      </c>
      <c r="F145">
        <v>147.55000000000001</v>
      </c>
      <c r="G145">
        <v>5.3752276867030968</v>
      </c>
      <c r="K145">
        <v>19.899999999999999</v>
      </c>
      <c r="L145">
        <v>5.6</v>
      </c>
      <c r="M145">
        <v>21.9</v>
      </c>
      <c r="O145">
        <v>85.1</v>
      </c>
      <c r="P145">
        <v>14.9</v>
      </c>
      <c r="Q145">
        <v>34.299999999999997</v>
      </c>
      <c r="R145">
        <v>4</v>
      </c>
      <c r="S145">
        <v>1.9</v>
      </c>
      <c r="T145">
        <v>23.9</v>
      </c>
      <c r="U145">
        <v>0.2</v>
      </c>
      <c r="V145">
        <v>1.3994169096209914</v>
      </c>
      <c r="W145">
        <v>0.52259475218658891</v>
      </c>
      <c r="X145">
        <v>35.799999999999997</v>
      </c>
      <c r="Y145">
        <v>13.4</v>
      </c>
      <c r="Z145">
        <v>54.1</v>
      </c>
      <c r="AA145">
        <v>3.6</v>
      </c>
      <c r="AB145">
        <v>1.7</v>
      </c>
      <c r="AC145">
        <v>23.3</v>
      </c>
      <c r="AD145">
        <v>0.2</v>
      </c>
      <c r="AE145">
        <v>0.79852125693160803</v>
      </c>
      <c r="AF145">
        <v>0.32301293900184841</v>
      </c>
      <c r="AG145">
        <v>37.299999999999997</v>
      </c>
      <c r="AH145">
        <v>20.5</v>
      </c>
      <c r="AI145">
        <v>85.9</v>
      </c>
      <c r="AJ145" s="2" t="s">
        <v>70</v>
      </c>
      <c r="AL145" s="7"/>
      <c r="AM145" s="7"/>
      <c r="AN145" s="7"/>
      <c r="AO145" s="7"/>
    </row>
    <row r="146" spans="1:41" x14ac:dyDescent="0.5">
      <c r="A146">
        <v>300</v>
      </c>
      <c r="B146">
        <v>170</v>
      </c>
      <c r="C146">
        <v>0.1</v>
      </c>
      <c r="D146">
        <v>27.45</v>
      </c>
      <c r="E146">
        <v>500</v>
      </c>
      <c r="F146">
        <v>147.55000000000001</v>
      </c>
      <c r="G146">
        <v>5.3752276867030968</v>
      </c>
      <c r="K146">
        <v>19.899999999999999</v>
      </c>
      <c r="L146">
        <v>5.6</v>
      </c>
      <c r="M146">
        <v>21.9</v>
      </c>
      <c r="O146">
        <v>85.1</v>
      </c>
      <c r="P146">
        <v>14.9</v>
      </c>
      <c r="Q146">
        <v>34.299999999999997</v>
      </c>
      <c r="R146">
        <v>4</v>
      </c>
      <c r="S146">
        <v>1.9</v>
      </c>
      <c r="T146">
        <v>23.9</v>
      </c>
      <c r="U146">
        <v>0.2</v>
      </c>
      <c r="V146">
        <v>1.3994169096209914</v>
      </c>
      <c r="W146">
        <v>0.52259475218658891</v>
      </c>
      <c r="X146">
        <v>35.799999999999997</v>
      </c>
      <c r="Y146">
        <v>13.4</v>
      </c>
      <c r="Z146">
        <v>53.5</v>
      </c>
      <c r="AA146">
        <v>3.3</v>
      </c>
      <c r="AB146">
        <v>1.5</v>
      </c>
      <c r="AC146">
        <v>23.2</v>
      </c>
      <c r="AD146">
        <v>0.1</v>
      </c>
      <c r="AE146">
        <v>0.74018691588785046</v>
      </c>
      <c r="AF146">
        <v>0.3252336448598131</v>
      </c>
      <c r="AG146">
        <v>39.6</v>
      </c>
      <c r="AH146">
        <v>19.7</v>
      </c>
      <c r="AI146">
        <v>80.5</v>
      </c>
    </row>
    <row r="147" spans="1:41" x14ac:dyDescent="0.5">
      <c r="A147">
        <v>120</v>
      </c>
      <c r="B147">
        <v>190</v>
      </c>
      <c r="C147">
        <v>0.1</v>
      </c>
      <c r="D147">
        <v>27.45</v>
      </c>
      <c r="E147">
        <v>500</v>
      </c>
      <c r="F147">
        <v>147.55000000000001</v>
      </c>
      <c r="G147">
        <v>5.3752276867030968</v>
      </c>
      <c r="K147">
        <v>19.899999999999999</v>
      </c>
      <c r="L147">
        <v>5.6</v>
      </c>
      <c r="M147">
        <v>21.9</v>
      </c>
      <c r="O147">
        <v>85.1</v>
      </c>
      <c r="P147">
        <v>14.9</v>
      </c>
      <c r="Q147">
        <v>34.299999999999997</v>
      </c>
      <c r="R147">
        <v>4</v>
      </c>
      <c r="S147">
        <v>1.9</v>
      </c>
      <c r="T147">
        <v>23.9</v>
      </c>
      <c r="U147">
        <v>0.2</v>
      </c>
      <c r="V147">
        <v>1.3994169096209914</v>
      </c>
      <c r="W147">
        <v>0.52259475218658891</v>
      </c>
      <c r="X147">
        <v>35.799999999999997</v>
      </c>
      <c r="Y147">
        <v>13.4</v>
      </c>
      <c r="Z147">
        <v>55.2</v>
      </c>
      <c r="AA147">
        <v>3.4</v>
      </c>
      <c r="AB147">
        <v>1.5</v>
      </c>
      <c r="AC147">
        <v>22.7</v>
      </c>
      <c r="AD147">
        <v>0.2</v>
      </c>
      <c r="AE147">
        <v>0.73913043478260854</v>
      </c>
      <c r="AF147">
        <v>0.30842391304347822</v>
      </c>
      <c r="AG147">
        <v>37.9</v>
      </c>
      <c r="AH147">
        <v>20.7</v>
      </c>
      <c r="AI147">
        <v>80.400000000000006</v>
      </c>
    </row>
    <row r="148" spans="1:41" x14ac:dyDescent="0.5">
      <c r="A148">
        <v>300</v>
      </c>
      <c r="B148">
        <v>190</v>
      </c>
      <c r="C148">
        <v>0.1</v>
      </c>
      <c r="D148">
        <v>27.45</v>
      </c>
      <c r="E148">
        <v>500</v>
      </c>
      <c r="F148">
        <v>147.55000000000001</v>
      </c>
      <c r="G148">
        <v>5.3752276867030968</v>
      </c>
      <c r="K148">
        <v>19.899999999999999</v>
      </c>
      <c r="L148">
        <v>5.6</v>
      </c>
      <c r="M148">
        <v>21.9</v>
      </c>
      <c r="O148">
        <v>85.1</v>
      </c>
      <c r="P148">
        <v>14.9</v>
      </c>
      <c r="Q148">
        <v>34.299999999999997</v>
      </c>
      <c r="R148">
        <v>4</v>
      </c>
      <c r="S148">
        <v>1.9</v>
      </c>
      <c r="T148">
        <v>23.9</v>
      </c>
      <c r="U148">
        <v>0.2</v>
      </c>
      <c r="V148">
        <v>1.3994169096209914</v>
      </c>
      <c r="W148">
        <v>0.52259475218658891</v>
      </c>
      <c r="X148">
        <v>35.799999999999997</v>
      </c>
      <c r="Y148">
        <v>13.4</v>
      </c>
      <c r="Z148">
        <v>55.4</v>
      </c>
      <c r="AA148">
        <v>3.2</v>
      </c>
      <c r="AB148">
        <v>1.7</v>
      </c>
      <c r="AC148">
        <v>21.6</v>
      </c>
      <c r="AD148">
        <v>0.1</v>
      </c>
      <c r="AE148">
        <v>0.69314079422382679</v>
      </c>
      <c r="AF148">
        <v>0.29241877256317694</v>
      </c>
      <c r="AG148">
        <v>40.299999999999997</v>
      </c>
      <c r="AH148">
        <v>20.5</v>
      </c>
      <c r="AI148">
        <v>75.2</v>
      </c>
    </row>
    <row r="149" spans="1:41" x14ac:dyDescent="0.5">
      <c r="A149">
        <v>120</v>
      </c>
      <c r="B149">
        <v>210</v>
      </c>
      <c r="C149">
        <v>0.1</v>
      </c>
      <c r="D149">
        <v>27.45</v>
      </c>
      <c r="E149">
        <v>500</v>
      </c>
      <c r="F149">
        <v>147.55000000000001</v>
      </c>
      <c r="G149">
        <v>5.3752276867030968</v>
      </c>
      <c r="K149">
        <v>19.899999999999999</v>
      </c>
      <c r="L149">
        <v>5.6</v>
      </c>
      <c r="M149">
        <v>21.9</v>
      </c>
      <c r="O149">
        <v>85.1</v>
      </c>
      <c r="P149">
        <v>14.9</v>
      </c>
      <c r="Q149">
        <v>34.299999999999997</v>
      </c>
      <c r="R149">
        <v>4</v>
      </c>
      <c r="S149">
        <v>1.9</v>
      </c>
      <c r="T149">
        <v>23.9</v>
      </c>
      <c r="U149">
        <v>0.2</v>
      </c>
      <c r="V149">
        <v>1.3994169096209914</v>
      </c>
      <c r="W149">
        <v>0.52259475218658891</v>
      </c>
      <c r="X149">
        <v>35.799999999999997</v>
      </c>
      <c r="Y149">
        <v>13.4</v>
      </c>
      <c r="Z149">
        <v>55.8</v>
      </c>
      <c r="AA149">
        <v>3</v>
      </c>
      <c r="AB149">
        <v>1.6</v>
      </c>
      <c r="AC149">
        <v>21.1</v>
      </c>
      <c r="AD149">
        <v>0.1</v>
      </c>
      <c r="AE149">
        <v>0.64516129032258074</v>
      </c>
      <c r="AF149">
        <v>0.28360215053763443</v>
      </c>
      <c r="AG149">
        <v>41.5</v>
      </c>
      <c r="AH149">
        <v>20.399999999999999</v>
      </c>
      <c r="AI149">
        <v>72.2</v>
      </c>
    </row>
    <row r="150" spans="1:41" x14ac:dyDescent="0.5">
      <c r="A150">
        <v>300</v>
      </c>
      <c r="B150">
        <v>210</v>
      </c>
      <c r="C150">
        <v>0.1</v>
      </c>
      <c r="D150">
        <v>27.45</v>
      </c>
      <c r="E150">
        <v>500</v>
      </c>
      <c r="F150">
        <v>147.55000000000001</v>
      </c>
      <c r="G150">
        <v>5.3752276867030968</v>
      </c>
      <c r="K150">
        <v>19.899999999999999</v>
      </c>
      <c r="L150">
        <v>5.6</v>
      </c>
      <c r="M150">
        <v>21.9</v>
      </c>
      <c r="O150">
        <v>85.1</v>
      </c>
      <c r="P150">
        <v>14.9</v>
      </c>
      <c r="Q150">
        <v>34.299999999999997</v>
      </c>
      <c r="R150">
        <v>4</v>
      </c>
      <c r="S150">
        <v>1.9</v>
      </c>
      <c r="T150">
        <v>23.9</v>
      </c>
      <c r="U150">
        <v>0.2</v>
      </c>
      <c r="V150">
        <v>1.3994169096209914</v>
      </c>
      <c r="W150">
        <v>0.52259475218658891</v>
      </c>
      <c r="X150">
        <v>35.799999999999997</v>
      </c>
      <c r="Y150">
        <v>13.4</v>
      </c>
      <c r="Z150">
        <v>59.5</v>
      </c>
      <c r="AA150">
        <v>3.2</v>
      </c>
      <c r="AB150">
        <v>1.7</v>
      </c>
      <c r="AC150">
        <v>19.2</v>
      </c>
      <c r="AD150">
        <v>0.2</v>
      </c>
      <c r="AE150">
        <v>0.64537815126050424</v>
      </c>
      <c r="AF150">
        <v>0.24201680672268908</v>
      </c>
      <c r="AG150">
        <v>40.1</v>
      </c>
      <c r="AH150">
        <v>22.4</v>
      </c>
      <c r="AI150">
        <v>70.400000000000006</v>
      </c>
    </row>
    <row r="151" spans="1:41" x14ac:dyDescent="0.5">
      <c r="A151">
        <v>120</v>
      </c>
      <c r="B151">
        <v>230</v>
      </c>
      <c r="C151">
        <v>0.1</v>
      </c>
      <c r="D151">
        <v>27.45</v>
      </c>
      <c r="E151">
        <v>500</v>
      </c>
      <c r="F151">
        <v>147.55000000000001</v>
      </c>
      <c r="G151">
        <v>5.3752276867030968</v>
      </c>
      <c r="K151">
        <v>19.899999999999999</v>
      </c>
      <c r="L151">
        <v>5.6</v>
      </c>
      <c r="M151">
        <v>21.9</v>
      </c>
      <c r="O151">
        <v>85.1</v>
      </c>
      <c r="P151">
        <v>14.9</v>
      </c>
      <c r="Q151">
        <v>34.299999999999997</v>
      </c>
      <c r="R151">
        <v>4</v>
      </c>
      <c r="S151">
        <v>1.9</v>
      </c>
      <c r="T151">
        <v>23.9</v>
      </c>
      <c r="U151">
        <v>0.2</v>
      </c>
      <c r="V151">
        <v>1.3994169096209914</v>
      </c>
      <c r="W151">
        <v>0.52259475218658891</v>
      </c>
      <c r="X151">
        <v>35.799999999999997</v>
      </c>
      <c r="Y151">
        <v>13.4</v>
      </c>
      <c r="Z151">
        <v>60.7</v>
      </c>
      <c r="AA151">
        <v>2.9</v>
      </c>
      <c r="AB151">
        <v>1.7</v>
      </c>
      <c r="AC151">
        <v>17.100000000000001</v>
      </c>
      <c r="AD151">
        <v>0.2</v>
      </c>
      <c r="AE151">
        <v>0.5733113673805601</v>
      </c>
      <c r="AF151">
        <v>0.21128500823723229</v>
      </c>
      <c r="AG151">
        <v>44.5</v>
      </c>
      <c r="AH151">
        <v>22.3</v>
      </c>
      <c r="AI151">
        <v>62.9</v>
      </c>
    </row>
    <row r="152" spans="1:41" x14ac:dyDescent="0.5">
      <c r="A152">
        <v>300</v>
      </c>
      <c r="B152">
        <v>230</v>
      </c>
      <c r="C152">
        <v>0.1</v>
      </c>
      <c r="D152">
        <v>27.45</v>
      </c>
      <c r="E152">
        <v>500</v>
      </c>
      <c r="F152">
        <v>147.55000000000001</v>
      </c>
      <c r="G152">
        <v>5.3752276867030968</v>
      </c>
      <c r="K152">
        <v>19.899999999999999</v>
      </c>
      <c r="L152">
        <v>5.6</v>
      </c>
      <c r="M152">
        <v>21.9</v>
      </c>
      <c r="O152">
        <v>85.1</v>
      </c>
      <c r="P152">
        <v>14.9</v>
      </c>
      <c r="Q152">
        <v>34.299999999999997</v>
      </c>
      <c r="R152">
        <v>4</v>
      </c>
      <c r="S152">
        <v>1.9</v>
      </c>
      <c r="T152">
        <v>23.9</v>
      </c>
      <c r="U152">
        <v>0.2</v>
      </c>
      <c r="V152">
        <v>1.3994169096209914</v>
      </c>
      <c r="W152">
        <v>0.52259475218658891</v>
      </c>
      <c r="X152">
        <v>35.799999999999997</v>
      </c>
      <c r="Y152">
        <v>13.4</v>
      </c>
      <c r="Z152">
        <v>64.099999999999994</v>
      </c>
      <c r="AA152">
        <v>2.7</v>
      </c>
      <c r="AB152">
        <v>2</v>
      </c>
      <c r="AC152">
        <v>14.4</v>
      </c>
      <c r="AD152">
        <v>0.2</v>
      </c>
      <c r="AE152">
        <v>0.50546021840873645</v>
      </c>
      <c r="AF152">
        <v>0.16848673946957882</v>
      </c>
      <c r="AG152">
        <v>46.1</v>
      </c>
      <c r="AH152">
        <v>23.7</v>
      </c>
      <c r="AI152">
        <v>57.8</v>
      </c>
    </row>
    <row r="153" spans="1:41" x14ac:dyDescent="0.5">
      <c r="A153">
        <v>120</v>
      </c>
      <c r="B153">
        <v>250</v>
      </c>
      <c r="C153">
        <v>0.1</v>
      </c>
      <c r="D153">
        <v>27.45</v>
      </c>
      <c r="E153">
        <v>500</v>
      </c>
      <c r="F153">
        <v>147.55000000000001</v>
      </c>
      <c r="G153">
        <v>5.3752276867030968</v>
      </c>
      <c r="K153">
        <v>19.899999999999999</v>
      </c>
      <c r="L153">
        <v>5.6</v>
      </c>
      <c r="M153">
        <v>21.9</v>
      </c>
      <c r="O153">
        <v>85.1</v>
      </c>
      <c r="P153">
        <v>14.9</v>
      </c>
      <c r="Q153">
        <v>34.299999999999997</v>
      </c>
      <c r="R153">
        <v>4</v>
      </c>
      <c r="S153">
        <v>1.9</v>
      </c>
      <c r="T153">
        <v>23.9</v>
      </c>
      <c r="U153">
        <v>0.2</v>
      </c>
      <c r="V153">
        <v>1.3994169096209914</v>
      </c>
      <c r="W153">
        <v>0.52259475218658891</v>
      </c>
      <c r="X153">
        <v>35.799999999999997</v>
      </c>
      <c r="Y153">
        <v>13.4</v>
      </c>
      <c r="Z153">
        <v>65.900000000000006</v>
      </c>
      <c r="AA153">
        <v>2.6</v>
      </c>
      <c r="AB153">
        <v>1.8</v>
      </c>
      <c r="AC153">
        <v>13.1</v>
      </c>
      <c r="AD153">
        <v>0.2</v>
      </c>
      <c r="AE153">
        <v>0.47344461305007585</v>
      </c>
      <c r="AF153">
        <v>0.14908952959028829</v>
      </c>
      <c r="AG153">
        <v>48</v>
      </c>
      <c r="AH153">
        <v>24.4</v>
      </c>
      <c r="AI153">
        <v>55</v>
      </c>
    </row>
    <row r="154" spans="1:41" x14ac:dyDescent="0.5">
      <c r="A154">
        <v>300</v>
      </c>
      <c r="B154">
        <v>250</v>
      </c>
      <c r="C154">
        <v>0.1</v>
      </c>
      <c r="D154">
        <v>27.45</v>
      </c>
      <c r="E154">
        <v>500</v>
      </c>
      <c r="F154">
        <v>147.55000000000001</v>
      </c>
      <c r="G154">
        <v>5.3752276867030968</v>
      </c>
      <c r="K154">
        <v>19.899999999999999</v>
      </c>
      <c r="L154">
        <v>5.6</v>
      </c>
      <c r="M154">
        <v>21.9</v>
      </c>
      <c r="O154">
        <v>85.1</v>
      </c>
      <c r="P154">
        <v>14.9</v>
      </c>
      <c r="Q154">
        <v>34.299999999999997</v>
      </c>
      <c r="R154">
        <v>4</v>
      </c>
      <c r="S154">
        <v>1.9</v>
      </c>
      <c r="T154">
        <v>23.9</v>
      </c>
      <c r="U154">
        <v>0.2</v>
      </c>
      <c r="V154">
        <v>1.3994169096209914</v>
      </c>
      <c r="W154">
        <v>0.52259475218658891</v>
      </c>
      <c r="X154">
        <v>35.799999999999997</v>
      </c>
      <c r="Y154">
        <v>13.4</v>
      </c>
      <c r="Z154">
        <v>67.099999999999994</v>
      </c>
      <c r="AA154">
        <v>2.7</v>
      </c>
      <c r="AB154">
        <v>2</v>
      </c>
      <c r="AC154">
        <v>12.6</v>
      </c>
      <c r="AD154">
        <v>0.2</v>
      </c>
      <c r="AE154">
        <v>0.48286140089418789</v>
      </c>
      <c r="AF154">
        <v>0.14083457526080478</v>
      </c>
      <c r="AG154">
        <v>46.8</v>
      </c>
      <c r="AH154">
        <v>25.2</v>
      </c>
      <c r="AI154">
        <v>54.5</v>
      </c>
    </row>
    <row r="155" spans="1:41" x14ac:dyDescent="0.5">
      <c r="A155">
        <v>120</v>
      </c>
      <c r="B155">
        <v>170</v>
      </c>
      <c r="C155">
        <v>0.1</v>
      </c>
      <c r="D155">
        <v>27.45</v>
      </c>
      <c r="E155">
        <v>500</v>
      </c>
      <c r="F155">
        <v>147.55000000000001</v>
      </c>
      <c r="G155">
        <v>5.3752276867030968</v>
      </c>
      <c r="K155">
        <v>31.2</v>
      </c>
      <c r="L155">
        <v>15.5</v>
      </c>
      <c r="M155">
        <v>20.100000000000001</v>
      </c>
      <c r="O155">
        <v>79.8</v>
      </c>
      <c r="P155">
        <v>20.2</v>
      </c>
      <c r="Q155">
        <v>42.6</v>
      </c>
      <c r="R155">
        <v>5</v>
      </c>
      <c r="S155">
        <v>2</v>
      </c>
      <c r="T155">
        <v>34.299999999999997</v>
      </c>
      <c r="U155">
        <v>0.4</v>
      </c>
      <c r="V155">
        <v>1.408450704225352</v>
      </c>
      <c r="W155">
        <v>0.60387323943661964</v>
      </c>
      <c r="X155">
        <v>15.7</v>
      </c>
      <c r="Y155">
        <v>17</v>
      </c>
      <c r="Z155">
        <v>51.9</v>
      </c>
      <c r="AA155">
        <v>4.8</v>
      </c>
      <c r="AB155">
        <v>2.1</v>
      </c>
      <c r="AC155">
        <v>33.200000000000003</v>
      </c>
      <c r="AD155">
        <v>0.4</v>
      </c>
      <c r="AE155">
        <v>1.1098265895953756</v>
      </c>
      <c r="AF155">
        <v>0.47976878612716767</v>
      </c>
      <c r="AG155">
        <v>16</v>
      </c>
      <c r="AH155">
        <v>20.399999999999999</v>
      </c>
      <c r="AI155">
        <v>90.6</v>
      </c>
    </row>
    <row r="156" spans="1:41" x14ac:dyDescent="0.5">
      <c r="A156">
        <v>300</v>
      </c>
      <c r="B156">
        <v>170</v>
      </c>
      <c r="C156">
        <v>0.1</v>
      </c>
      <c r="D156">
        <v>27.45</v>
      </c>
      <c r="E156">
        <v>500</v>
      </c>
      <c r="F156">
        <v>147.55000000000001</v>
      </c>
      <c r="G156">
        <v>5.3752276867030968</v>
      </c>
      <c r="K156">
        <v>31.2</v>
      </c>
      <c r="L156">
        <v>15.5</v>
      </c>
      <c r="M156">
        <v>20.100000000000001</v>
      </c>
      <c r="O156">
        <v>79.8</v>
      </c>
      <c r="P156">
        <v>20.2</v>
      </c>
      <c r="Q156">
        <v>42.6</v>
      </c>
      <c r="R156">
        <v>5</v>
      </c>
      <c r="S156">
        <v>2</v>
      </c>
      <c r="T156">
        <v>34.299999999999997</v>
      </c>
      <c r="U156">
        <v>0.4</v>
      </c>
      <c r="V156">
        <v>1.408450704225352</v>
      </c>
      <c r="W156">
        <v>0.60387323943661964</v>
      </c>
      <c r="X156">
        <v>15.7</v>
      </c>
      <c r="Y156">
        <v>17</v>
      </c>
      <c r="Z156">
        <v>52.9</v>
      </c>
      <c r="AA156">
        <v>4.7</v>
      </c>
      <c r="AB156">
        <v>2.2000000000000002</v>
      </c>
      <c r="AC156">
        <v>32.1</v>
      </c>
      <c r="AD156">
        <v>0.4</v>
      </c>
      <c r="AE156">
        <v>1.0661625708884688</v>
      </c>
      <c r="AF156">
        <v>0.45510396975425332</v>
      </c>
      <c r="AG156">
        <v>16.5</v>
      </c>
      <c r="AH156">
        <v>20.7</v>
      </c>
      <c r="AI156">
        <v>86.7</v>
      </c>
    </row>
    <row r="157" spans="1:41" x14ac:dyDescent="0.5">
      <c r="A157">
        <v>120</v>
      </c>
      <c r="B157">
        <v>190</v>
      </c>
      <c r="C157">
        <v>0.1</v>
      </c>
      <c r="D157">
        <v>27.45</v>
      </c>
      <c r="E157">
        <v>500</v>
      </c>
      <c r="F157">
        <v>147.55000000000001</v>
      </c>
      <c r="G157">
        <v>5.3752276867030968</v>
      </c>
      <c r="K157">
        <v>31.2</v>
      </c>
      <c r="L157">
        <v>15.5</v>
      </c>
      <c r="M157">
        <v>20.100000000000001</v>
      </c>
      <c r="O157">
        <v>79.8</v>
      </c>
      <c r="P157">
        <v>20.2</v>
      </c>
      <c r="Q157">
        <v>42.6</v>
      </c>
      <c r="R157">
        <v>5</v>
      </c>
      <c r="S157">
        <v>2</v>
      </c>
      <c r="T157">
        <v>34.299999999999997</v>
      </c>
      <c r="U157">
        <v>0.4</v>
      </c>
      <c r="V157">
        <v>1.408450704225352</v>
      </c>
      <c r="W157">
        <v>0.60387323943661964</v>
      </c>
      <c r="X157">
        <v>15.7</v>
      </c>
      <c r="Y157">
        <v>17</v>
      </c>
      <c r="Z157">
        <v>54.6</v>
      </c>
      <c r="AA157">
        <v>4.5</v>
      </c>
      <c r="AB157">
        <v>2.5</v>
      </c>
      <c r="AC157">
        <v>30.2</v>
      </c>
      <c r="AD157">
        <v>0.4</v>
      </c>
      <c r="AE157">
        <v>0.98901098901098905</v>
      </c>
      <c r="AF157">
        <v>0.41483516483516486</v>
      </c>
      <c r="AG157">
        <v>17.2</v>
      </c>
      <c r="AH157">
        <v>21.3</v>
      </c>
      <c r="AI157">
        <v>81.400000000000006</v>
      </c>
    </row>
    <row r="158" spans="1:41" x14ac:dyDescent="0.5">
      <c r="A158">
        <v>300</v>
      </c>
      <c r="B158">
        <v>190</v>
      </c>
      <c r="C158">
        <v>0.1</v>
      </c>
      <c r="D158">
        <v>27.45</v>
      </c>
      <c r="E158">
        <v>500</v>
      </c>
      <c r="F158">
        <v>147.55000000000001</v>
      </c>
      <c r="G158">
        <v>5.3752276867030968</v>
      </c>
      <c r="K158">
        <v>31.2</v>
      </c>
      <c r="L158">
        <v>15.5</v>
      </c>
      <c r="M158">
        <v>20.100000000000001</v>
      </c>
      <c r="O158">
        <v>79.8</v>
      </c>
      <c r="P158">
        <v>20.2</v>
      </c>
      <c r="Q158">
        <v>42.6</v>
      </c>
      <c r="R158">
        <v>5</v>
      </c>
      <c r="S158">
        <v>2</v>
      </c>
      <c r="T158">
        <v>34.299999999999997</v>
      </c>
      <c r="U158">
        <v>0.4</v>
      </c>
      <c r="V158">
        <v>1.408450704225352</v>
      </c>
      <c r="W158">
        <v>0.60387323943661964</v>
      </c>
      <c r="X158">
        <v>15.7</v>
      </c>
      <c r="Y158">
        <v>17</v>
      </c>
      <c r="Z158">
        <v>55.3</v>
      </c>
      <c r="AA158">
        <v>4.7</v>
      </c>
      <c r="AB158">
        <v>2.4</v>
      </c>
      <c r="AC158">
        <v>29.2</v>
      </c>
      <c r="AD158">
        <v>0.5</v>
      </c>
      <c r="AE158">
        <v>1.0198915009041591</v>
      </c>
      <c r="AF158">
        <v>0.39602169981916818</v>
      </c>
      <c r="AG158">
        <v>17.7</v>
      </c>
      <c r="AH158">
        <v>21.9</v>
      </c>
      <c r="AI158">
        <v>78.3</v>
      </c>
    </row>
    <row r="159" spans="1:41" x14ac:dyDescent="0.5">
      <c r="A159">
        <v>120</v>
      </c>
      <c r="B159">
        <v>210</v>
      </c>
      <c r="C159">
        <v>0.1</v>
      </c>
      <c r="D159">
        <v>27.45</v>
      </c>
      <c r="E159">
        <v>500</v>
      </c>
      <c r="F159">
        <v>147.55000000000001</v>
      </c>
      <c r="G159">
        <v>5.3752276867030968</v>
      </c>
      <c r="K159">
        <v>31.2</v>
      </c>
      <c r="L159">
        <v>15.5</v>
      </c>
      <c r="M159">
        <v>20.100000000000001</v>
      </c>
      <c r="O159">
        <v>79.8</v>
      </c>
      <c r="P159">
        <v>20.2</v>
      </c>
      <c r="Q159">
        <v>42.6</v>
      </c>
      <c r="R159">
        <v>5</v>
      </c>
      <c r="S159">
        <v>2</v>
      </c>
      <c r="T159">
        <v>34.299999999999997</v>
      </c>
      <c r="U159">
        <v>0.4</v>
      </c>
      <c r="V159">
        <v>1.408450704225352</v>
      </c>
      <c r="W159">
        <v>0.60387323943661964</v>
      </c>
      <c r="X159">
        <v>15.7</v>
      </c>
      <c r="Y159">
        <v>17</v>
      </c>
      <c r="Z159">
        <v>57.2</v>
      </c>
      <c r="AA159">
        <v>4.5999999999999996</v>
      </c>
      <c r="AB159">
        <v>2.6</v>
      </c>
      <c r="AC159">
        <v>27.5</v>
      </c>
      <c r="AD159">
        <v>0.4</v>
      </c>
      <c r="AE159">
        <v>0.965034965034965</v>
      </c>
      <c r="AF159">
        <v>0.36057692307692307</v>
      </c>
      <c r="AG159">
        <v>18</v>
      </c>
      <c r="AH159">
        <v>22.7</v>
      </c>
      <c r="AI159">
        <v>73.2</v>
      </c>
    </row>
    <row r="160" spans="1:41" x14ac:dyDescent="0.5">
      <c r="A160">
        <v>300</v>
      </c>
      <c r="B160">
        <v>210</v>
      </c>
      <c r="C160">
        <v>0.1</v>
      </c>
      <c r="D160">
        <v>27.45</v>
      </c>
      <c r="E160">
        <v>500</v>
      </c>
      <c r="F160">
        <v>147.55000000000001</v>
      </c>
      <c r="G160">
        <v>5.3752276867030968</v>
      </c>
      <c r="K160">
        <v>31.2</v>
      </c>
      <c r="L160">
        <v>15.5</v>
      </c>
      <c r="M160">
        <v>20.100000000000001</v>
      </c>
      <c r="O160">
        <v>79.8</v>
      </c>
      <c r="P160">
        <v>20.2</v>
      </c>
      <c r="Q160">
        <v>42.6</v>
      </c>
      <c r="R160">
        <v>5</v>
      </c>
      <c r="S160">
        <v>2</v>
      </c>
      <c r="T160">
        <v>34.299999999999997</v>
      </c>
      <c r="U160">
        <v>0.4</v>
      </c>
      <c r="V160">
        <v>1.408450704225352</v>
      </c>
      <c r="W160">
        <v>0.60387323943661964</v>
      </c>
      <c r="X160">
        <v>15.7</v>
      </c>
      <c r="Y160">
        <v>17</v>
      </c>
      <c r="Z160">
        <v>58.4</v>
      </c>
      <c r="AA160">
        <v>4.2</v>
      </c>
      <c r="AB160">
        <v>2.8</v>
      </c>
      <c r="AC160">
        <v>26.3</v>
      </c>
      <c r="AD160">
        <v>0.4</v>
      </c>
      <c r="AE160">
        <v>0.8630136986301371</v>
      </c>
      <c r="AF160">
        <v>0.33775684931506855</v>
      </c>
      <c r="AG160">
        <v>19.100000000000001</v>
      </c>
      <c r="AH160">
        <v>22.6</v>
      </c>
      <c r="AI160">
        <v>68.3</v>
      </c>
    </row>
    <row r="161" spans="1:36" x14ac:dyDescent="0.5">
      <c r="A161">
        <v>120</v>
      </c>
      <c r="B161">
        <v>230</v>
      </c>
      <c r="C161">
        <v>0.1</v>
      </c>
      <c r="D161">
        <v>27.45</v>
      </c>
      <c r="E161">
        <v>500</v>
      </c>
      <c r="F161">
        <v>147.55000000000001</v>
      </c>
      <c r="G161">
        <v>5.3752276867030968</v>
      </c>
      <c r="K161">
        <v>31.2</v>
      </c>
      <c r="L161">
        <v>15.5</v>
      </c>
      <c r="M161">
        <v>20.100000000000001</v>
      </c>
      <c r="O161">
        <v>79.8</v>
      </c>
      <c r="P161">
        <v>20.2</v>
      </c>
      <c r="Q161">
        <v>42.6</v>
      </c>
      <c r="R161">
        <v>5</v>
      </c>
      <c r="S161">
        <v>2</v>
      </c>
      <c r="T161">
        <v>34.299999999999997</v>
      </c>
      <c r="U161">
        <v>0.4</v>
      </c>
      <c r="V161">
        <v>1.408450704225352</v>
      </c>
      <c r="W161">
        <v>0.60387323943661964</v>
      </c>
      <c r="X161">
        <v>15.7</v>
      </c>
      <c r="Y161">
        <v>17</v>
      </c>
      <c r="Z161">
        <v>60.3</v>
      </c>
      <c r="AA161">
        <v>4</v>
      </c>
      <c r="AB161">
        <v>2.8</v>
      </c>
      <c r="AC161">
        <v>24.1</v>
      </c>
      <c r="AD161">
        <v>0.5</v>
      </c>
      <c r="AE161">
        <v>0.79601990049751248</v>
      </c>
      <c r="AF161">
        <v>0.29975124378109458</v>
      </c>
      <c r="AG161">
        <v>20.8</v>
      </c>
      <c r="AH161">
        <v>23.3</v>
      </c>
      <c r="AI161">
        <v>61.7</v>
      </c>
    </row>
    <row r="162" spans="1:36" x14ac:dyDescent="0.5">
      <c r="A162">
        <v>300</v>
      </c>
      <c r="B162">
        <v>230</v>
      </c>
      <c r="C162">
        <v>0.1</v>
      </c>
      <c r="D162">
        <v>27.45</v>
      </c>
      <c r="E162">
        <v>500</v>
      </c>
      <c r="F162">
        <v>147.55000000000001</v>
      </c>
      <c r="G162">
        <v>5.3752276867030968</v>
      </c>
      <c r="K162">
        <v>31.2</v>
      </c>
      <c r="L162">
        <v>15.5</v>
      </c>
      <c r="M162">
        <v>20.100000000000001</v>
      </c>
      <c r="O162">
        <v>79.8</v>
      </c>
      <c r="P162">
        <v>20.2</v>
      </c>
      <c r="Q162">
        <v>42.6</v>
      </c>
      <c r="R162">
        <v>5</v>
      </c>
      <c r="S162">
        <v>2</v>
      </c>
      <c r="T162">
        <v>34.299999999999997</v>
      </c>
      <c r="U162">
        <v>0.4</v>
      </c>
      <c r="V162">
        <v>1.408450704225352</v>
      </c>
      <c r="W162">
        <v>0.60387323943661964</v>
      </c>
      <c r="X162">
        <v>15.7</v>
      </c>
      <c r="Y162">
        <v>17</v>
      </c>
      <c r="Z162">
        <v>65.599999999999994</v>
      </c>
      <c r="AA162">
        <v>4</v>
      </c>
      <c r="AB162">
        <v>3.1</v>
      </c>
      <c r="AC162">
        <v>19.100000000000001</v>
      </c>
      <c r="AD162">
        <v>0.5</v>
      </c>
      <c r="AE162">
        <v>0.73170731707317083</v>
      </c>
      <c r="AF162">
        <v>0.21836890243902443</v>
      </c>
      <c r="AG162">
        <v>22.6</v>
      </c>
      <c r="AH162">
        <v>25.8</v>
      </c>
      <c r="AI162">
        <v>53.5</v>
      </c>
    </row>
    <row r="163" spans="1:36" x14ac:dyDescent="0.5">
      <c r="A163">
        <v>120</v>
      </c>
      <c r="B163">
        <v>250</v>
      </c>
      <c r="C163">
        <v>0.1</v>
      </c>
      <c r="D163">
        <v>27.45</v>
      </c>
      <c r="E163">
        <v>500</v>
      </c>
      <c r="F163">
        <v>147.55000000000001</v>
      </c>
      <c r="G163">
        <v>5.3752276867030968</v>
      </c>
      <c r="K163">
        <v>31.2</v>
      </c>
      <c r="L163">
        <v>15.5</v>
      </c>
      <c r="M163">
        <v>20.100000000000001</v>
      </c>
      <c r="O163">
        <v>79.8</v>
      </c>
      <c r="P163">
        <v>20.2</v>
      </c>
      <c r="Q163">
        <v>42.6</v>
      </c>
      <c r="R163">
        <v>5</v>
      </c>
      <c r="S163">
        <v>2</v>
      </c>
      <c r="T163">
        <v>34.299999999999997</v>
      </c>
      <c r="U163">
        <v>0.4</v>
      </c>
      <c r="V163">
        <v>1.408450704225352</v>
      </c>
      <c r="W163">
        <v>0.60387323943661964</v>
      </c>
      <c r="X163">
        <v>15.7</v>
      </c>
      <c r="Y163">
        <v>17</v>
      </c>
      <c r="Z163">
        <v>66.8</v>
      </c>
      <c r="AA163">
        <v>3.8</v>
      </c>
      <c r="AB163">
        <v>3.2</v>
      </c>
      <c r="AC163">
        <v>17.899999999999999</v>
      </c>
      <c r="AD163">
        <v>0.5</v>
      </c>
      <c r="AE163">
        <v>0.68263473053892221</v>
      </c>
      <c r="AF163">
        <v>0.20097305389221556</v>
      </c>
      <c r="AG163">
        <v>23.7</v>
      </c>
      <c r="AH163">
        <v>26.1</v>
      </c>
      <c r="AI163">
        <v>47.7</v>
      </c>
    </row>
    <row r="164" spans="1:36" x14ac:dyDescent="0.5">
      <c r="A164">
        <v>300</v>
      </c>
      <c r="B164">
        <v>250</v>
      </c>
      <c r="C164">
        <v>0.1</v>
      </c>
      <c r="D164">
        <v>27.45</v>
      </c>
      <c r="E164">
        <v>500</v>
      </c>
      <c r="F164">
        <v>147.55000000000001</v>
      </c>
      <c r="G164">
        <v>5.3752276867030968</v>
      </c>
      <c r="K164">
        <v>31.2</v>
      </c>
      <c r="L164">
        <v>15.5</v>
      </c>
      <c r="M164">
        <v>20.100000000000001</v>
      </c>
      <c r="O164">
        <v>79.8</v>
      </c>
      <c r="P164">
        <v>20.2</v>
      </c>
      <c r="Q164">
        <v>42.6</v>
      </c>
      <c r="R164">
        <v>5</v>
      </c>
      <c r="S164">
        <v>2</v>
      </c>
      <c r="T164">
        <v>34.299999999999997</v>
      </c>
      <c r="U164">
        <v>0.4</v>
      </c>
      <c r="V164">
        <v>1.408450704225352</v>
      </c>
      <c r="W164">
        <v>0.60387323943661964</v>
      </c>
      <c r="X164">
        <v>15.7</v>
      </c>
      <c r="Y164">
        <v>17</v>
      </c>
      <c r="Z164">
        <v>68.8</v>
      </c>
      <c r="AA164">
        <v>3.9</v>
      </c>
      <c r="AB164">
        <v>3.3</v>
      </c>
      <c r="AC164">
        <v>16.100000000000001</v>
      </c>
      <c r="AD164">
        <v>0.4</v>
      </c>
      <c r="AE164">
        <v>0.68023255813953487</v>
      </c>
      <c r="AF164">
        <v>0.17550872093023256</v>
      </c>
      <c r="AG164">
        <v>23.9</v>
      </c>
      <c r="AH164">
        <v>27.2</v>
      </c>
      <c r="AI164">
        <v>41.3</v>
      </c>
    </row>
    <row r="165" spans="1:36" x14ac:dyDescent="0.5">
      <c r="A165">
        <v>120</v>
      </c>
      <c r="B165">
        <v>170</v>
      </c>
      <c r="C165">
        <v>0.1</v>
      </c>
      <c r="D165">
        <v>27.45</v>
      </c>
      <c r="E165">
        <v>500</v>
      </c>
      <c r="F165">
        <v>147.55000000000001</v>
      </c>
      <c r="G165">
        <v>5.3752276867030968</v>
      </c>
      <c r="K165">
        <v>23.9</v>
      </c>
      <c r="L165">
        <v>2.7</v>
      </c>
      <c r="M165">
        <v>22</v>
      </c>
      <c r="O165">
        <v>78.400000000000006</v>
      </c>
      <c r="P165">
        <v>21.6</v>
      </c>
      <c r="Q165">
        <v>40.299999999999997</v>
      </c>
      <c r="R165">
        <v>4.5999999999999996</v>
      </c>
      <c r="S165">
        <v>2.1</v>
      </c>
      <c r="T165">
        <v>24</v>
      </c>
      <c r="U165">
        <v>0.3</v>
      </c>
      <c r="V165">
        <v>1.369727047146402</v>
      </c>
      <c r="W165">
        <v>0.44665012406947896</v>
      </c>
      <c r="X165">
        <v>28.7</v>
      </c>
      <c r="Y165">
        <v>16.399999999999999</v>
      </c>
      <c r="Z165">
        <v>54.7</v>
      </c>
      <c r="AA165">
        <v>4.2</v>
      </c>
      <c r="AB165">
        <v>2</v>
      </c>
      <c r="AC165">
        <v>25.6</v>
      </c>
      <c r="AD165">
        <v>0.3</v>
      </c>
      <c r="AE165">
        <v>0.92138939670932363</v>
      </c>
      <c r="AF165">
        <v>0.35100548446069468</v>
      </c>
      <c r="AG165">
        <v>27.3</v>
      </c>
      <c r="AH165">
        <v>21.3</v>
      </c>
      <c r="AI165">
        <v>91</v>
      </c>
    </row>
    <row r="166" spans="1:36" x14ac:dyDescent="0.5">
      <c r="A166">
        <v>300</v>
      </c>
      <c r="B166">
        <v>170</v>
      </c>
      <c r="C166">
        <v>0.1</v>
      </c>
      <c r="D166">
        <v>27.45</v>
      </c>
      <c r="E166">
        <v>500</v>
      </c>
      <c r="F166">
        <v>147.55000000000001</v>
      </c>
      <c r="G166">
        <v>5.3752276867030968</v>
      </c>
      <c r="K166">
        <v>23.9</v>
      </c>
      <c r="L166">
        <v>2.7</v>
      </c>
      <c r="M166">
        <v>22</v>
      </c>
      <c r="O166">
        <v>78.400000000000006</v>
      </c>
      <c r="P166">
        <v>21.6</v>
      </c>
      <c r="Q166">
        <v>40.299999999999997</v>
      </c>
      <c r="R166">
        <v>4.5999999999999996</v>
      </c>
      <c r="S166">
        <v>2.1</v>
      </c>
      <c r="T166">
        <v>24</v>
      </c>
      <c r="U166">
        <v>0.3</v>
      </c>
      <c r="V166">
        <v>1.369727047146402</v>
      </c>
      <c r="W166">
        <v>0.44665012406947896</v>
      </c>
      <c r="X166">
        <v>28.7</v>
      </c>
      <c r="Y166">
        <v>16.399999999999999</v>
      </c>
      <c r="Z166">
        <v>55.1</v>
      </c>
      <c r="AA166">
        <v>4.0999999999999996</v>
      </c>
      <c r="AB166">
        <v>2</v>
      </c>
      <c r="AC166">
        <v>25.9</v>
      </c>
      <c r="AD166">
        <v>0.3</v>
      </c>
      <c r="AE166">
        <v>0.89292196007259517</v>
      </c>
      <c r="AF166">
        <v>0.35254083484573501</v>
      </c>
      <c r="AG166">
        <v>28</v>
      </c>
      <c r="AH166">
        <v>21.4</v>
      </c>
      <c r="AI166">
        <v>90</v>
      </c>
    </row>
    <row r="167" spans="1:36" x14ac:dyDescent="0.5">
      <c r="A167">
        <v>120</v>
      </c>
      <c r="B167">
        <v>190</v>
      </c>
      <c r="C167">
        <v>0.1</v>
      </c>
      <c r="D167">
        <v>27.45</v>
      </c>
      <c r="E167">
        <v>500</v>
      </c>
      <c r="F167">
        <v>147.55000000000001</v>
      </c>
      <c r="G167">
        <v>5.3752276867030968</v>
      </c>
      <c r="K167">
        <v>23.9</v>
      </c>
      <c r="L167">
        <v>2.7</v>
      </c>
      <c r="M167">
        <v>22</v>
      </c>
      <c r="O167">
        <v>78.400000000000006</v>
      </c>
      <c r="P167">
        <v>21.6</v>
      </c>
      <c r="Q167">
        <v>40.299999999999997</v>
      </c>
      <c r="R167">
        <v>4.5999999999999996</v>
      </c>
      <c r="S167">
        <v>2.1</v>
      </c>
      <c r="T167">
        <v>24</v>
      </c>
      <c r="U167">
        <v>0.3</v>
      </c>
      <c r="V167">
        <v>1.369727047146402</v>
      </c>
      <c r="W167">
        <v>0.44665012406947896</v>
      </c>
      <c r="X167">
        <v>28.7</v>
      </c>
      <c r="Y167">
        <v>16.399999999999999</v>
      </c>
      <c r="Z167">
        <v>57</v>
      </c>
      <c r="AA167">
        <v>4</v>
      </c>
      <c r="AB167">
        <v>2.1</v>
      </c>
      <c r="AC167">
        <v>24.1</v>
      </c>
      <c r="AD167">
        <v>0.4</v>
      </c>
      <c r="AE167">
        <v>0.84210526315789469</v>
      </c>
      <c r="AF167">
        <v>0.31710526315789478</v>
      </c>
      <c r="AG167">
        <v>28.9</v>
      </c>
      <c r="AH167">
        <v>22.1</v>
      </c>
      <c r="AI167">
        <v>83.9</v>
      </c>
    </row>
    <row r="168" spans="1:36" x14ac:dyDescent="0.5">
      <c r="A168">
        <v>300</v>
      </c>
      <c r="B168">
        <v>190</v>
      </c>
      <c r="C168">
        <v>0.1</v>
      </c>
      <c r="D168">
        <v>27.45</v>
      </c>
      <c r="E168">
        <v>500</v>
      </c>
      <c r="F168">
        <v>147.55000000000001</v>
      </c>
      <c r="G168">
        <v>5.3752276867030968</v>
      </c>
      <c r="K168">
        <v>23.9</v>
      </c>
      <c r="L168">
        <v>2.7</v>
      </c>
      <c r="M168">
        <v>22</v>
      </c>
      <c r="O168">
        <v>78.400000000000006</v>
      </c>
      <c r="P168">
        <v>21.6</v>
      </c>
      <c r="Q168">
        <v>40.299999999999997</v>
      </c>
      <c r="R168">
        <v>4.5999999999999996</v>
      </c>
      <c r="S168">
        <v>2.1</v>
      </c>
      <c r="T168">
        <v>24</v>
      </c>
      <c r="U168">
        <v>0.3</v>
      </c>
      <c r="V168">
        <v>1.369727047146402</v>
      </c>
      <c r="W168">
        <v>0.44665012406947896</v>
      </c>
      <c r="X168">
        <v>28.7</v>
      </c>
      <c r="Y168">
        <v>16.399999999999999</v>
      </c>
      <c r="Z168">
        <v>57</v>
      </c>
      <c r="AA168">
        <v>3.9</v>
      </c>
      <c r="AB168">
        <v>2.2000000000000002</v>
      </c>
      <c r="AC168">
        <v>24.1</v>
      </c>
      <c r="AD168">
        <v>0.3</v>
      </c>
      <c r="AE168">
        <v>0.82105263157894737</v>
      </c>
      <c r="AF168">
        <v>0.31710526315789478</v>
      </c>
      <c r="AG168">
        <v>29</v>
      </c>
      <c r="AH168">
        <v>22</v>
      </c>
      <c r="AI168">
        <v>82.1</v>
      </c>
    </row>
    <row r="169" spans="1:36" x14ac:dyDescent="0.5">
      <c r="A169">
        <v>120</v>
      </c>
      <c r="B169">
        <v>210</v>
      </c>
      <c r="C169">
        <v>0.1</v>
      </c>
      <c r="D169">
        <v>27.45</v>
      </c>
      <c r="E169">
        <v>500</v>
      </c>
      <c r="F169">
        <v>147.55000000000001</v>
      </c>
      <c r="G169">
        <v>5.3752276867030968</v>
      </c>
      <c r="K169">
        <v>23.9</v>
      </c>
      <c r="L169">
        <v>2.7</v>
      </c>
      <c r="M169">
        <v>22</v>
      </c>
      <c r="O169">
        <v>78.400000000000006</v>
      </c>
      <c r="P169">
        <v>21.6</v>
      </c>
      <c r="Q169">
        <v>40.299999999999997</v>
      </c>
      <c r="R169">
        <v>4.5999999999999996</v>
      </c>
      <c r="S169">
        <v>2.1</v>
      </c>
      <c r="T169">
        <v>24</v>
      </c>
      <c r="U169">
        <v>0.3</v>
      </c>
      <c r="V169">
        <v>1.369727047146402</v>
      </c>
      <c r="W169">
        <v>0.44665012406947896</v>
      </c>
      <c r="X169">
        <v>28.7</v>
      </c>
      <c r="Y169">
        <v>16.399999999999999</v>
      </c>
      <c r="Z169">
        <v>59.2</v>
      </c>
      <c r="AA169">
        <v>3.9</v>
      </c>
      <c r="AB169">
        <v>2.2000000000000002</v>
      </c>
      <c r="AC169">
        <v>21.9</v>
      </c>
      <c r="AD169">
        <v>0.3</v>
      </c>
      <c r="AE169">
        <v>0.79054054054054046</v>
      </c>
      <c r="AF169">
        <v>0.27744932432432429</v>
      </c>
      <c r="AG169">
        <v>30.4</v>
      </c>
      <c r="AH169">
        <v>23.1</v>
      </c>
      <c r="AI169">
        <v>77.599999999999994</v>
      </c>
    </row>
    <row r="170" spans="1:36" x14ac:dyDescent="0.5">
      <c r="A170">
        <v>300</v>
      </c>
      <c r="B170">
        <v>210</v>
      </c>
      <c r="C170">
        <v>0.1</v>
      </c>
      <c r="D170">
        <v>27.45</v>
      </c>
      <c r="E170">
        <v>500</v>
      </c>
      <c r="F170">
        <v>147.55000000000001</v>
      </c>
      <c r="G170">
        <v>5.3752276867030968</v>
      </c>
      <c r="K170">
        <v>23.9</v>
      </c>
      <c r="L170">
        <v>2.7</v>
      </c>
      <c r="M170">
        <v>22</v>
      </c>
      <c r="O170">
        <v>78.400000000000006</v>
      </c>
      <c r="P170">
        <v>21.6</v>
      </c>
      <c r="Q170">
        <v>40.299999999999997</v>
      </c>
      <c r="R170">
        <v>4.5999999999999996</v>
      </c>
      <c r="S170">
        <v>2.1</v>
      </c>
      <c r="T170">
        <v>24</v>
      </c>
      <c r="U170">
        <v>0.3</v>
      </c>
      <c r="V170">
        <v>1.369727047146402</v>
      </c>
      <c r="W170">
        <v>0.44665012406947896</v>
      </c>
      <c r="X170">
        <v>28.7</v>
      </c>
      <c r="Y170">
        <v>16.399999999999999</v>
      </c>
      <c r="Z170">
        <v>61.3</v>
      </c>
      <c r="AA170">
        <v>3.8</v>
      </c>
      <c r="AB170">
        <v>2.2999999999999998</v>
      </c>
      <c r="AC170">
        <v>20.2</v>
      </c>
      <c r="AD170">
        <v>0.3</v>
      </c>
      <c r="AE170">
        <v>0.74388254486133765</v>
      </c>
      <c r="AF170">
        <v>0.24714518760195758</v>
      </c>
      <c r="AG170">
        <v>30.9</v>
      </c>
      <c r="AH170">
        <v>24</v>
      </c>
      <c r="AI170">
        <v>74.7</v>
      </c>
    </row>
    <row r="171" spans="1:36" x14ac:dyDescent="0.5">
      <c r="A171">
        <v>120</v>
      </c>
      <c r="B171">
        <v>230</v>
      </c>
      <c r="C171">
        <v>0.1</v>
      </c>
      <c r="D171">
        <v>27.45</v>
      </c>
      <c r="E171">
        <v>500</v>
      </c>
      <c r="F171">
        <v>147.55000000000001</v>
      </c>
      <c r="G171">
        <v>5.3752276867030968</v>
      </c>
      <c r="K171">
        <v>23.9</v>
      </c>
      <c r="L171">
        <v>2.7</v>
      </c>
      <c r="M171">
        <v>22</v>
      </c>
      <c r="O171">
        <v>78.400000000000006</v>
      </c>
      <c r="P171">
        <v>21.6</v>
      </c>
      <c r="Q171">
        <v>40.299999999999997</v>
      </c>
      <c r="R171">
        <v>4.5999999999999996</v>
      </c>
      <c r="S171">
        <v>2.1</v>
      </c>
      <c r="T171">
        <v>24</v>
      </c>
      <c r="U171">
        <v>0.3</v>
      </c>
      <c r="V171">
        <v>1.369727047146402</v>
      </c>
      <c r="W171">
        <v>0.44665012406947896</v>
      </c>
      <c r="X171">
        <v>28.7</v>
      </c>
      <c r="Y171">
        <v>16.399999999999999</v>
      </c>
      <c r="Z171">
        <v>60.6</v>
      </c>
      <c r="AA171">
        <v>3.5</v>
      </c>
      <c r="AB171">
        <v>2.4</v>
      </c>
      <c r="AC171">
        <v>20.399999999999999</v>
      </c>
      <c r="AD171">
        <v>0.3</v>
      </c>
      <c r="AE171">
        <v>0.69306930693069313</v>
      </c>
      <c r="AF171">
        <v>0.25247524752475248</v>
      </c>
      <c r="AG171">
        <v>32.6</v>
      </c>
      <c r="AH171">
        <v>23.2</v>
      </c>
      <c r="AI171">
        <v>67.900000000000006</v>
      </c>
    </row>
    <row r="172" spans="1:36" x14ac:dyDescent="0.5">
      <c r="A172">
        <v>300</v>
      </c>
      <c r="B172">
        <v>230</v>
      </c>
      <c r="C172">
        <v>0.1</v>
      </c>
      <c r="D172">
        <v>27.45</v>
      </c>
      <c r="E172">
        <v>500</v>
      </c>
      <c r="F172">
        <v>147.55000000000001</v>
      </c>
      <c r="G172">
        <v>5.3752276867030968</v>
      </c>
      <c r="K172">
        <v>23.9</v>
      </c>
      <c r="L172">
        <v>2.7</v>
      </c>
      <c r="M172">
        <v>22</v>
      </c>
      <c r="O172">
        <v>78.400000000000006</v>
      </c>
      <c r="P172">
        <v>21.6</v>
      </c>
      <c r="Q172">
        <v>40.299999999999997</v>
      </c>
      <c r="R172">
        <v>4.5999999999999996</v>
      </c>
      <c r="S172">
        <v>2.1</v>
      </c>
      <c r="T172">
        <v>24</v>
      </c>
      <c r="U172">
        <v>0.3</v>
      </c>
      <c r="V172">
        <v>1.369727047146402</v>
      </c>
      <c r="W172">
        <v>0.44665012406947896</v>
      </c>
      <c r="X172">
        <v>28.7</v>
      </c>
      <c r="Y172">
        <v>16.399999999999999</v>
      </c>
      <c r="Z172">
        <v>64.400000000000006</v>
      </c>
      <c r="AA172">
        <v>3.4</v>
      </c>
      <c r="AB172">
        <v>2.6</v>
      </c>
      <c r="AC172">
        <v>16.8</v>
      </c>
      <c r="AD172">
        <v>0.4</v>
      </c>
      <c r="AE172">
        <v>0.63354037267080743</v>
      </c>
      <c r="AF172">
        <v>0.19565217391304346</v>
      </c>
      <c r="AG172">
        <v>34.799999999999997</v>
      </c>
      <c r="AH172">
        <v>24.9</v>
      </c>
      <c r="AI172">
        <v>60.4</v>
      </c>
    </row>
    <row r="173" spans="1:36" x14ac:dyDescent="0.5">
      <c r="A173">
        <v>120</v>
      </c>
      <c r="B173">
        <v>250</v>
      </c>
      <c r="C173">
        <v>0.1</v>
      </c>
      <c r="D173">
        <v>27.45</v>
      </c>
      <c r="E173">
        <v>500</v>
      </c>
      <c r="F173">
        <v>147.55000000000001</v>
      </c>
      <c r="G173">
        <v>5.3752276867030968</v>
      </c>
      <c r="K173">
        <v>23.9</v>
      </c>
      <c r="L173">
        <v>2.7</v>
      </c>
      <c r="M173">
        <v>22</v>
      </c>
      <c r="O173">
        <v>78.400000000000006</v>
      </c>
      <c r="P173">
        <v>21.6</v>
      </c>
      <c r="Q173">
        <v>40.299999999999997</v>
      </c>
      <c r="R173">
        <v>4.5999999999999996</v>
      </c>
      <c r="S173">
        <v>2.1</v>
      </c>
      <c r="T173">
        <v>24</v>
      </c>
      <c r="U173">
        <v>0.3</v>
      </c>
      <c r="V173">
        <v>1.369727047146402</v>
      </c>
      <c r="W173">
        <v>0.44665012406947896</v>
      </c>
      <c r="X173">
        <v>28.7</v>
      </c>
      <c r="Y173">
        <v>16.399999999999999</v>
      </c>
      <c r="Z173">
        <v>65.5</v>
      </c>
      <c r="AA173">
        <v>3.2</v>
      </c>
      <c r="AB173">
        <v>2.5</v>
      </c>
      <c r="AC173">
        <v>15.8</v>
      </c>
      <c r="AD173">
        <v>0.3</v>
      </c>
      <c r="AE173">
        <v>0.58625954198473285</v>
      </c>
      <c r="AF173">
        <v>0.18091603053435115</v>
      </c>
      <c r="AG173">
        <v>36.5</v>
      </c>
      <c r="AH173">
        <v>25.1</v>
      </c>
      <c r="AI173">
        <v>54.6</v>
      </c>
    </row>
    <row r="174" spans="1:36" x14ac:dyDescent="0.5">
      <c r="A174">
        <v>300</v>
      </c>
      <c r="B174">
        <v>250</v>
      </c>
      <c r="C174">
        <v>0.1</v>
      </c>
      <c r="D174">
        <v>27.45</v>
      </c>
      <c r="E174">
        <v>500</v>
      </c>
      <c r="F174">
        <v>147.55000000000001</v>
      </c>
      <c r="G174">
        <v>5.3752276867030968</v>
      </c>
      <c r="K174">
        <v>23.9</v>
      </c>
      <c r="L174">
        <v>2.7</v>
      </c>
      <c r="M174">
        <v>22</v>
      </c>
      <c r="O174">
        <v>78.400000000000006</v>
      </c>
      <c r="P174">
        <v>21.6</v>
      </c>
      <c r="Q174">
        <v>40.299999999999997</v>
      </c>
      <c r="R174">
        <v>4.5999999999999996</v>
      </c>
      <c r="S174">
        <v>2.1</v>
      </c>
      <c r="T174">
        <v>24</v>
      </c>
      <c r="U174">
        <v>0.3</v>
      </c>
      <c r="V174">
        <v>1.369727047146402</v>
      </c>
      <c r="W174">
        <v>0.44665012406947896</v>
      </c>
      <c r="X174">
        <v>28.7</v>
      </c>
      <c r="Y174">
        <v>16.399999999999999</v>
      </c>
      <c r="Z174">
        <v>67.5</v>
      </c>
      <c r="AA174">
        <v>3.1</v>
      </c>
      <c r="AB174">
        <v>2.8</v>
      </c>
      <c r="AC174">
        <v>14</v>
      </c>
      <c r="AD174">
        <v>0.3</v>
      </c>
      <c r="AE174">
        <v>0.55111111111111111</v>
      </c>
      <c r="AF174">
        <v>0.15555555555555556</v>
      </c>
      <c r="AG174">
        <v>37.799999999999997</v>
      </c>
      <c r="AH174">
        <v>25.9</v>
      </c>
      <c r="AI174">
        <v>51.1</v>
      </c>
    </row>
    <row r="175" spans="1:36" x14ac:dyDescent="0.5">
      <c r="A175">
        <v>120</v>
      </c>
      <c r="B175">
        <v>180</v>
      </c>
      <c r="C175">
        <v>0.1</v>
      </c>
      <c r="D175">
        <v>17.5</v>
      </c>
      <c r="E175">
        <v>1000</v>
      </c>
      <c r="F175">
        <v>262.5</v>
      </c>
      <c r="G175">
        <v>15</v>
      </c>
      <c r="N175">
        <v>90</v>
      </c>
      <c r="Q175">
        <v>48.4</v>
      </c>
      <c r="R175">
        <v>6.5</v>
      </c>
      <c r="S175">
        <v>1</v>
      </c>
      <c r="T175">
        <v>43.9</v>
      </c>
      <c r="U175">
        <v>0.2</v>
      </c>
      <c r="V175">
        <v>1.6115702479338843</v>
      </c>
      <c r="W175">
        <v>0.68026859504132231</v>
      </c>
      <c r="X175">
        <v>16</v>
      </c>
      <c r="Y175">
        <v>20.100000000000001</v>
      </c>
      <c r="Z175">
        <v>56.9</v>
      </c>
      <c r="AA175">
        <v>5.4</v>
      </c>
      <c r="AB175">
        <v>1.1000000000000001</v>
      </c>
      <c r="AC175">
        <v>36.4</v>
      </c>
      <c r="AD175">
        <v>0.1</v>
      </c>
      <c r="AE175">
        <v>1.13884007029877</v>
      </c>
      <c r="AF175">
        <v>0.47978910369068545</v>
      </c>
      <c r="AG175">
        <v>19.3</v>
      </c>
      <c r="AH175">
        <v>22.2</v>
      </c>
      <c r="AI175">
        <v>59.6</v>
      </c>
      <c r="AJ175" s="2" t="s">
        <v>72</v>
      </c>
    </row>
    <row r="176" spans="1:36" x14ac:dyDescent="0.5">
      <c r="A176">
        <v>240</v>
      </c>
      <c r="B176">
        <v>180</v>
      </c>
      <c r="C176">
        <v>0.1</v>
      </c>
      <c r="D176">
        <v>17.5</v>
      </c>
      <c r="E176">
        <v>1000</v>
      </c>
      <c r="F176">
        <v>262.5</v>
      </c>
      <c r="G176">
        <v>15</v>
      </c>
      <c r="N176">
        <v>90</v>
      </c>
      <c r="Q176">
        <v>48.4</v>
      </c>
      <c r="R176">
        <v>6.5</v>
      </c>
      <c r="S176">
        <v>1</v>
      </c>
      <c r="T176">
        <v>43.9</v>
      </c>
      <c r="U176">
        <v>0.2</v>
      </c>
      <c r="V176">
        <v>1.6115702479338843</v>
      </c>
      <c r="W176">
        <v>0.68026859504132231</v>
      </c>
      <c r="X176">
        <v>16</v>
      </c>
      <c r="Y176">
        <v>20.100000000000001</v>
      </c>
      <c r="Z176">
        <v>56.6</v>
      </c>
      <c r="AA176">
        <v>4.7</v>
      </c>
      <c r="AB176">
        <v>0.9</v>
      </c>
      <c r="AC176">
        <v>37.700000000000003</v>
      </c>
      <c r="AD176">
        <v>0.1</v>
      </c>
      <c r="AE176">
        <v>0.99646643109540634</v>
      </c>
      <c r="AF176">
        <v>0.49955830388692585</v>
      </c>
      <c r="AG176">
        <v>29.4</v>
      </c>
      <c r="AH176">
        <v>20.9</v>
      </c>
      <c r="AI176">
        <v>74.599999999999994</v>
      </c>
    </row>
    <row r="177" spans="1:35" x14ac:dyDescent="0.5">
      <c r="A177">
        <v>360</v>
      </c>
      <c r="B177">
        <v>180</v>
      </c>
      <c r="C177">
        <v>0.1</v>
      </c>
      <c r="D177">
        <v>17.5</v>
      </c>
      <c r="E177">
        <v>1000</v>
      </c>
      <c r="F177">
        <v>262.5</v>
      </c>
      <c r="G177">
        <v>15</v>
      </c>
      <c r="N177">
        <v>90</v>
      </c>
      <c r="Q177">
        <v>48.4</v>
      </c>
      <c r="R177">
        <v>6.5</v>
      </c>
      <c r="S177">
        <v>1</v>
      </c>
      <c r="T177">
        <v>43.9</v>
      </c>
      <c r="U177">
        <v>0.2</v>
      </c>
      <c r="V177">
        <v>1.6115702479338843</v>
      </c>
      <c r="W177">
        <v>0.68026859504132231</v>
      </c>
      <c r="X177">
        <v>16</v>
      </c>
      <c r="Y177">
        <v>20.100000000000001</v>
      </c>
      <c r="Z177">
        <v>55.8</v>
      </c>
      <c r="AA177">
        <v>4.8</v>
      </c>
      <c r="AB177">
        <v>0.9</v>
      </c>
      <c r="AC177">
        <v>38.4</v>
      </c>
      <c r="AD177">
        <v>0.1</v>
      </c>
      <c r="AE177">
        <v>1.032258064516129</v>
      </c>
      <c r="AF177">
        <v>0.5161290322580645</v>
      </c>
      <c r="AG177">
        <v>26.4</v>
      </c>
      <c r="AH177">
        <v>20.7</v>
      </c>
      <c r="AI177">
        <v>69.8</v>
      </c>
    </row>
    <row r="178" spans="1:35" x14ac:dyDescent="0.5">
      <c r="A178">
        <v>480</v>
      </c>
      <c r="B178">
        <v>180</v>
      </c>
      <c r="C178">
        <v>0.1</v>
      </c>
      <c r="D178">
        <v>17.5</v>
      </c>
      <c r="E178">
        <v>1000</v>
      </c>
      <c r="F178">
        <v>262.5</v>
      </c>
      <c r="G178">
        <v>15</v>
      </c>
      <c r="N178">
        <v>90</v>
      </c>
      <c r="Q178">
        <v>48.4</v>
      </c>
      <c r="R178">
        <v>6.5</v>
      </c>
      <c r="S178">
        <v>1</v>
      </c>
      <c r="T178">
        <v>43.9</v>
      </c>
      <c r="U178">
        <v>0.2</v>
      </c>
      <c r="V178">
        <v>1.6115702479338843</v>
      </c>
      <c r="W178">
        <v>0.68026859504132231</v>
      </c>
      <c r="X178">
        <v>16</v>
      </c>
      <c r="Y178">
        <v>20.100000000000001</v>
      </c>
      <c r="Z178">
        <v>57.3</v>
      </c>
      <c r="AA178">
        <v>5</v>
      </c>
      <c r="AB178">
        <v>1</v>
      </c>
      <c r="AC178">
        <v>36.6</v>
      </c>
      <c r="AD178">
        <v>0.1</v>
      </c>
      <c r="AE178">
        <v>1.0471204188481678</v>
      </c>
      <c r="AF178">
        <v>0.47905759162303674</v>
      </c>
      <c r="AG178">
        <v>25.1</v>
      </c>
      <c r="AH178">
        <v>21.7</v>
      </c>
      <c r="AI178">
        <v>73.599999999999994</v>
      </c>
    </row>
    <row r="179" spans="1:35" x14ac:dyDescent="0.5">
      <c r="A179">
        <v>120</v>
      </c>
      <c r="B179">
        <v>200</v>
      </c>
      <c r="C179">
        <v>0.1</v>
      </c>
      <c r="D179">
        <v>17.5</v>
      </c>
      <c r="E179">
        <v>1000</v>
      </c>
      <c r="F179">
        <v>262.5</v>
      </c>
      <c r="G179">
        <v>15</v>
      </c>
      <c r="N179">
        <v>90</v>
      </c>
      <c r="Q179">
        <v>48.4</v>
      </c>
      <c r="R179">
        <v>6.5</v>
      </c>
      <c r="S179">
        <v>1</v>
      </c>
      <c r="T179">
        <v>43.9</v>
      </c>
      <c r="U179">
        <v>0.2</v>
      </c>
      <c r="V179">
        <v>1.6115702479338843</v>
      </c>
      <c r="W179">
        <v>0.68026859504132231</v>
      </c>
      <c r="X179">
        <v>16</v>
      </c>
      <c r="Y179">
        <v>20.100000000000001</v>
      </c>
      <c r="Z179">
        <v>56.6</v>
      </c>
      <c r="AA179">
        <v>5.2</v>
      </c>
      <c r="AB179">
        <v>1</v>
      </c>
      <c r="AC179">
        <v>37</v>
      </c>
      <c r="AD179">
        <v>0.1</v>
      </c>
      <c r="AE179">
        <v>1.1024734982332156</v>
      </c>
      <c r="AF179">
        <v>0.49028268551236748</v>
      </c>
      <c r="AG179">
        <v>19.8</v>
      </c>
      <c r="AH179">
        <v>21.7</v>
      </c>
      <c r="AI179">
        <v>58.7</v>
      </c>
    </row>
    <row r="180" spans="1:35" x14ac:dyDescent="0.5">
      <c r="A180">
        <v>240</v>
      </c>
      <c r="B180">
        <v>200</v>
      </c>
      <c r="C180">
        <v>0.1</v>
      </c>
      <c r="D180">
        <v>17.5</v>
      </c>
      <c r="E180">
        <v>1000</v>
      </c>
      <c r="F180">
        <v>262.5</v>
      </c>
      <c r="G180">
        <v>15</v>
      </c>
      <c r="N180">
        <v>90</v>
      </c>
      <c r="Q180">
        <v>48.4</v>
      </c>
      <c r="R180">
        <v>6.5</v>
      </c>
      <c r="S180">
        <v>1</v>
      </c>
      <c r="T180">
        <v>43.9</v>
      </c>
      <c r="U180">
        <v>0.2</v>
      </c>
      <c r="V180">
        <v>1.6115702479338843</v>
      </c>
      <c r="W180">
        <v>0.68026859504132231</v>
      </c>
      <c r="X180">
        <v>16</v>
      </c>
      <c r="Y180">
        <v>20.100000000000001</v>
      </c>
      <c r="Z180">
        <v>59.3</v>
      </c>
      <c r="AA180">
        <v>5.9</v>
      </c>
      <c r="AB180">
        <v>1</v>
      </c>
      <c r="AC180">
        <v>33.6</v>
      </c>
      <c r="AD180">
        <v>0.1</v>
      </c>
      <c r="AE180">
        <v>1.1939291736930862</v>
      </c>
      <c r="AF180">
        <v>0.4249578414839798</v>
      </c>
      <c r="AG180">
        <v>24.7</v>
      </c>
      <c r="AH180">
        <v>24</v>
      </c>
      <c r="AI180">
        <v>63.6</v>
      </c>
    </row>
    <row r="181" spans="1:35" x14ac:dyDescent="0.5">
      <c r="A181">
        <v>360</v>
      </c>
      <c r="B181">
        <v>200</v>
      </c>
      <c r="C181">
        <v>0.1</v>
      </c>
      <c r="D181">
        <v>17.5</v>
      </c>
      <c r="E181">
        <v>1000</v>
      </c>
      <c r="F181">
        <v>262.5</v>
      </c>
      <c r="G181">
        <v>15</v>
      </c>
      <c r="N181">
        <v>90</v>
      </c>
      <c r="Q181">
        <v>48.4</v>
      </c>
      <c r="R181">
        <v>6.5</v>
      </c>
      <c r="S181">
        <v>1</v>
      </c>
      <c r="T181">
        <v>43.9</v>
      </c>
      <c r="U181">
        <v>0.2</v>
      </c>
      <c r="V181">
        <v>1.6115702479338843</v>
      </c>
      <c r="W181">
        <v>0.68026859504132231</v>
      </c>
      <c r="X181">
        <v>16</v>
      </c>
      <c r="Y181">
        <v>20.100000000000001</v>
      </c>
      <c r="Z181">
        <v>57.4</v>
      </c>
      <c r="AA181">
        <v>5.0999999999999996</v>
      </c>
      <c r="AB181">
        <v>1</v>
      </c>
      <c r="AC181">
        <v>36.299999999999997</v>
      </c>
      <c r="AD181">
        <v>0.2</v>
      </c>
      <c r="AE181">
        <v>1.0662020905923344</v>
      </c>
      <c r="AF181">
        <v>0.4743031358885017</v>
      </c>
      <c r="AG181">
        <v>24.2</v>
      </c>
      <c r="AH181">
        <v>22</v>
      </c>
      <c r="AI181">
        <v>63.5</v>
      </c>
    </row>
    <row r="182" spans="1:35" x14ac:dyDescent="0.5">
      <c r="A182">
        <v>480</v>
      </c>
      <c r="B182">
        <v>200</v>
      </c>
      <c r="C182">
        <v>0.1</v>
      </c>
      <c r="D182">
        <v>17.5</v>
      </c>
      <c r="E182">
        <v>1000</v>
      </c>
      <c r="F182">
        <v>262.5</v>
      </c>
      <c r="G182">
        <v>15</v>
      </c>
      <c r="N182">
        <v>90</v>
      </c>
      <c r="Q182">
        <v>48.4</v>
      </c>
      <c r="R182">
        <v>6.5</v>
      </c>
      <c r="S182">
        <v>1</v>
      </c>
      <c r="T182">
        <v>43.9</v>
      </c>
      <c r="U182">
        <v>0.2</v>
      </c>
      <c r="V182">
        <v>1.6115702479338843</v>
      </c>
      <c r="W182">
        <v>0.68026859504132231</v>
      </c>
      <c r="X182">
        <v>16</v>
      </c>
      <c r="Y182">
        <v>20.100000000000001</v>
      </c>
      <c r="Z182">
        <v>58.7</v>
      </c>
      <c r="AA182">
        <v>5.4</v>
      </c>
      <c r="AB182">
        <v>1.2</v>
      </c>
      <c r="AC182">
        <v>34.6</v>
      </c>
      <c r="AD182">
        <v>0.2</v>
      </c>
      <c r="AE182">
        <v>1.1039182282793869</v>
      </c>
      <c r="AF182">
        <v>0.44207836456558774</v>
      </c>
      <c r="AG182">
        <v>21.6</v>
      </c>
      <c r="AH182">
        <v>22.9</v>
      </c>
      <c r="AI182">
        <v>57</v>
      </c>
    </row>
    <row r="183" spans="1:35" x14ac:dyDescent="0.5">
      <c r="A183">
        <v>120</v>
      </c>
      <c r="B183">
        <v>220</v>
      </c>
      <c r="C183">
        <v>0.1</v>
      </c>
      <c r="D183">
        <v>17.5</v>
      </c>
      <c r="E183">
        <v>1000</v>
      </c>
      <c r="F183">
        <v>262.5</v>
      </c>
      <c r="G183">
        <v>15</v>
      </c>
      <c r="N183">
        <v>90</v>
      </c>
      <c r="Q183">
        <v>48.4</v>
      </c>
      <c r="R183">
        <v>6.5</v>
      </c>
      <c r="S183">
        <v>1</v>
      </c>
      <c r="T183">
        <v>43.9</v>
      </c>
      <c r="U183">
        <v>0.2</v>
      </c>
      <c r="V183">
        <v>1.6115702479338843</v>
      </c>
      <c r="W183">
        <v>0.68026859504132231</v>
      </c>
      <c r="X183">
        <v>16</v>
      </c>
      <c r="Y183">
        <v>20.100000000000001</v>
      </c>
      <c r="Z183">
        <v>59.9</v>
      </c>
      <c r="AA183">
        <v>5.3</v>
      </c>
      <c r="AB183">
        <v>1.2</v>
      </c>
      <c r="AC183">
        <v>33.4</v>
      </c>
      <c r="AD183">
        <v>0.2</v>
      </c>
      <c r="AE183">
        <v>1.0617696160267112</v>
      </c>
      <c r="AF183">
        <v>0.41819699499165275</v>
      </c>
      <c r="AG183">
        <v>21.4</v>
      </c>
      <c r="AH183">
        <v>23.4</v>
      </c>
      <c r="AI183">
        <v>55.3</v>
      </c>
    </row>
    <row r="184" spans="1:35" x14ac:dyDescent="0.5">
      <c r="A184">
        <v>240</v>
      </c>
      <c r="B184">
        <v>220</v>
      </c>
      <c r="C184">
        <v>0.1</v>
      </c>
      <c r="D184">
        <v>17.5</v>
      </c>
      <c r="E184">
        <v>1000</v>
      </c>
      <c r="F184">
        <v>262.5</v>
      </c>
      <c r="G184">
        <v>15</v>
      </c>
      <c r="N184">
        <v>90</v>
      </c>
      <c r="Q184">
        <v>48.4</v>
      </c>
      <c r="R184">
        <v>6.5</v>
      </c>
      <c r="S184">
        <v>1</v>
      </c>
      <c r="T184">
        <v>43.9</v>
      </c>
      <c r="U184">
        <v>0.2</v>
      </c>
      <c r="V184">
        <v>1.6115702479338843</v>
      </c>
      <c r="W184">
        <v>0.68026859504132231</v>
      </c>
      <c r="X184">
        <v>16</v>
      </c>
      <c r="Y184">
        <v>20.100000000000001</v>
      </c>
      <c r="Z184">
        <v>64</v>
      </c>
      <c r="AA184">
        <v>5.5</v>
      </c>
      <c r="AB184">
        <v>1.5</v>
      </c>
      <c r="AC184">
        <v>28.8</v>
      </c>
      <c r="AD184">
        <v>0.2</v>
      </c>
      <c r="AE184">
        <v>1.03125</v>
      </c>
      <c r="AF184">
        <v>0.33750000000000002</v>
      </c>
      <c r="AG184">
        <v>19.399999999999999</v>
      </c>
      <c r="AH184">
        <v>25.5</v>
      </c>
      <c r="AI184">
        <v>48.8</v>
      </c>
    </row>
    <row r="185" spans="1:35" x14ac:dyDescent="0.5">
      <c r="A185">
        <v>360</v>
      </c>
      <c r="B185">
        <v>220</v>
      </c>
      <c r="C185">
        <v>0.1</v>
      </c>
      <c r="D185">
        <v>17.5</v>
      </c>
      <c r="E185">
        <v>1000</v>
      </c>
      <c r="F185">
        <v>262.5</v>
      </c>
      <c r="G185">
        <v>15</v>
      </c>
      <c r="N185">
        <v>90</v>
      </c>
      <c r="Q185">
        <v>48.4</v>
      </c>
      <c r="R185">
        <v>6.5</v>
      </c>
      <c r="S185">
        <v>1</v>
      </c>
      <c r="T185">
        <v>43.9</v>
      </c>
      <c r="U185">
        <v>0.2</v>
      </c>
      <c r="V185">
        <v>1.6115702479338843</v>
      </c>
      <c r="W185">
        <v>0.68026859504132231</v>
      </c>
      <c r="X185">
        <v>16</v>
      </c>
      <c r="Y185">
        <v>20.100000000000001</v>
      </c>
      <c r="Z185">
        <v>67.2</v>
      </c>
      <c r="AA185">
        <v>5.0999999999999996</v>
      </c>
      <c r="AB185">
        <v>1.4</v>
      </c>
      <c r="AC185">
        <v>26.1</v>
      </c>
      <c r="AD185">
        <v>0.2</v>
      </c>
      <c r="AE185">
        <v>0.91071428571428559</v>
      </c>
      <c r="AF185">
        <v>0.29129464285714285</v>
      </c>
      <c r="AG185">
        <v>26.8</v>
      </c>
      <c r="AH185">
        <v>26.3</v>
      </c>
      <c r="AI185">
        <v>57.9</v>
      </c>
    </row>
    <row r="186" spans="1:35" x14ac:dyDescent="0.5">
      <c r="A186">
        <v>480</v>
      </c>
      <c r="B186">
        <v>220</v>
      </c>
      <c r="C186">
        <v>0.1</v>
      </c>
      <c r="D186">
        <v>17.5</v>
      </c>
      <c r="E186">
        <v>1000</v>
      </c>
      <c r="F186">
        <v>262.5</v>
      </c>
      <c r="G186">
        <v>15</v>
      </c>
      <c r="N186">
        <v>90</v>
      </c>
      <c r="Q186">
        <v>48.4</v>
      </c>
      <c r="R186">
        <v>6.5</v>
      </c>
      <c r="S186">
        <v>1</v>
      </c>
      <c r="T186">
        <v>43.9</v>
      </c>
      <c r="U186">
        <v>0.2</v>
      </c>
      <c r="V186">
        <v>1.6115702479338843</v>
      </c>
      <c r="W186">
        <v>0.68026859504132231</v>
      </c>
      <c r="X186">
        <v>16</v>
      </c>
      <c r="Y186">
        <v>20.100000000000001</v>
      </c>
      <c r="Z186">
        <v>70.3</v>
      </c>
      <c r="AA186">
        <v>5.0999999999999996</v>
      </c>
      <c r="AB186">
        <v>1.5</v>
      </c>
      <c r="AC186">
        <v>22.9</v>
      </c>
      <c r="AD186">
        <v>0.2</v>
      </c>
      <c r="AE186">
        <v>0.87055476529160736</v>
      </c>
      <c r="AF186">
        <v>0.24431009957325744</v>
      </c>
      <c r="AG186">
        <v>24.6</v>
      </c>
      <c r="AH186">
        <v>27.7</v>
      </c>
      <c r="AI186">
        <v>53.3</v>
      </c>
    </row>
    <row r="187" spans="1:35" x14ac:dyDescent="0.5">
      <c r="A187">
        <v>120</v>
      </c>
      <c r="B187">
        <v>240</v>
      </c>
      <c r="C187">
        <v>0.1</v>
      </c>
      <c r="D187">
        <v>17.5</v>
      </c>
      <c r="E187">
        <v>1000</v>
      </c>
      <c r="F187">
        <v>262.5</v>
      </c>
      <c r="G187">
        <v>15</v>
      </c>
      <c r="N187">
        <v>90</v>
      </c>
      <c r="Q187">
        <v>48.4</v>
      </c>
      <c r="R187">
        <v>6.5</v>
      </c>
      <c r="S187">
        <v>1</v>
      </c>
      <c r="T187">
        <v>43.9</v>
      </c>
      <c r="U187">
        <v>0.2</v>
      </c>
      <c r="V187">
        <v>1.6115702479338843</v>
      </c>
      <c r="W187">
        <v>0.68026859504132231</v>
      </c>
      <c r="X187">
        <v>16</v>
      </c>
      <c r="Y187">
        <v>20.100000000000001</v>
      </c>
      <c r="Z187">
        <v>70.599999999999994</v>
      </c>
      <c r="AA187">
        <v>4.7</v>
      </c>
      <c r="AB187">
        <v>1.6</v>
      </c>
      <c r="AC187">
        <v>23</v>
      </c>
      <c r="AD187">
        <v>0.2</v>
      </c>
      <c r="AE187">
        <v>0.79886685552407943</v>
      </c>
      <c r="AF187">
        <v>0.24433427762039661</v>
      </c>
      <c r="AG187">
        <v>28.6</v>
      </c>
      <c r="AH187">
        <v>27.3</v>
      </c>
      <c r="AI187">
        <v>56.8</v>
      </c>
    </row>
    <row r="188" spans="1:35" x14ac:dyDescent="0.5">
      <c r="A188">
        <v>240</v>
      </c>
      <c r="B188">
        <v>240</v>
      </c>
      <c r="C188">
        <v>0.1</v>
      </c>
      <c r="D188">
        <v>17.5</v>
      </c>
      <c r="E188">
        <v>1000</v>
      </c>
      <c r="F188">
        <v>262.5</v>
      </c>
      <c r="G188">
        <v>15</v>
      </c>
      <c r="N188">
        <v>90</v>
      </c>
      <c r="Q188">
        <v>48.4</v>
      </c>
      <c r="R188">
        <v>6.5</v>
      </c>
      <c r="S188">
        <v>1</v>
      </c>
      <c r="T188">
        <v>43.9</v>
      </c>
      <c r="U188">
        <v>0.2</v>
      </c>
      <c r="V188">
        <v>1.6115702479338843</v>
      </c>
      <c r="W188">
        <v>0.68026859504132231</v>
      </c>
      <c r="X188">
        <v>16</v>
      </c>
      <c r="Y188">
        <v>20.100000000000001</v>
      </c>
      <c r="Z188">
        <v>73.2</v>
      </c>
      <c r="AA188">
        <v>4.8</v>
      </c>
      <c r="AB188">
        <v>1.7</v>
      </c>
      <c r="AC188">
        <v>20.100000000000001</v>
      </c>
      <c r="AD188">
        <v>0.2</v>
      </c>
      <c r="AE188">
        <v>0.78688524590163922</v>
      </c>
      <c r="AF188">
        <v>0.20594262295081966</v>
      </c>
      <c r="AG188">
        <v>25.8</v>
      </c>
      <c r="AH188">
        <v>28.6</v>
      </c>
      <c r="AI188">
        <v>51.6</v>
      </c>
    </row>
    <row r="189" spans="1:35" x14ac:dyDescent="0.5">
      <c r="A189">
        <v>360</v>
      </c>
      <c r="B189">
        <v>240</v>
      </c>
      <c r="C189">
        <v>0.1</v>
      </c>
      <c r="D189">
        <v>17.5</v>
      </c>
      <c r="E189">
        <v>1000</v>
      </c>
      <c r="F189">
        <v>262.5</v>
      </c>
      <c r="G189">
        <v>15</v>
      </c>
      <c r="N189">
        <v>90</v>
      </c>
      <c r="Q189">
        <v>48.4</v>
      </c>
      <c r="R189">
        <v>6.5</v>
      </c>
      <c r="S189">
        <v>1</v>
      </c>
      <c r="T189">
        <v>43.9</v>
      </c>
      <c r="U189">
        <v>0.2</v>
      </c>
      <c r="V189">
        <v>1.6115702479338843</v>
      </c>
      <c r="W189">
        <v>0.68026859504132231</v>
      </c>
      <c r="X189">
        <v>16</v>
      </c>
      <c r="Y189">
        <v>20.100000000000001</v>
      </c>
      <c r="Z189">
        <v>74.099999999999994</v>
      </c>
      <c r="AA189">
        <v>5.0999999999999996</v>
      </c>
      <c r="AB189">
        <v>1.8</v>
      </c>
      <c r="AC189">
        <v>18.8</v>
      </c>
      <c r="AD189">
        <v>0.2</v>
      </c>
      <c r="AE189">
        <v>0.82591093117408898</v>
      </c>
      <c r="AF189">
        <v>0.19028340080971662</v>
      </c>
      <c r="AG189">
        <v>24.7</v>
      </c>
      <c r="AH189">
        <v>29.5</v>
      </c>
      <c r="AI189">
        <v>49.3</v>
      </c>
    </row>
    <row r="190" spans="1:35" x14ac:dyDescent="0.5">
      <c r="A190">
        <v>480</v>
      </c>
      <c r="B190">
        <v>240</v>
      </c>
      <c r="C190">
        <v>0.1</v>
      </c>
      <c r="D190">
        <v>17.5</v>
      </c>
      <c r="E190">
        <v>1000</v>
      </c>
      <c r="F190">
        <v>262.5</v>
      </c>
      <c r="G190">
        <v>15</v>
      </c>
      <c r="N190">
        <v>90</v>
      </c>
      <c r="Q190">
        <v>48.4</v>
      </c>
      <c r="R190">
        <v>6.5</v>
      </c>
      <c r="S190">
        <v>1</v>
      </c>
      <c r="T190">
        <v>43.9</v>
      </c>
      <c r="U190">
        <v>0.2</v>
      </c>
      <c r="V190">
        <v>1.6115702479338843</v>
      </c>
      <c r="W190">
        <v>0.68026859504132231</v>
      </c>
      <c r="X190">
        <v>16</v>
      </c>
      <c r="Y190">
        <v>20.100000000000001</v>
      </c>
      <c r="Z190">
        <v>74.5</v>
      </c>
      <c r="AA190">
        <v>5</v>
      </c>
      <c r="AB190">
        <v>1.8</v>
      </c>
      <c r="AC190">
        <v>18.5</v>
      </c>
      <c r="AD190">
        <v>0.2</v>
      </c>
      <c r="AE190">
        <v>0.80536912751677858</v>
      </c>
      <c r="AF190">
        <v>0.18624161073825504</v>
      </c>
      <c r="AG190">
        <v>25.7</v>
      </c>
      <c r="AH190">
        <v>29.5</v>
      </c>
      <c r="AI190">
        <v>50.5</v>
      </c>
    </row>
    <row r="191" spans="1:35" x14ac:dyDescent="0.5">
      <c r="A191">
        <v>120</v>
      </c>
      <c r="B191">
        <v>260</v>
      </c>
      <c r="C191">
        <v>0.1</v>
      </c>
      <c r="D191">
        <v>17.5</v>
      </c>
      <c r="E191">
        <v>1000</v>
      </c>
      <c r="F191">
        <v>262.5</v>
      </c>
      <c r="G191">
        <v>15</v>
      </c>
      <c r="N191">
        <v>90</v>
      </c>
      <c r="Q191">
        <v>48.4</v>
      </c>
      <c r="R191">
        <v>6.5</v>
      </c>
      <c r="S191">
        <v>1</v>
      </c>
      <c r="T191">
        <v>43.9</v>
      </c>
      <c r="U191">
        <v>0.2</v>
      </c>
      <c r="V191">
        <v>1.6115702479338843</v>
      </c>
      <c r="W191">
        <v>0.68026859504132231</v>
      </c>
      <c r="X191">
        <v>16</v>
      </c>
      <c r="Y191">
        <v>20.100000000000001</v>
      </c>
      <c r="Z191">
        <v>64.2</v>
      </c>
      <c r="AA191">
        <v>4</v>
      </c>
      <c r="AB191">
        <v>1.6</v>
      </c>
      <c r="AC191">
        <v>30</v>
      </c>
      <c r="AD191">
        <v>0.1</v>
      </c>
      <c r="AE191">
        <v>0.74766355140186913</v>
      </c>
      <c r="AF191">
        <v>0.35046728971962615</v>
      </c>
      <c r="AG191">
        <v>20.3</v>
      </c>
      <c r="AH191">
        <v>23.3</v>
      </c>
      <c r="AI191">
        <v>45.9</v>
      </c>
    </row>
    <row r="192" spans="1:35" x14ac:dyDescent="0.5">
      <c r="A192">
        <v>240</v>
      </c>
      <c r="B192">
        <v>260</v>
      </c>
      <c r="C192">
        <v>0.1</v>
      </c>
      <c r="D192">
        <v>17.5</v>
      </c>
      <c r="E192">
        <v>1000</v>
      </c>
      <c r="F192">
        <v>262.5</v>
      </c>
      <c r="G192">
        <v>15</v>
      </c>
      <c r="N192">
        <v>90</v>
      </c>
      <c r="Q192">
        <v>48.4</v>
      </c>
      <c r="R192">
        <v>6.5</v>
      </c>
      <c r="S192">
        <v>1</v>
      </c>
      <c r="T192">
        <v>43.9</v>
      </c>
      <c r="U192">
        <v>0.2</v>
      </c>
      <c r="V192">
        <v>1.6115702479338843</v>
      </c>
      <c r="W192">
        <v>0.68026859504132231</v>
      </c>
      <c r="X192">
        <v>16</v>
      </c>
      <c r="Y192">
        <v>20.100000000000001</v>
      </c>
      <c r="Z192">
        <v>71.400000000000006</v>
      </c>
      <c r="AA192">
        <v>4.7</v>
      </c>
      <c r="AB192">
        <v>1.6</v>
      </c>
      <c r="AC192">
        <v>22.2</v>
      </c>
      <c r="AD192">
        <v>0.2</v>
      </c>
      <c r="AE192">
        <v>0.78991596638655459</v>
      </c>
      <c r="AF192">
        <v>0.23319327731092435</v>
      </c>
      <c r="AG192">
        <v>25</v>
      </c>
      <c r="AH192">
        <v>27.6</v>
      </c>
      <c r="AI192">
        <v>51.1</v>
      </c>
    </row>
    <row r="193" spans="1:43" x14ac:dyDescent="0.5">
      <c r="A193">
        <v>360</v>
      </c>
      <c r="B193">
        <v>260</v>
      </c>
      <c r="C193">
        <v>0.1</v>
      </c>
      <c r="D193">
        <v>17.5</v>
      </c>
      <c r="E193">
        <v>1000</v>
      </c>
      <c r="F193">
        <v>262.5</v>
      </c>
      <c r="G193">
        <v>15</v>
      </c>
      <c r="N193">
        <v>90</v>
      </c>
      <c r="Q193">
        <v>48.4</v>
      </c>
      <c r="R193">
        <v>6.5</v>
      </c>
      <c r="S193">
        <v>1</v>
      </c>
      <c r="T193">
        <v>43.9</v>
      </c>
      <c r="U193">
        <v>0.2</v>
      </c>
      <c r="V193">
        <v>1.6115702479338843</v>
      </c>
      <c r="W193">
        <v>0.68026859504132231</v>
      </c>
      <c r="X193">
        <v>16</v>
      </c>
      <c r="Y193">
        <v>20.100000000000001</v>
      </c>
      <c r="Z193">
        <v>70.599999999999994</v>
      </c>
      <c r="AA193">
        <v>4.0999999999999996</v>
      </c>
      <c r="AB193">
        <v>1.5</v>
      </c>
      <c r="AC193">
        <v>23.6</v>
      </c>
      <c r="AD193">
        <v>0.2</v>
      </c>
      <c r="AE193">
        <v>0.69688385269121811</v>
      </c>
      <c r="AF193">
        <v>0.25070821529745047</v>
      </c>
      <c r="AG193">
        <v>32.6</v>
      </c>
      <c r="AH193">
        <v>26.3</v>
      </c>
      <c r="AI193">
        <v>57.6</v>
      </c>
    </row>
    <row r="194" spans="1:43" x14ac:dyDescent="0.5">
      <c r="A194">
        <v>480</v>
      </c>
      <c r="B194">
        <v>260</v>
      </c>
      <c r="C194">
        <v>0.1</v>
      </c>
      <c r="D194">
        <v>17.5</v>
      </c>
      <c r="E194">
        <v>1000</v>
      </c>
      <c r="F194">
        <v>262.5</v>
      </c>
      <c r="G194">
        <v>15</v>
      </c>
      <c r="N194">
        <v>90</v>
      </c>
      <c r="Q194">
        <v>48.4</v>
      </c>
      <c r="R194">
        <v>6.5</v>
      </c>
      <c r="S194">
        <v>1</v>
      </c>
      <c r="T194">
        <v>43.9</v>
      </c>
      <c r="U194">
        <v>0.2</v>
      </c>
      <c r="V194">
        <v>1.6115702479338843</v>
      </c>
      <c r="W194">
        <v>0.68026859504132231</v>
      </c>
      <c r="X194">
        <v>16</v>
      </c>
      <c r="Y194">
        <v>20.100000000000001</v>
      </c>
      <c r="Z194">
        <v>74</v>
      </c>
      <c r="AA194">
        <v>4.9000000000000004</v>
      </c>
      <c r="AB194">
        <v>1.7</v>
      </c>
      <c r="AC194">
        <v>19.2</v>
      </c>
      <c r="AD194">
        <v>0.2</v>
      </c>
      <c r="AE194">
        <v>0.79459459459459458</v>
      </c>
      <c r="AF194">
        <v>0.19459459459459458</v>
      </c>
      <c r="AG194">
        <v>27.8</v>
      </c>
      <c r="AH194">
        <v>29.1</v>
      </c>
      <c r="AI194">
        <v>53.3</v>
      </c>
    </row>
    <row r="195" spans="1:43" x14ac:dyDescent="0.5">
      <c r="A195">
        <v>120</v>
      </c>
      <c r="B195">
        <v>250</v>
      </c>
      <c r="C195">
        <v>0.1</v>
      </c>
      <c r="D195">
        <v>35</v>
      </c>
      <c r="E195">
        <v>500</v>
      </c>
      <c r="F195">
        <v>350</v>
      </c>
      <c r="G195">
        <v>10</v>
      </c>
      <c r="N195">
        <v>76.8</v>
      </c>
      <c r="O195">
        <v>65.7</v>
      </c>
      <c r="P195">
        <v>3.8</v>
      </c>
      <c r="Q195">
        <v>32.9</v>
      </c>
      <c r="R195">
        <v>3</v>
      </c>
      <c r="S195">
        <v>4</v>
      </c>
      <c r="T195">
        <v>29.4</v>
      </c>
      <c r="U195">
        <v>0.2</v>
      </c>
      <c r="V195">
        <v>1.094224924012158</v>
      </c>
      <c r="W195">
        <v>0.67021276595744672</v>
      </c>
      <c r="X195">
        <v>30.5</v>
      </c>
      <c r="Y195">
        <v>13.2</v>
      </c>
      <c r="Z195">
        <v>34.4</v>
      </c>
      <c r="AA195">
        <v>3.6</v>
      </c>
      <c r="AB195">
        <v>1.8</v>
      </c>
      <c r="AC195">
        <v>12</v>
      </c>
      <c r="AD195">
        <v>0.7</v>
      </c>
      <c r="AE195">
        <v>1.2558139534883721</v>
      </c>
      <c r="AF195">
        <v>0.26162790697674421</v>
      </c>
      <c r="AG195">
        <v>47.7</v>
      </c>
      <c r="AH195">
        <v>13.89</v>
      </c>
      <c r="AI195">
        <v>51</v>
      </c>
      <c r="AJ195" t="s">
        <v>74</v>
      </c>
    </row>
    <row r="196" spans="1:43" x14ac:dyDescent="0.5">
      <c r="A196">
        <v>120</v>
      </c>
      <c r="B196">
        <v>250</v>
      </c>
      <c r="C196">
        <v>0.1</v>
      </c>
      <c r="D196">
        <v>35</v>
      </c>
      <c r="E196">
        <v>500</v>
      </c>
      <c r="F196">
        <v>350</v>
      </c>
      <c r="G196">
        <v>10</v>
      </c>
      <c r="N196">
        <v>35</v>
      </c>
      <c r="O196">
        <v>74.099999999999994</v>
      </c>
      <c r="P196">
        <v>13.3</v>
      </c>
      <c r="Q196">
        <v>39.4</v>
      </c>
      <c r="R196">
        <v>5.3</v>
      </c>
      <c r="S196">
        <v>1</v>
      </c>
      <c r="T196">
        <v>41.3</v>
      </c>
      <c r="U196">
        <v>0.5</v>
      </c>
      <c r="V196">
        <v>1.6142131979695431</v>
      </c>
      <c r="W196">
        <v>0.78616751269035534</v>
      </c>
      <c r="X196">
        <v>12.6</v>
      </c>
      <c r="Y196">
        <v>16.7</v>
      </c>
      <c r="Z196">
        <v>54.5</v>
      </c>
      <c r="AA196">
        <v>5.2</v>
      </c>
      <c r="AB196">
        <v>0.8</v>
      </c>
      <c r="AC196">
        <v>18.899999999999999</v>
      </c>
      <c r="AD196">
        <v>0.6</v>
      </c>
      <c r="AE196">
        <v>1.144954128440367</v>
      </c>
      <c r="AF196">
        <v>0.26009174311926603</v>
      </c>
      <c r="AG196">
        <v>20</v>
      </c>
      <c r="AH196">
        <v>20.73</v>
      </c>
      <c r="AI196">
        <v>47</v>
      </c>
    </row>
    <row r="197" spans="1:43" x14ac:dyDescent="0.5">
      <c r="A197">
        <v>120</v>
      </c>
      <c r="B197">
        <v>250</v>
      </c>
      <c r="C197">
        <v>0.1</v>
      </c>
      <c r="D197">
        <v>35</v>
      </c>
      <c r="E197">
        <v>500</v>
      </c>
      <c r="F197">
        <v>350</v>
      </c>
      <c r="G197">
        <v>10</v>
      </c>
      <c r="N197">
        <v>55.9</v>
      </c>
      <c r="O197">
        <v>69.900000000000006</v>
      </c>
      <c r="P197">
        <v>8.5500000000000007</v>
      </c>
      <c r="Q197">
        <v>36.15</v>
      </c>
      <c r="R197">
        <v>4.1500000000000004</v>
      </c>
      <c r="S197">
        <v>2.5</v>
      </c>
      <c r="T197">
        <v>35.349999999999994</v>
      </c>
      <c r="U197">
        <v>0.35</v>
      </c>
      <c r="V197">
        <v>1.3775933609958508</v>
      </c>
      <c r="W197">
        <v>0.73340248962655596</v>
      </c>
      <c r="X197">
        <v>21.55</v>
      </c>
      <c r="Y197">
        <v>14.95</v>
      </c>
      <c r="Z197">
        <v>44.1</v>
      </c>
      <c r="AA197">
        <v>4.5999999999999996</v>
      </c>
      <c r="AB197">
        <v>1.7</v>
      </c>
      <c r="AC197">
        <v>15.7</v>
      </c>
      <c r="AD197">
        <v>0.6</v>
      </c>
      <c r="AE197">
        <v>1.2517006802721087</v>
      </c>
      <c r="AF197">
        <v>0.2670068027210884</v>
      </c>
      <c r="AG197">
        <v>33.4</v>
      </c>
      <c r="AH197">
        <v>18.850000000000001</v>
      </c>
      <c r="AI197">
        <v>44</v>
      </c>
      <c r="AL197" s="6"/>
      <c r="AM197" s="6"/>
      <c r="AN197" s="6"/>
      <c r="AO197" s="6"/>
      <c r="AP197" s="6"/>
    </row>
    <row r="198" spans="1:43" x14ac:dyDescent="0.5">
      <c r="A198">
        <v>60</v>
      </c>
      <c r="B198">
        <v>150</v>
      </c>
      <c r="C198">
        <v>0.1</v>
      </c>
      <c r="D198">
        <v>40</v>
      </c>
      <c r="E198">
        <v>600</v>
      </c>
      <c r="F198">
        <v>200</v>
      </c>
      <c r="G198">
        <v>5</v>
      </c>
      <c r="H198">
        <v>17.7</v>
      </c>
      <c r="O198">
        <v>70.2</v>
      </c>
      <c r="P198">
        <v>13.8</v>
      </c>
      <c r="Q198">
        <v>44.1</v>
      </c>
      <c r="R198">
        <v>5.0999999999999996</v>
      </c>
      <c r="S198">
        <v>3.2</v>
      </c>
      <c r="T198">
        <v>31.3</v>
      </c>
      <c r="U198">
        <v>0.3</v>
      </c>
      <c r="V198">
        <v>1.3877551020408161</v>
      </c>
      <c r="W198">
        <v>0.53231292517006801</v>
      </c>
      <c r="X198">
        <v>16</v>
      </c>
      <c r="Y198">
        <v>17.8</v>
      </c>
      <c r="Z198">
        <v>44.2</v>
      </c>
      <c r="AA198">
        <v>4.8</v>
      </c>
      <c r="AB198">
        <v>3.1</v>
      </c>
      <c r="AC198">
        <v>27.5</v>
      </c>
      <c r="AD198">
        <v>0</v>
      </c>
      <c r="AE198">
        <v>1.3031674208144794</v>
      </c>
      <c r="AF198">
        <v>0.46662895927601805</v>
      </c>
      <c r="AG198">
        <v>20.399999999999999</v>
      </c>
      <c r="AH198">
        <v>17.899999999999999</v>
      </c>
      <c r="AI198">
        <v>82.7</v>
      </c>
      <c r="AJ198" t="s">
        <v>76</v>
      </c>
      <c r="AL198" s="7"/>
      <c r="AM198" s="7"/>
      <c r="AN198" s="7"/>
      <c r="AO198" s="7"/>
      <c r="AP198" s="7"/>
    </row>
    <row r="199" spans="1:43" x14ac:dyDescent="0.5">
      <c r="A199">
        <v>60</v>
      </c>
      <c r="B199">
        <v>200</v>
      </c>
      <c r="C199">
        <v>0.1</v>
      </c>
      <c r="D199">
        <v>40</v>
      </c>
      <c r="E199">
        <v>600</v>
      </c>
      <c r="F199">
        <v>200</v>
      </c>
      <c r="G199">
        <v>5</v>
      </c>
      <c r="H199">
        <v>17.7</v>
      </c>
      <c r="O199">
        <v>70.2</v>
      </c>
      <c r="P199">
        <v>13.8</v>
      </c>
      <c r="Q199">
        <v>44.1</v>
      </c>
      <c r="R199">
        <v>5.0999999999999996</v>
      </c>
      <c r="S199">
        <v>3.2</v>
      </c>
      <c r="T199">
        <v>31.3</v>
      </c>
      <c r="U199">
        <v>0.3</v>
      </c>
      <c r="V199">
        <v>1.3877551020408161</v>
      </c>
      <c r="W199">
        <v>0.53231292517006801</v>
      </c>
      <c r="X199">
        <v>16</v>
      </c>
      <c r="Y199">
        <v>17.8</v>
      </c>
      <c r="Z199">
        <v>50.8</v>
      </c>
      <c r="AA199">
        <v>6</v>
      </c>
      <c r="AB199">
        <v>3.3</v>
      </c>
      <c r="AC199">
        <v>24.4</v>
      </c>
      <c r="AD199">
        <v>0.1</v>
      </c>
      <c r="AE199">
        <v>1.4173228346456692</v>
      </c>
      <c r="AF199">
        <v>0.36023622047244092</v>
      </c>
      <c r="AG199">
        <v>15.3</v>
      </c>
      <c r="AH199">
        <v>20.7</v>
      </c>
      <c r="AI199">
        <v>67.8</v>
      </c>
      <c r="AL199" s="7"/>
      <c r="AM199" s="7"/>
      <c r="AN199" s="7"/>
      <c r="AO199" s="7"/>
      <c r="AP199" s="7"/>
      <c r="AQ199" s="6"/>
    </row>
    <row r="200" spans="1:43" x14ac:dyDescent="0.5">
      <c r="A200">
        <v>60</v>
      </c>
      <c r="B200">
        <v>250</v>
      </c>
      <c r="C200">
        <v>0.1</v>
      </c>
      <c r="D200">
        <v>40</v>
      </c>
      <c r="E200">
        <v>600</v>
      </c>
      <c r="F200">
        <v>200</v>
      </c>
      <c r="G200">
        <v>5</v>
      </c>
      <c r="H200">
        <v>17.7</v>
      </c>
      <c r="O200">
        <v>70.2</v>
      </c>
      <c r="P200">
        <v>13.8</v>
      </c>
      <c r="Q200">
        <v>44.1</v>
      </c>
      <c r="R200">
        <v>5.0999999999999996</v>
      </c>
      <c r="S200">
        <v>3.2</v>
      </c>
      <c r="T200">
        <v>31.3</v>
      </c>
      <c r="U200">
        <v>0.3</v>
      </c>
      <c r="V200">
        <v>1.3877551020408161</v>
      </c>
      <c r="W200">
        <v>0.53231292517006801</v>
      </c>
      <c r="X200">
        <v>16</v>
      </c>
      <c r="Y200">
        <v>17.8</v>
      </c>
      <c r="Z200">
        <v>57.1</v>
      </c>
      <c r="AA200">
        <v>6.6</v>
      </c>
      <c r="AB200">
        <v>3.9</v>
      </c>
      <c r="AC200">
        <v>12</v>
      </c>
      <c r="AD200">
        <v>0.2</v>
      </c>
      <c r="AE200">
        <v>1.3870402802101574</v>
      </c>
      <c r="AF200">
        <v>0.15761821366024517</v>
      </c>
      <c r="AG200">
        <v>20.2</v>
      </c>
      <c r="AH200">
        <v>24.2</v>
      </c>
      <c r="AI200">
        <v>51.1</v>
      </c>
      <c r="AL200" s="7"/>
      <c r="AM200" s="7"/>
      <c r="AN200" s="7"/>
      <c r="AO200" s="7"/>
      <c r="AP200" s="7"/>
      <c r="AQ200" s="7"/>
    </row>
    <row r="201" spans="1:43" x14ac:dyDescent="0.5">
      <c r="A201">
        <v>60</v>
      </c>
      <c r="B201">
        <v>150</v>
      </c>
      <c r="C201">
        <v>0.1</v>
      </c>
      <c r="D201">
        <v>40</v>
      </c>
      <c r="E201">
        <v>600</v>
      </c>
      <c r="F201">
        <v>200</v>
      </c>
      <c r="G201">
        <v>5</v>
      </c>
      <c r="H201">
        <v>6.8</v>
      </c>
      <c r="O201">
        <v>36.200000000000003</v>
      </c>
      <c r="P201">
        <v>8.3000000000000007</v>
      </c>
      <c r="Q201">
        <v>24.1</v>
      </c>
      <c r="R201">
        <v>1.7</v>
      </c>
      <c r="S201">
        <v>1.5</v>
      </c>
      <c r="T201">
        <v>16.899999999999999</v>
      </c>
      <c r="U201">
        <v>0.2</v>
      </c>
      <c r="V201">
        <v>0.84647302904564314</v>
      </c>
      <c r="W201">
        <v>0.52593360995850624</v>
      </c>
      <c r="X201">
        <v>55.5</v>
      </c>
      <c r="Y201">
        <v>15.6</v>
      </c>
      <c r="Z201">
        <v>23.8</v>
      </c>
      <c r="AA201">
        <v>2.1</v>
      </c>
      <c r="AB201">
        <v>1.2</v>
      </c>
      <c r="AC201">
        <v>19</v>
      </c>
      <c r="AD201">
        <v>0</v>
      </c>
      <c r="AE201">
        <v>1.0588235294117647</v>
      </c>
      <c r="AF201">
        <v>0.59873949579831931</v>
      </c>
      <c r="AG201">
        <v>54</v>
      </c>
      <c r="AH201">
        <v>15.2</v>
      </c>
      <c r="AI201">
        <v>90.6</v>
      </c>
      <c r="AL201" s="7"/>
      <c r="AM201" s="7"/>
      <c r="AN201" s="7"/>
      <c r="AO201" s="7"/>
      <c r="AP201" s="7"/>
      <c r="AQ201" s="7"/>
    </row>
    <row r="202" spans="1:43" x14ac:dyDescent="0.5">
      <c r="A202">
        <v>60</v>
      </c>
      <c r="B202">
        <v>200</v>
      </c>
      <c r="C202">
        <v>0.1</v>
      </c>
      <c r="D202">
        <v>40</v>
      </c>
      <c r="E202">
        <v>600</v>
      </c>
      <c r="F202">
        <v>200</v>
      </c>
      <c r="G202">
        <v>5</v>
      </c>
      <c r="H202">
        <v>6.8</v>
      </c>
      <c r="O202">
        <v>36.200000000000003</v>
      </c>
      <c r="P202">
        <v>8.3000000000000007</v>
      </c>
      <c r="Q202">
        <v>24.1</v>
      </c>
      <c r="R202">
        <v>1.7</v>
      </c>
      <c r="S202">
        <v>1.5</v>
      </c>
      <c r="T202">
        <v>16.899999999999999</v>
      </c>
      <c r="U202">
        <v>0.2</v>
      </c>
      <c r="V202">
        <v>0.84647302904564314</v>
      </c>
      <c r="W202">
        <v>0.52593360995850624</v>
      </c>
      <c r="X202">
        <v>55.5</v>
      </c>
      <c r="Y202">
        <v>15.6</v>
      </c>
      <c r="Z202">
        <v>21.4</v>
      </c>
      <c r="AA202">
        <v>1.6</v>
      </c>
      <c r="AB202">
        <v>0.9</v>
      </c>
      <c r="AC202">
        <v>13.9</v>
      </c>
      <c r="AD202">
        <v>0.1</v>
      </c>
      <c r="AE202">
        <v>0.89719626168224309</v>
      </c>
      <c r="AF202">
        <v>0.48714953271028044</v>
      </c>
      <c r="AG202">
        <v>62.1</v>
      </c>
      <c r="AH202">
        <v>15.6</v>
      </c>
      <c r="AI202">
        <v>87.1</v>
      </c>
      <c r="AL202" s="7"/>
      <c r="AM202" s="7"/>
      <c r="AN202" s="7"/>
      <c r="AO202" s="7"/>
      <c r="AP202" s="7"/>
      <c r="AQ202" s="7"/>
    </row>
    <row r="203" spans="1:43" x14ac:dyDescent="0.5">
      <c r="A203">
        <v>60</v>
      </c>
      <c r="B203">
        <v>250</v>
      </c>
      <c r="C203">
        <v>0.1</v>
      </c>
      <c r="D203">
        <v>40</v>
      </c>
      <c r="E203">
        <v>600</v>
      </c>
      <c r="F203">
        <v>200</v>
      </c>
      <c r="G203">
        <v>5</v>
      </c>
      <c r="H203">
        <v>6.8</v>
      </c>
      <c r="O203">
        <v>36.200000000000003</v>
      </c>
      <c r="P203">
        <v>8.3000000000000007</v>
      </c>
      <c r="Q203">
        <v>24.1</v>
      </c>
      <c r="R203">
        <v>1.7</v>
      </c>
      <c r="S203">
        <v>1.5</v>
      </c>
      <c r="T203">
        <v>16.899999999999999</v>
      </c>
      <c r="U203">
        <v>0.2</v>
      </c>
      <c r="V203">
        <v>0.84647302904564314</v>
      </c>
      <c r="W203">
        <v>0.52593360995850624</v>
      </c>
      <c r="X203">
        <v>55.5</v>
      </c>
      <c r="Y203">
        <v>15.6</v>
      </c>
      <c r="Z203">
        <v>21.7</v>
      </c>
      <c r="AA203">
        <v>1.6</v>
      </c>
      <c r="AB203">
        <v>0.8</v>
      </c>
      <c r="AC203">
        <v>7.9</v>
      </c>
      <c r="AD203">
        <v>0</v>
      </c>
      <c r="AE203">
        <v>0.88479262672811065</v>
      </c>
      <c r="AF203">
        <v>0.27304147465437789</v>
      </c>
      <c r="AG203">
        <v>68</v>
      </c>
      <c r="AH203">
        <v>15.6</v>
      </c>
      <c r="AI203">
        <v>84.4</v>
      </c>
      <c r="AL203" s="7"/>
      <c r="AM203" s="7"/>
      <c r="AN203" s="7"/>
      <c r="AO203" s="7"/>
      <c r="AP203" s="7"/>
      <c r="AQ203" s="7"/>
    </row>
    <row r="204" spans="1:43" x14ac:dyDescent="0.5">
      <c r="A204">
        <v>60</v>
      </c>
      <c r="B204">
        <v>150</v>
      </c>
      <c r="C204">
        <v>0.1</v>
      </c>
      <c r="D204">
        <v>40</v>
      </c>
      <c r="E204">
        <v>600</v>
      </c>
      <c r="F204">
        <v>200</v>
      </c>
      <c r="G204">
        <v>5</v>
      </c>
      <c r="H204">
        <v>24.3</v>
      </c>
      <c r="O204">
        <v>51</v>
      </c>
      <c r="P204">
        <v>2.1</v>
      </c>
      <c r="Q204">
        <v>28.6</v>
      </c>
      <c r="R204">
        <v>3.1</v>
      </c>
      <c r="S204">
        <v>3.4</v>
      </c>
      <c r="T204">
        <v>16.399999999999999</v>
      </c>
      <c r="U204">
        <v>1.5</v>
      </c>
      <c r="V204">
        <v>1.3006993006993008</v>
      </c>
      <c r="W204">
        <v>0.43006993006993005</v>
      </c>
      <c r="X204">
        <v>46.9</v>
      </c>
      <c r="Y204">
        <v>14.9</v>
      </c>
      <c r="Z204">
        <v>33.4</v>
      </c>
      <c r="AA204">
        <v>4.4000000000000004</v>
      </c>
      <c r="AB204">
        <v>3.2</v>
      </c>
      <c r="AC204">
        <v>15</v>
      </c>
      <c r="AD204">
        <v>0.3</v>
      </c>
      <c r="AE204">
        <v>1.5808383233532937</v>
      </c>
      <c r="AF204">
        <v>0.33682634730538924</v>
      </c>
      <c r="AG204">
        <v>43.8</v>
      </c>
      <c r="AH204">
        <v>15</v>
      </c>
      <c r="AI204">
        <v>87.1</v>
      </c>
      <c r="AL204" s="7"/>
      <c r="AM204" s="7"/>
      <c r="AN204" s="7"/>
      <c r="AO204" s="7"/>
      <c r="AP204" s="7"/>
      <c r="AQ204" s="7"/>
    </row>
    <row r="205" spans="1:43" x14ac:dyDescent="0.5">
      <c r="A205">
        <v>60</v>
      </c>
      <c r="B205">
        <v>200</v>
      </c>
      <c r="C205">
        <v>0.1</v>
      </c>
      <c r="D205">
        <v>40</v>
      </c>
      <c r="E205">
        <v>600</v>
      </c>
      <c r="F205">
        <v>200</v>
      </c>
      <c r="G205">
        <v>5</v>
      </c>
      <c r="H205">
        <v>24.3</v>
      </c>
      <c r="O205">
        <v>51</v>
      </c>
      <c r="P205">
        <v>2.1</v>
      </c>
      <c r="Q205">
        <v>28.6</v>
      </c>
      <c r="R205">
        <v>3.1</v>
      </c>
      <c r="S205">
        <v>3.4</v>
      </c>
      <c r="T205">
        <v>16.399999999999999</v>
      </c>
      <c r="U205">
        <v>1.5</v>
      </c>
      <c r="V205">
        <v>1.3006993006993008</v>
      </c>
      <c r="W205">
        <v>0.43006993006993005</v>
      </c>
      <c r="X205">
        <v>46.9</v>
      </c>
      <c r="Y205">
        <v>14.9</v>
      </c>
      <c r="Z205">
        <v>34</v>
      </c>
      <c r="AA205">
        <v>4.2</v>
      </c>
      <c r="AB205">
        <v>2.4</v>
      </c>
      <c r="AC205">
        <v>14</v>
      </c>
      <c r="AD205">
        <v>0.9</v>
      </c>
      <c r="AE205">
        <v>1.4823529411764707</v>
      </c>
      <c r="AF205">
        <v>0.30882352941176466</v>
      </c>
      <c r="AG205">
        <v>44.4</v>
      </c>
      <c r="AH205">
        <v>15.1</v>
      </c>
      <c r="AI205">
        <v>76.099999999999994</v>
      </c>
      <c r="AL205" s="7"/>
      <c r="AM205" s="7"/>
      <c r="AN205" s="7"/>
      <c r="AO205" s="7"/>
      <c r="AP205" s="7"/>
      <c r="AQ205" s="7"/>
    </row>
    <row r="206" spans="1:43" x14ac:dyDescent="0.5">
      <c r="A206">
        <v>60</v>
      </c>
      <c r="B206">
        <v>250</v>
      </c>
      <c r="C206">
        <v>0.1</v>
      </c>
      <c r="D206">
        <v>40</v>
      </c>
      <c r="E206">
        <v>600</v>
      </c>
      <c r="F206">
        <v>200</v>
      </c>
      <c r="G206">
        <v>5</v>
      </c>
      <c r="H206">
        <v>24.3</v>
      </c>
      <c r="O206">
        <v>51</v>
      </c>
      <c r="P206">
        <v>2.1</v>
      </c>
      <c r="Q206">
        <v>28.6</v>
      </c>
      <c r="R206">
        <v>3.1</v>
      </c>
      <c r="S206">
        <v>3.4</v>
      </c>
      <c r="T206">
        <v>16.399999999999999</v>
      </c>
      <c r="U206">
        <v>1.5</v>
      </c>
      <c r="V206">
        <v>1.3006993006993008</v>
      </c>
      <c r="W206">
        <v>0.43006993006993005</v>
      </c>
      <c r="X206">
        <v>46.9</v>
      </c>
      <c r="Y206">
        <v>14.9</v>
      </c>
      <c r="Z206">
        <v>34.700000000000003</v>
      </c>
      <c r="AA206">
        <v>4.0999999999999996</v>
      </c>
      <c r="AB206">
        <v>2.4</v>
      </c>
      <c r="AC206">
        <v>10.6</v>
      </c>
      <c r="AD206">
        <v>0.7</v>
      </c>
      <c r="AE206">
        <v>1.4178674351585012</v>
      </c>
      <c r="AF206">
        <v>0.22910662824207489</v>
      </c>
      <c r="AG206">
        <v>47.5</v>
      </c>
      <c r="AH206">
        <v>15.3</v>
      </c>
      <c r="AI206">
        <v>67.900000000000006</v>
      </c>
      <c r="AL206" s="7"/>
      <c r="AM206" s="7"/>
      <c r="AN206" s="7"/>
      <c r="AO206" s="7"/>
      <c r="AP206" s="7"/>
      <c r="AQ206" s="7"/>
    </row>
    <row r="207" spans="1:43" x14ac:dyDescent="0.5">
      <c r="A207">
        <v>60</v>
      </c>
      <c r="B207">
        <v>150</v>
      </c>
      <c r="C207">
        <v>0.1</v>
      </c>
      <c r="D207">
        <v>40</v>
      </c>
      <c r="E207">
        <v>600</v>
      </c>
      <c r="F207">
        <v>200</v>
      </c>
      <c r="G207">
        <v>5</v>
      </c>
      <c r="H207">
        <v>9.8000000000000007</v>
      </c>
      <c r="O207">
        <v>47.2</v>
      </c>
      <c r="P207">
        <v>9</v>
      </c>
      <c r="Q207">
        <v>29.5</v>
      </c>
      <c r="R207">
        <v>3</v>
      </c>
      <c r="S207">
        <v>2</v>
      </c>
      <c r="T207">
        <v>21.3</v>
      </c>
      <c r="U207">
        <v>0.3</v>
      </c>
      <c r="V207">
        <v>1.2203389830508473</v>
      </c>
      <c r="W207">
        <v>0.54152542372881352</v>
      </c>
      <c r="X207">
        <v>43.8</v>
      </c>
      <c r="Y207">
        <v>14.9</v>
      </c>
      <c r="Z207">
        <v>29.7</v>
      </c>
      <c r="AA207">
        <v>3</v>
      </c>
      <c r="AB207">
        <v>1.9</v>
      </c>
      <c r="AC207">
        <v>12.2</v>
      </c>
      <c r="AD207">
        <v>0</v>
      </c>
      <c r="AE207">
        <v>1.2121212121212122</v>
      </c>
      <c r="AF207">
        <v>0.30808080808080807</v>
      </c>
      <c r="AG207">
        <v>53.1</v>
      </c>
      <c r="AH207">
        <v>15</v>
      </c>
      <c r="AI207">
        <v>89</v>
      </c>
      <c r="AL207" s="7"/>
      <c r="AM207" s="7"/>
      <c r="AN207" s="7"/>
      <c r="AO207" s="7"/>
      <c r="AP207" s="7"/>
      <c r="AQ207" s="7"/>
    </row>
    <row r="208" spans="1:43" x14ac:dyDescent="0.5">
      <c r="A208">
        <v>60</v>
      </c>
      <c r="B208">
        <v>200</v>
      </c>
      <c r="C208">
        <v>0.1</v>
      </c>
      <c r="D208">
        <v>40</v>
      </c>
      <c r="E208">
        <v>600</v>
      </c>
      <c r="F208">
        <v>200</v>
      </c>
      <c r="G208">
        <v>5</v>
      </c>
      <c r="H208">
        <v>9.8000000000000007</v>
      </c>
      <c r="O208">
        <v>47.2</v>
      </c>
      <c r="P208">
        <v>9</v>
      </c>
      <c r="Q208">
        <v>29.5</v>
      </c>
      <c r="R208">
        <v>3</v>
      </c>
      <c r="S208">
        <v>2</v>
      </c>
      <c r="T208">
        <v>21.3</v>
      </c>
      <c r="U208">
        <v>0.3</v>
      </c>
      <c r="V208">
        <v>1.2203389830508473</v>
      </c>
      <c r="W208">
        <v>0.54152542372881352</v>
      </c>
      <c r="X208">
        <v>43.8</v>
      </c>
      <c r="Y208">
        <v>14.9</v>
      </c>
      <c r="Z208">
        <v>32.200000000000003</v>
      </c>
      <c r="AA208">
        <v>3.3</v>
      </c>
      <c r="AB208">
        <v>1.5</v>
      </c>
      <c r="AC208">
        <v>13.3</v>
      </c>
      <c r="AD208">
        <v>0.3</v>
      </c>
      <c r="AE208">
        <v>1.2298136645962732</v>
      </c>
      <c r="AF208">
        <v>0.30978260869565216</v>
      </c>
      <c r="AG208">
        <v>49.4</v>
      </c>
      <c r="AH208">
        <v>15.1</v>
      </c>
      <c r="AI208">
        <v>80.900000000000006</v>
      </c>
      <c r="AL208" s="7"/>
      <c r="AM208" s="7"/>
      <c r="AN208" s="7"/>
      <c r="AO208" s="7"/>
      <c r="AP208" s="7"/>
      <c r="AQ208" s="7"/>
    </row>
    <row r="209" spans="1:43" x14ac:dyDescent="0.5">
      <c r="A209">
        <v>60</v>
      </c>
      <c r="B209">
        <v>250</v>
      </c>
      <c r="C209">
        <v>0.1</v>
      </c>
      <c r="D209">
        <v>40</v>
      </c>
      <c r="E209">
        <v>600</v>
      </c>
      <c r="F209">
        <v>200</v>
      </c>
      <c r="G209">
        <v>5</v>
      </c>
      <c r="H209">
        <v>9.8000000000000007</v>
      </c>
      <c r="O209">
        <v>47.2</v>
      </c>
      <c r="P209">
        <v>9</v>
      </c>
      <c r="Q209">
        <v>29.5</v>
      </c>
      <c r="R209">
        <v>3</v>
      </c>
      <c r="S209">
        <v>2</v>
      </c>
      <c r="T209">
        <v>21.3</v>
      </c>
      <c r="U209">
        <v>0.3</v>
      </c>
      <c r="V209">
        <v>1.2203389830508473</v>
      </c>
      <c r="W209">
        <v>0.54152542372881352</v>
      </c>
      <c r="X209">
        <v>43.8</v>
      </c>
      <c r="Y209">
        <v>14.9</v>
      </c>
      <c r="Z209">
        <v>27.8</v>
      </c>
      <c r="AA209">
        <v>2.7</v>
      </c>
      <c r="AB209">
        <v>1.4</v>
      </c>
      <c r="AC209">
        <v>9</v>
      </c>
      <c r="AD209">
        <v>0.1</v>
      </c>
      <c r="AE209">
        <v>1.1654676258992807</v>
      </c>
      <c r="AF209">
        <v>0.24280575539568344</v>
      </c>
      <c r="AG209">
        <v>59</v>
      </c>
      <c r="AH209">
        <v>14.9</v>
      </c>
      <c r="AI209">
        <v>71.400000000000006</v>
      </c>
      <c r="AL209" s="7"/>
      <c r="AM209" s="7"/>
      <c r="AN209" s="7"/>
      <c r="AO209" s="7"/>
      <c r="AP209" s="7"/>
      <c r="AQ209" s="7"/>
    </row>
    <row r="210" spans="1:43" x14ac:dyDescent="0.5">
      <c r="A210">
        <v>60</v>
      </c>
      <c r="B210">
        <v>200</v>
      </c>
      <c r="C210">
        <v>0.1</v>
      </c>
      <c r="D210">
        <v>20</v>
      </c>
      <c r="E210">
        <v>600</v>
      </c>
      <c r="F210">
        <v>200</v>
      </c>
      <c r="G210">
        <v>10</v>
      </c>
      <c r="H210">
        <v>17.7</v>
      </c>
      <c r="O210">
        <v>70.2</v>
      </c>
      <c r="P210">
        <v>13.8</v>
      </c>
      <c r="Q210">
        <v>44.1</v>
      </c>
      <c r="R210">
        <v>5.0999999999999996</v>
      </c>
      <c r="S210">
        <v>3.2</v>
      </c>
      <c r="T210">
        <v>31.3</v>
      </c>
      <c r="U210">
        <v>0.3</v>
      </c>
      <c r="V210">
        <v>1.3877551020408161</v>
      </c>
      <c r="W210">
        <v>0.53231292517006801</v>
      </c>
      <c r="X210">
        <v>16</v>
      </c>
      <c r="Y210">
        <v>17.8</v>
      </c>
      <c r="Z210">
        <v>52</v>
      </c>
      <c r="AA210">
        <v>6.9</v>
      </c>
      <c r="AB210">
        <v>3.1</v>
      </c>
      <c r="AC210">
        <v>23.1</v>
      </c>
      <c r="AD210">
        <v>0.1</v>
      </c>
      <c r="AE210">
        <v>1.5923076923076924</v>
      </c>
      <c r="AF210">
        <v>0.33317307692307696</v>
      </c>
      <c r="AG210">
        <v>14.7</v>
      </c>
      <c r="AH210">
        <v>21.6</v>
      </c>
      <c r="AI210">
        <v>60</v>
      </c>
      <c r="AL210" s="7"/>
      <c r="AM210" s="7"/>
      <c r="AN210" s="7"/>
      <c r="AO210" s="7"/>
      <c r="AP210" s="7"/>
      <c r="AQ210" s="7"/>
    </row>
    <row r="211" spans="1:43" x14ac:dyDescent="0.5">
      <c r="A211">
        <v>60</v>
      </c>
      <c r="B211">
        <v>200</v>
      </c>
      <c r="C211">
        <v>0.1</v>
      </c>
      <c r="D211">
        <v>60</v>
      </c>
      <c r="E211">
        <v>600</v>
      </c>
      <c r="F211">
        <v>200</v>
      </c>
      <c r="G211">
        <v>3.3333333333333335</v>
      </c>
      <c r="H211">
        <v>17.7</v>
      </c>
      <c r="O211">
        <v>70.2</v>
      </c>
      <c r="P211">
        <v>13.8</v>
      </c>
      <c r="Q211">
        <v>44.1</v>
      </c>
      <c r="R211">
        <v>5.0999999999999996</v>
      </c>
      <c r="S211">
        <v>3.2</v>
      </c>
      <c r="T211">
        <v>31.3</v>
      </c>
      <c r="U211">
        <v>0.3</v>
      </c>
      <c r="V211">
        <v>1.3877551020408161</v>
      </c>
      <c r="W211">
        <v>0.53231292517006801</v>
      </c>
      <c r="X211">
        <v>16</v>
      </c>
      <c r="Y211">
        <v>17.8</v>
      </c>
      <c r="Z211">
        <v>51.2</v>
      </c>
      <c r="AA211">
        <v>6.1</v>
      </c>
      <c r="AB211">
        <v>3.5</v>
      </c>
      <c r="AC211">
        <v>22.8</v>
      </c>
      <c r="AD211">
        <v>0</v>
      </c>
      <c r="AE211">
        <v>1.4296875</v>
      </c>
      <c r="AF211">
        <v>0.333984375</v>
      </c>
      <c r="AG211">
        <v>16.3</v>
      </c>
      <c r="AH211">
        <v>20.9</v>
      </c>
      <c r="AI211">
        <v>80.099999999999994</v>
      </c>
      <c r="AL211" s="7"/>
      <c r="AM211" s="7"/>
      <c r="AN211" s="7"/>
      <c r="AO211" s="7"/>
      <c r="AP211" s="7"/>
      <c r="AQ211" s="7"/>
    </row>
    <row r="212" spans="1:43" x14ac:dyDescent="0.5">
      <c r="A212">
        <v>60</v>
      </c>
      <c r="B212">
        <v>250</v>
      </c>
      <c r="C212">
        <v>0.1</v>
      </c>
      <c r="D212">
        <v>20</v>
      </c>
      <c r="E212">
        <v>600</v>
      </c>
      <c r="F212">
        <v>200</v>
      </c>
      <c r="G212">
        <v>10</v>
      </c>
      <c r="H212">
        <v>17.7</v>
      </c>
      <c r="O212">
        <v>70.2</v>
      </c>
      <c r="P212">
        <v>13.8</v>
      </c>
      <c r="Q212">
        <v>44.1</v>
      </c>
      <c r="R212">
        <v>5.0999999999999996</v>
      </c>
      <c r="S212">
        <v>3.2</v>
      </c>
      <c r="T212">
        <v>31.3</v>
      </c>
      <c r="U212">
        <v>0.3</v>
      </c>
      <c r="V212">
        <v>1.3877551020408161</v>
      </c>
      <c r="W212">
        <v>0.53231292517006801</v>
      </c>
      <c r="X212">
        <v>16</v>
      </c>
      <c r="Y212">
        <v>17.8</v>
      </c>
      <c r="Z212">
        <v>57.3</v>
      </c>
      <c r="AA212">
        <v>6.3</v>
      </c>
      <c r="AB212">
        <v>3.6</v>
      </c>
      <c r="AC212">
        <v>11.5</v>
      </c>
      <c r="AD212">
        <v>0.2</v>
      </c>
      <c r="AE212">
        <v>1.3193717277486912</v>
      </c>
      <c r="AF212">
        <v>0.15052356020942409</v>
      </c>
      <c r="AG212">
        <v>21</v>
      </c>
      <c r="AH212">
        <v>24</v>
      </c>
      <c r="AI212">
        <v>47.2</v>
      </c>
      <c r="AL212" s="7"/>
      <c r="AM212" s="7"/>
      <c r="AN212" s="7"/>
      <c r="AO212" s="7"/>
      <c r="AP212" s="7"/>
      <c r="AQ212" s="7"/>
    </row>
    <row r="213" spans="1:43" x14ac:dyDescent="0.5">
      <c r="A213">
        <v>60</v>
      </c>
      <c r="B213">
        <v>250</v>
      </c>
      <c r="C213">
        <v>0.1</v>
      </c>
      <c r="D213">
        <v>60</v>
      </c>
      <c r="E213">
        <v>600</v>
      </c>
      <c r="F213">
        <v>200</v>
      </c>
      <c r="G213">
        <v>3.3333333333333335</v>
      </c>
      <c r="H213">
        <v>17.7</v>
      </c>
      <c r="O213">
        <v>70.2</v>
      </c>
      <c r="P213">
        <v>13.8</v>
      </c>
      <c r="Q213">
        <v>44.1</v>
      </c>
      <c r="R213">
        <v>5.0999999999999996</v>
      </c>
      <c r="S213">
        <v>3.2</v>
      </c>
      <c r="T213">
        <v>31.3</v>
      </c>
      <c r="U213">
        <v>0.3</v>
      </c>
      <c r="V213">
        <v>1.3877551020408161</v>
      </c>
      <c r="W213">
        <v>0.53231292517006801</v>
      </c>
      <c r="X213">
        <v>16</v>
      </c>
      <c r="Y213">
        <v>17.8</v>
      </c>
      <c r="Z213">
        <v>56.7</v>
      </c>
      <c r="AA213">
        <v>5.8</v>
      </c>
      <c r="AB213">
        <v>3.8</v>
      </c>
      <c r="AC213">
        <v>12.7</v>
      </c>
      <c r="AD213">
        <v>0.3</v>
      </c>
      <c r="AE213">
        <v>1.2275132275132274</v>
      </c>
      <c r="AF213">
        <v>0.16798941798941797</v>
      </c>
      <c r="AG213">
        <v>20.7</v>
      </c>
      <c r="AH213">
        <v>23.3</v>
      </c>
      <c r="AI213">
        <v>49.4</v>
      </c>
      <c r="AL213" s="7"/>
      <c r="AM213" s="7"/>
      <c r="AN213" s="7"/>
      <c r="AO213" s="7"/>
      <c r="AP213" s="7"/>
      <c r="AQ213" s="7"/>
    </row>
    <row r="214" spans="1:43" x14ac:dyDescent="0.5">
      <c r="A214">
        <v>60</v>
      </c>
      <c r="B214">
        <v>200</v>
      </c>
      <c r="C214">
        <v>0.1</v>
      </c>
      <c r="D214">
        <v>20</v>
      </c>
      <c r="E214">
        <v>600</v>
      </c>
      <c r="F214">
        <v>200</v>
      </c>
      <c r="G214">
        <v>10</v>
      </c>
      <c r="H214">
        <v>6.8</v>
      </c>
      <c r="O214">
        <v>36.200000000000003</v>
      </c>
      <c r="P214">
        <v>8.3000000000000007</v>
      </c>
      <c r="Q214">
        <v>24.1</v>
      </c>
      <c r="R214">
        <v>1.7</v>
      </c>
      <c r="S214">
        <v>1.5</v>
      </c>
      <c r="T214">
        <v>16.899999999999999</v>
      </c>
      <c r="U214">
        <v>0.2</v>
      </c>
      <c r="V214">
        <v>0.84647302904564314</v>
      </c>
      <c r="W214">
        <v>0.52593360995850624</v>
      </c>
      <c r="X214">
        <v>55.5</v>
      </c>
      <c r="Y214">
        <v>15.6</v>
      </c>
      <c r="Z214">
        <v>22.6</v>
      </c>
      <c r="AA214">
        <v>1.6</v>
      </c>
      <c r="AB214">
        <v>0.7</v>
      </c>
      <c r="AC214">
        <v>11.7</v>
      </c>
      <c r="AD214">
        <v>0.1</v>
      </c>
      <c r="AE214">
        <v>0.84955752212389379</v>
      </c>
      <c r="AF214">
        <v>0.38827433628318575</v>
      </c>
      <c r="AG214">
        <v>63.4</v>
      </c>
      <c r="AH214">
        <v>15.5</v>
      </c>
      <c r="AI214">
        <v>85</v>
      </c>
      <c r="AL214" s="7"/>
      <c r="AM214" s="7"/>
      <c r="AN214" s="7"/>
      <c r="AO214" s="7"/>
      <c r="AP214" s="7"/>
      <c r="AQ214" s="7"/>
    </row>
    <row r="215" spans="1:43" x14ac:dyDescent="0.5">
      <c r="A215">
        <v>60</v>
      </c>
      <c r="B215">
        <v>200</v>
      </c>
      <c r="C215">
        <v>0.1</v>
      </c>
      <c r="D215">
        <v>60</v>
      </c>
      <c r="E215">
        <v>600</v>
      </c>
      <c r="F215">
        <v>200</v>
      </c>
      <c r="G215">
        <v>3.3333333333333335</v>
      </c>
      <c r="H215">
        <v>6.8</v>
      </c>
      <c r="O215">
        <v>36.200000000000003</v>
      </c>
      <c r="P215">
        <v>8.3000000000000007</v>
      </c>
      <c r="Q215">
        <v>24.1</v>
      </c>
      <c r="R215">
        <v>1.7</v>
      </c>
      <c r="S215">
        <v>1.5</v>
      </c>
      <c r="T215">
        <v>16.899999999999999</v>
      </c>
      <c r="U215">
        <v>0.2</v>
      </c>
      <c r="V215">
        <v>0.84647302904564314</v>
      </c>
      <c r="W215">
        <v>0.52593360995850624</v>
      </c>
      <c r="X215">
        <v>55.5</v>
      </c>
      <c r="Y215">
        <v>15.6</v>
      </c>
      <c r="Z215">
        <v>24</v>
      </c>
      <c r="AA215">
        <v>1.8</v>
      </c>
      <c r="AB215">
        <v>0.9</v>
      </c>
      <c r="AC215">
        <v>12.2</v>
      </c>
      <c r="AD215">
        <v>0.1</v>
      </c>
      <c r="AE215">
        <v>0.9</v>
      </c>
      <c r="AF215">
        <v>0.38124999999999998</v>
      </c>
      <c r="AG215">
        <v>61.1</v>
      </c>
      <c r="AH215">
        <v>15.4</v>
      </c>
      <c r="AI215">
        <v>85.7</v>
      </c>
      <c r="AL215" s="7"/>
      <c r="AM215" s="7"/>
      <c r="AN215" s="7"/>
      <c r="AO215" s="7"/>
      <c r="AP215" s="7"/>
      <c r="AQ215" s="7"/>
    </row>
    <row r="216" spans="1:43" x14ac:dyDescent="0.5">
      <c r="A216">
        <v>60</v>
      </c>
      <c r="B216">
        <v>250</v>
      </c>
      <c r="C216">
        <v>0.1</v>
      </c>
      <c r="D216">
        <v>20</v>
      </c>
      <c r="E216">
        <v>600</v>
      </c>
      <c r="F216">
        <v>200</v>
      </c>
      <c r="G216">
        <v>10</v>
      </c>
      <c r="H216">
        <v>6.8</v>
      </c>
      <c r="O216">
        <v>36.200000000000003</v>
      </c>
      <c r="P216">
        <v>8.3000000000000007</v>
      </c>
      <c r="Q216">
        <v>24.1</v>
      </c>
      <c r="R216">
        <v>1.7</v>
      </c>
      <c r="S216">
        <v>1.5</v>
      </c>
      <c r="T216">
        <v>16.899999999999999</v>
      </c>
      <c r="U216">
        <v>0.2</v>
      </c>
      <c r="V216">
        <v>0.84647302904564314</v>
      </c>
      <c r="W216">
        <v>0.52593360995850624</v>
      </c>
      <c r="X216">
        <v>55.5</v>
      </c>
      <c r="Y216">
        <v>15.6</v>
      </c>
      <c r="Z216">
        <v>23</v>
      </c>
      <c r="AA216">
        <v>1.6</v>
      </c>
      <c r="AB216">
        <v>0.7</v>
      </c>
      <c r="AC216">
        <v>9.6999999999999993</v>
      </c>
      <c r="AD216">
        <v>0.2</v>
      </c>
      <c r="AE216">
        <v>0.83478260869565224</v>
      </c>
      <c r="AF216">
        <v>0.31630434782608691</v>
      </c>
      <c r="AG216">
        <v>64.900000000000006</v>
      </c>
      <c r="AH216">
        <v>15.6</v>
      </c>
      <c r="AI216">
        <v>82</v>
      </c>
      <c r="AL216" s="7"/>
      <c r="AM216" s="7"/>
      <c r="AN216" s="7"/>
      <c r="AO216" s="7"/>
      <c r="AP216" s="7"/>
      <c r="AQ216" s="7"/>
    </row>
    <row r="217" spans="1:43" x14ac:dyDescent="0.5">
      <c r="A217">
        <v>60</v>
      </c>
      <c r="B217">
        <v>250</v>
      </c>
      <c r="C217">
        <v>0.1</v>
      </c>
      <c r="D217">
        <v>60</v>
      </c>
      <c r="E217">
        <v>600</v>
      </c>
      <c r="F217">
        <v>200</v>
      </c>
      <c r="G217">
        <v>3.3333333333333335</v>
      </c>
      <c r="H217">
        <v>6.8</v>
      </c>
      <c r="O217">
        <v>36.200000000000003</v>
      </c>
      <c r="P217">
        <v>8.3000000000000007</v>
      </c>
      <c r="Q217">
        <v>24.1</v>
      </c>
      <c r="R217">
        <v>1.7</v>
      </c>
      <c r="S217">
        <v>1.5</v>
      </c>
      <c r="T217">
        <v>16.899999999999999</v>
      </c>
      <c r="U217">
        <v>0.2</v>
      </c>
      <c r="V217">
        <v>0.84647302904564314</v>
      </c>
      <c r="W217">
        <v>0.52593360995850624</v>
      </c>
      <c r="X217">
        <v>55.5</v>
      </c>
      <c r="Y217">
        <v>15.6</v>
      </c>
      <c r="Z217">
        <v>23.4</v>
      </c>
      <c r="AA217">
        <v>1.7</v>
      </c>
      <c r="AB217">
        <v>0.9</v>
      </c>
      <c r="AC217">
        <v>7.8</v>
      </c>
      <c r="AD217">
        <v>0</v>
      </c>
      <c r="AE217">
        <v>0.87179487179487181</v>
      </c>
      <c r="AF217">
        <v>0.25</v>
      </c>
      <c r="AG217">
        <v>66.3</v>
      </c>
      <c r="AH217">
        <v>15.5</v>
      </c>
      <c r="AI217">
        <v>83.5</v>
      </c>
      <c r="AL217" s="7"/>
      <c r="AM217" s="7"/>
      <c r="AN217" s="7"/>
      <c r="AO217" s="7"/>
      <c r="AP217" s="7"/>
      <c r="AQ217" s="7"/>
    </row>
    <row r="218" spans="1:43" x14ac:dyDescent="0.5">
      <c r="A218">
        <v>60</v>
      </c>
      <c r="B218">
        <v>200</v>
      </c>
      <c r="C218">
        <v>0.1</v>
      </c>
      <c r="D218">
        <v>20</v>
      </c>
      <c r="E218">
        <v>600</v>
      </c>
      <c r="F218">
        <v>200</v>
      </c>
      <c r="G218">
        <v>10</v>
      </c>
      <c r="H218">
        <v>24.3</v>
      </c>
      <c r="O218">
        <v>51</v>
      </c>
      <c r="P218">
        <v>2.1</v>
      </c>
      <c r="Q218">
        <v>28.6</v>
      </c>
      <c r="R218">
        <v>3.1</v>
      </c>
      <c r="S218">
        <v>3.4</v>
      </c>
      <c r="T218">
        <v>16.399999999999999</v>
      </c>
      <c r="U218">
        <v>1.5</v>
      </c>
      <c r="V218">
        <v>1.3006993006993008</v>
      </c>
      <c r="W218">
        <v>0.43006993006993005</v>
      </c>
      <c r="X218">
        <v>46.9</v>
      </c>
      <c r="Y218">
        <v>14.9</v>
      </c>
      <c r="Z218">
        <v>34</v>
      </c>
      <c r="AA218">
        <v>4.2</v>
      </c>
      <c r="AB218">
        <v>2.1</v>
      </c>
      <c r="AC218">
        <v>13</v>
      </c>
      <c r="AD218">
        <v>0.8</v>
      </c>
      <c r="AE218">
        <v>1.4823529411764707</v>
      </c>
      <c r="AF218">
        <v>0.28676470588235292</v>
      </c>
      <c r="AG218">
        <v>46</v>
      </c>
      <c r="AH218">
        <v>15</v>
      </c>
      <c r="AI218">
        <v>72.599999999999994</v>
      </c>
      <c r="AL218" s="7"/>
      <c r="AM218" s="7"/>
      <c r="AN218" s="7"/>
      <c r="AO218" s="7"/>
      <c r="AP218" s="7"/>
      <c r="AQ218" s="7"/>
    </row>
    <row r="219" spans="1:43" x14ac:dyDescent="0.5">
      <c r="A219">
        <v>60</v>
      </c>
      <c r="B219">
        <v>200</v>
      </c>
      <c r="C219">
        <v>0.1</v>
      </c>
      <c r="D219">
        <v>60</v>
      </c>
      <c r="E219">
        <v>600</v>
      </c>
      <c r="F219">
        <v>200</v>
      </c>
      <c r="G219">
        <v>3.3333333333333335</v>
      </c>
      <c r="H219">
        <v>24.3</v>
      </c>
      <c r="O219">
        <v>51</v>
      </c>
      <c r="P219">
        <v>2.1</v>
      </c>
      <c r="Q219">
        <v>28.6</v>
      </c>
      <c r="R219">
        <v>3.1</v>
      </c>
      <c r="S219">
        <v>3.4</v>
      </c>
      <c r="T219">
        <v>16.399999999999999</v>
      </c>
      <c r="U219">
        <v>1.5</v>
      </c>
      <c r="V219">
        <v>1.3006993006993008</v>
      </c>
      <c r="W219">
        <v>0.43006993006993005</v>
      </c>
      <c r="X219">
        <v>46.9</v>
      </c>
      <c r="Y219">
        <v>14.9</v>
      </c>
      <c r="Z219">
        <v>35.200000000000003</v>
      </c>
      <c r="AA219">
        <v>4.4000000000000004</v>
      </c>
      <c r="AB219">
        <v>2.9</v>
      </c>
      <c r="AC219">
        <v>12.7</v>
      </c>
      <c r="AD219">
        <v>1.2</v>
      </c>
      <c r="AE219">
        <v>1.5</v>
      </c>
      <c r="AF219">
        <v>0.27059659090909088</v>
      </c>
      <c r="AG219">
        <v>43.7</v>
      </c>
      <c r="AH219">
        <v>15.4</v>
      </c>
      <c r="AI219">
        <v>78</v>
      </c>
      <c r="AL219" s="7"/>
      <c r="AM219" s="7"/>
      <c r="AN219" s="7"/>
      <c r="AO219" s="7"/>
      <c r="AP219" s="7"/>
      <c r="AQ219" s="7"/>
    </row>
    <row r="220" spans="1:43" x14ac:dyDescent="0.5">
      <c r="A220">
        <v>60</v>
      </c>
      <c r="B220">
        <v>250</v>
      </c>
      <c r="C220">
        <v>0.1</v>
      </c>
      <c r="D220">
        <v>20</v>
      </c>
      <c r="E220">
        <v>600</v>
      </c>
      <c r="F220">
        <v>200</v>
      </c>
      <c r="G220">
        <v>10</v>
      </c>
      <c r="H220">
        <v>24.3</v>
      </c>
      <c r="O220">
        <v>51</v>
      </c>
      <c r="P220">
        <v>2.1</v>
      </c>
      <c r="Q220">
        <v>28.6</v>
      </c>
      <c r="R220">
        <v>3.1</v>
      </c>
      <c r="S220">
        <v>3.4</v>
      </c>
      <c r="T220">
        <v>16.399999999999999</v>
      </c>
      <c r="U220">
        <v>1.5</v>
      </c>
      <c r="V220">
        <v>1.3006993006993008</v>
      </c>
      <c r="W220">
        <v>0.43006993006993005</v>
      </c>
      <c r="X220">
        <v>46.9</v>
      </c>
      <c r="Y220">
        <v>14.9</v>
      </c>
      <c r="Z220">
        <v>34.4</v>
      </c>
      <c r="AA220">
        <v>4</v>
      </c>
      <c r="AB220">
        <v>2.2000000000000002</v>
      </c>
      <c r="AC220">
        <v>9.1999999999999993</v>
      </c>
      <c r="AD220">
        <v>0.8</v>
      </c>
      <c r="AE220">
        <v>1.3953488372093024</v>
      </c>
      <c r="AF220">
        <v>0.2005813953488372</v>
      </c>
      <c r="AG220">
        <v>49.5</v>
      </c>
      <c r="AH220">
        <v>15.2</v>
      </c>
      <c r="AI220">
        <v>65.599999999999994</v>
      </c>
      <c r="AL220" s="7"/>
      <c r="AM220" s="7"/>
      <c r="AN220" s="7"/>
      <c r="AO220" s="7"/>
      <c r="AP220" s="7"/>
      <c r="AQ220" s="7"/>
    </row>
    <row r="221" spans="1:43" x14ac:dyDescent="0.5">
      <c r="A221">
        <v>60</v>
      </c>
      <c r="B221">
        <v>250</v>
      </c>
      <c r="C221">
        <v>0.1</v>
      </c>
      <c r="D221">
        <v>60</v>
      </c>
      <c r="E221">
        <v>600</v>
      </c>
      <c r="F221">
        <v>200</v>
      </c>
      <c r="G221">
        <v>3.3333333333333335</v>
      </c>
      <c r="H221">
        <v>24.3</v>
      </c>
      <c r="O221">
        <v>51</v>
      </c>
      <c r="P221">
        <v>2.1</v>
      </c>
      <c r="Q221">
        <v>28.6</v>
      </c>
      <c r="R221">
        <v>3.1</v>
      </c>
      <c r="S221">
        <v>3.4</v>
      </c>
      <c r="T221">
        <v>16.399999999999999</v>
      </c>
      <c r="U221">
        <v>1.5</v>
      </c>
      <c r="V221">
        <v>1.3006993006993008</v>
      </c>
      <c r="W221">
        <v>0.43006993006993005</v>
      </c>
      <c r="X221">
        <v>46.9</v>
      </c>
      <c r="Y221">
        <v>14.9</v>
      </c>
      <c r="Z221">
        <v>36.4</v>
      </c>
      <c r="AA221">
        <v>4.3</v>
      </c>
      <c r="AB221">
        <v>2.8</v>
      </c>
      <c r="AC221">
        <v>9</v>
      </c>
      <c r="AD221">
        <v>0.9</v>
      </c>
      <c r="AE221">
        <v>1.4175824175824177</v>
      </c>
      <c r="AF221">
        <v>0.18543956043956045</v>
      </c>
      <c r="AG221">
        <v>46.6</v>
      </c>
      <c r="AH221">
        <v>15.7</v>
      </c>
      <c r="AI221">
        <v>69.5</v>
      </c>
      <c r="AL221" s="7"/>
      <c r="AM221" s="7"/>
      <c r="AN221" s="7"/>
      <c r="AO221" s="7"/>
      <c r="AP221" s="7"/>
      <c r="AQ221" s="7"/>
    </row>
    <row r="222" spans="1:43" x14ac:dyDescent="0.5">
      <c r="A222">
        <v>60</v>
      </c>
      <c r="B222">
        <v>200</v>
      </c>
      <c r="C222">
        <v>0.1</v>
      </c>
      <c r="D222">
        <v>20</v>
      </c>
      <c r="E222">
        <v>600</v>
      </c>
      <c r="F222">
        <v>200</v>
      </c>
      <c r="G222">
        <v>10</v>
      </c>
      <c r="H222">
        <v>9.8000000000000007</v>
      </c>
      <c r="O222">
        <v>47.2</v>
      </c>
      <c r="P222">
        <v>9</v>
      </c>
      <c r="Q222">
        <v>29.5</v>
      </c>
      <c r="R222">
        <v>3</v>
      </c>
      <c r="S222">
        <v>2</v>
      </c>
      <c r="T222">
        <v>21.3</v>
      </c>
      <c r="U222">
        <v>0.3</v>
      </c>
      <c r="V222">
        <v>1.2203389830508473</v>
      </c>
      <c r="W222">
        <v>0.54152542372881352</v>
      </c>
      <c r="X222">
        <v>43.8</v>
      </c>
      <c r="Y222">
        <v>14.9</v>
      </c>
      <c r="Z222">
        <v>26.3</v>
      </c>
      <c r="AA222">
        <v>2.7</v>
      </c>
      <c r="AB222">
        <v>1.1000000000000001</v>
      </c>
      <c r="AC222">
        <v>14.4</v>
      </c>
      <c r="AD222">
        <v>0.2</v>
      </c>
      <c r="AE222">
        <v>1.2319391634980987</v>
      </c>
      <c r="AF222">
        <v>0.41064638783269958</v>
      </c>
      <c r="AG222">
        <v>55.3</v>
      </c>
      <c r="AH222">
        <v>14.8</v>
      </c>
      <c r="AI222">
        <v>79.5</v>
      </c>
      <c r="AL222" s="7"/>
      <c r="AM222" s="7"/>
      <c r="AN222" s="7"/>
      <c r="AO222" s="7"/>
      <c r="AP222" s="7"/>
      <c r="AQ222" s="7"/>
    </row>
    <row r="223" spans="1:43" x14ac:dyDescent="0.5">
      <c r="A223">
        <v>60</v>
      </c>
      <c r="B223">
        <v>200</v>
      </c>
      <c r="C223">
        <v>0.1</v>
      </c>
      <c r="D223">
        <v>60</v>
      </c>
      <c r="E223">
        <v>600</v>
      </c>
      <c r="F223">
        <v>200</v>
      </c>
      <c r="G223">
        <v>3.3333333333333335</v>
      </c>
      <c r="H223">
        <v>9.8000000000000007</v>
      </c>
      <c r="O223">
        <v>47.2</v>
      </c>
      <c r="P223">
        <v>9</v>
      </c>
      <c r="Q223">
        <v>29.5</v>
      </c>
      <c r="R223">
        <v>3</v>
      </c>
      <c r="S223">
        <v>2</v>
      </c>
      <c r="T223">
        <v>21.3</v>
      </c>
      <c r="U223">
        <v>0.3</v>
      </c>
      <c r="V223">
        <v>1.2203389830508473</v>
      </c>
      <c r="W223">
        <v>0.54152542372881352</v>
      </c>
      <c r="X223">
        <v>43.8</v>
      </c>
      <c r="Y223">
        <v>14.9</v>
      </c>
      <c r="Z223">
        <v>30.4</v>
      </c>
      <c r="AA223">
        <v>3.1</v>
      </c>
      <c r="AB223">
        <v>1.4</v>
      </c>
      <c r="AC223">
        <v>12.5</v>
      </c>
      <c r="AD223">
        <v>0.2</v>
      </c>
      <c r="AE223">
        <v>1.2236842105263159</v>
      </c>
      <c r="AF223">
        <v>0.30838815789473684</v>
      </c>
      <c r="AG223">
        <v>52.3</v>
      </c>
      <c r="AH223">
        <v>14.9</v>
      </c>
      <c r="AI223">
        <v>79.8</v>
      </c>
      <c r="AL223" s="7"/>
      <c r="AM223" s="7"/>
      <c r="AN223" s="7"/>
      <c r="AO223" s="7"/>
      <c r="AP223" s="7"/>
      <c r="AQ223" s="7"/>
    </row>
    <row r="224" spans="1:43" x14ac:dyDescent="0.5">
      <c r="A224">
        <v>60</v>
      </c>
      <c r="B224">
        <v>250</v>
      </c>
      <c r="C224">
        <v>0.1</v>
      </c>
      <c r="D224">
        <v>20</v>
      </c>
      <c r="E224">
        <v>600</v>
      </c>
      <c r="F224">
        <v>200</v>
      </c>
      <c r="G224">
        <v>10</v>
      </c>
      <c r="H224">
        <v>9.8000000000000007</v>
      </c>
      <c r="O224">
        <v>47.2</v>
      </c>
      <c r="P224">
        <v>9</v>
      </c>
      <c r="Q224">
        <v>29.5</v>
      </c>
      <c r="R224">
        <v>3</v>
      </c>
      <c r="S224">
        <v>2</v>
      </c>
      <c r="T224">
        <v>21.3</v>
      </c>
      <c r="U224">
        <v>0.3</v>
      </c>
      <c r="V224">
        <v>1.2203389830508473</v>
      </c>
      <c r="W224">
        <v>0.54152542372881352</v>
      </c>
      <c r="X224">
        <v>43.8</v>
      </c>
      <c r="Y224">
        <v>14.9</v>
      </c>
      <c r="Z224">
        <v>26.4</v>
      </c>
      <c r="AA224">
        <v>2.6</v>
      </c>
      <c r="AB224">
        <v>1.2</v>
      </c>
      <c r="AC224">
        <v>8.3000000000000007</v>
      </c>
      <c r="AD224">
        <v>0.1</v>
      </c>
      <c r="AE224">
        <v>1.1818181818181821</v>
      </c>
      <c r="AF224">
        <v>0.23579545454545459</v>
      </c>
      <c r="AG224">
        <v>61.3</v>
      </c>
      <c r="AH224">
        <v>14.8</v>
      </c>
      <c r="AI224">
        <v>71.099999999999994</v>
      </c>
      <c r="AL224" s="7"/>
      <c r="AM224" s="7"/>
      <c r="AN224" s="7"/>
      <c r="AO224" s="7"/>
      <c r="AP224" s="7"/>
      <c r="AQ224" s="7"/>
    </row>
    <row r="225" spans="1:43" x14ac:dyDescent="0.5">
      <c r="A225">
        <v>60</v>
      </c>
      <c r="B225">
        <v>250</v>
      </c>
      <c r="C225">
        <v>0.1</v>
      </c>
      <c r="D225">
        <v>60</v>
      </c>
      <c r="E225">
        <v>600</v>
      </c>
      <c r="F225">
        <v>200</v>
      </c>
      <c r="G225">
        <v>3.3333333333333335</v>
      </c>
      <c r="H225">
        <v>9.8000000000000007</v>
      </c>
      <c r="O225">
        <v>47.2</v>
      </c>
      <c r="P225">
        <v>9</v>
      </c>
      <c r="Q225">
        <v>29.5</v>
      </c>
      <c r="R225">
        <v>3</v>
      </c>
      <c r="S225">
        <v>2</v>
      </c>
      <c r="T225">
        <v>21.3</v>
      </c>
      <c r="U225">
        <v>0.3</v>
      </c>
      <c r="V225">
        <v>1.2203389830508473</v>
      </c>
      <c r="W225">
        <v>0.54152542372881352</v>
      </c>
      <c r="X225">
        <v>43.8</v>
      </c>
      <c r="Y225">
        <v>14.9</v>
      </c>
      <c r="Z225">
        <v>29.1</v>
      </c>
      <c r="AA225">
        <v>2.9</v>
      </c>
      <c r="AB225">
        <v>1.5</v>
      </c>
      <c r="AC225">
        <v>5.4</v>
      </c>
      <c r="AD225">
        <v>0.1</v>
      </c>
      <c r="AE225">
        <v>1.1958762886597936</v>
      </c>
      <c r="AF225">
        <v>0.13917525773195877</v>
      </c>
      <c r="AG225">
        <v>61</v>
      </c>
      <c r="AH225">
        <v>15</v>
      </c>
      <c r="AI225">
        <v>73.7</v>
      </c>
      <c r="AL225" s="7"/>
      <c r="AM225" s="7"/>
      <c r="AN225" s="7"/>
      <c r="AO225" s="7"/>
      <c r="AP225" s="7"/>
      <c r="AQ225" s="7"/>
    </row>
    <row r="226" spans="1:43" x14ac:dyDescent="0.5">
      <c r="A226">
        <v>60</v>
      </c>
      <c r="B226">
        <v>180</v>
      </c>
      <c r="C226">
        <v>0.1</v>
      </c>
      <c r="D226">
        <v>12</v>
      </c>
      <c r="E226">
        <v>50</v>
      </c>
      <c r="F226">
        <v>36</v>
      </c>
      <c r="G226">
        <v>3</v>
      </c>
      <c r="Q226">
        <v>35.799999999999997</v>
      </c>
      <c r="R226">
        <v>4.8</v>
      </c>
      <c r="S226">
        <v>2.1</v>
      </c>
      <c r="T226">
        <v>24.6</v>
      </c>
      <c r="U226">
        <v>0.5</v>
      </c>
      <c r="V226">
        <v>1.6089385474860336</v>
      </c>
      <c r="W226">
        <v>0.51536312849162025</v>
      </c>
      <c r="X226">
        <v>32.1</v>
      </c>
      <c r="Y226">
        <v>14.6</v>
      </c>
      <c r="Z226">
        <v>36.299999999999997</v>
      </c>
      <c r="AA226">
        <v>4.3</v>
      </c>
      <c r="AB226">
        <v>2.4</v>
      </c>
      <c r="AC226">
        <v>16.600000000000001</v>
      </c>
      <c r="AD226">
        <v>0.6</v>
      </c>
      <c r="AE226">
        <v>1.4214876033057851</v>
      </c>
      <c r="AF226">
        <v>0.34297520661157027</v>
      </c>
      <c r="AG226">
        <v>39.9</v>
      </c>
      <c r="AH226">
        <v>11.4</v>
      </c>
      <c r="AI226">
        <v>79.5</v>
      </c>
      <c r="AJ226" s="2" t="s">
        <v>79</v>
      </c>
      <c r="AM226" s="7"/>
      <c r="AN226" s="7"/>
      <c r="AO226" s="7"/>
      <c r="AP226" s="7"/>
      <c r="AQ226" s="7"/>
    </row>
    <row r="227" spans="1:43" x14ac:dyDescent="0.5">
      <c r="A227">
        <v>60</v>
      </c>
      <c r="B227">
        <v>210</v>
      </c>
      <c r="C227">
        <v>0.1</v>
      </c>
      <c r="D227">
        <v>12</v>
      </c>
      <c r="E227">
        <v>50</v>
      </c>
      <c r="F227">
        <v>36</v>
      </c>
      <c r="G227">
        <v>3</v>
      </c>
      <c r="Q227">
        <v>35.799999999999997</v>
      </c>
      <c r="R227">
        <v>4.8</v>
      </c>
      <c r="S227">
        <v>2.1</v>
      </c>
      <c r="T227">
        <v>24.6</v>
      </c>
      <c r="U227">
        <v>0.5</v>
      </c>
      <c r="V227">
        <v>1.6089385474860336</v>
      </c>
      <c r="W227">
        <v>0.51536312849162025</v>
      </c>
      <c r="X227">
        <v>32.1</v>
      </c>
      <c r="Y227">
        <v>14.6</v>
      </c>
      <c r="Z227">
        <v>40.5</v>
      </c>
      <c r="AA227">
        <v>4.4000000000000004</v>
      </c>
      <c r="AB227">
        <v>2.5</v>
      </c>
      <c r="AC227">
        <v>13.7</v>
      </c>
      <c r="AD227">
        <v>0.6</v>
      </c>
      <c r="AE227">
        <v>1.3037037037037038</v>
      </c>
      <c r="AF227">
        <v>0.25370370370370371</v>
      </c>
      <c r="AG227">
        <v>38.200000000000003</v>
      </c>
      <c r="AH227">
        <v>13</v>
      </c>
      <c r="AI227">
        <v>75.7</v>
      </c>
      <c r="AM227" s="7"/>
      <c r="AN227" s="7"/>
      <c r="AO227" s="7"/>
      <c r="AP227" s="7"/>
      <c r="AQ227" s="7"/>
    </row>
    <row r="228" spans="1:43" x14ac:dyDescent="0.5">
      <c r="A228">
        <v>60</v>
      </c>
      <c r="B228">
        <v>240</v>
      </c>
      <c r="C228">
        <v>0.1</v>
      </c>
      <c r="D228">
        <v>12</v>
      </c>
      <c r="E228">
        <v>50</v>
      </c>
      <c r="F228">
        <v>36</v>
      </c>
      <c r="G228">
        <v>3</v>
      </c>
      <c r="Q228">
        <v>35.799999999999997</v>
      </c>
      <c r="R228">
        <v>4.8</v>
      </c>
      <c r="S228">
        <v>2.1</v>
      </c>
      <c r="T228">
        <v>24.6</v>
      </c>
      <c r="U228">
        <v>0.5</v>
      </c>
      <c r="V228">
        <v>1.6089385474860336</v>
      </c>
      <c r="W228">
        <v>0.51536312849162025</v>
      </c>
      <c r="X228">
        <v>32.1</v>
      </c>
      <c r="Y228">
        <v>14.6</v>
      </c>
      <c r="Z228">
        <v>41</v>
      </c>
      <c r="AA228">
        <v>4</v>
      </c>
      <c r="AB228">
        <v>2.6</v>
      </c>
      <c r="AC228">
        <v>8.1999999999999993</v>
      </c>
      <c r="AD228">
        <v>0.7</v>
      </c>
      <c r="AE228">
        <v>1.1707317073170733</v>
      </c>
      <c r="AF228">
        <v>0.15</v>
      </c>
      <c r="AG228">
        <v>43.5</v>
      </c>
      <c r="AH228">
        <v>13.7</v>
      </c>
      <c r="AI228">
        <v>65.7</v>
      </c>
    </row>
    <row r="229" spans="1:43" x14ac:dyDescent="0.5">
      <c r="A229">
        <v>60</v>
      </c>
      <c r="B229">
        <v>180</v>
      </c>
      <c r="C229">
        <v>0.1</v>
      </c>
      <c r="D229">
        <v>12</v>
      </c>
      <c r="E229">
        <v>50</v>
      </c>
      <c r="F229">
        <v>36</v>
      </c>
      <c r="G229">
        <v>3</v>
      </c>
      <c r="Q229">
        <v>37.700000000000003</v>
      </c>
      <c r="R229">
        <v>5</v>
      </c>
      <c r="S229">
        <v>2.2999999999999998</v>
      </c>
      <c r="T229">
        <v>26.1</v>
      </c>
      <c r="U229">
        <v>0.9</v>
      </c>
      <c r="V229">
        <v>1.5915119363395223</v>
      </c>
      <c r="W229">
        <v>0.51923076923076916</v>
      </c>
      <c r="X229">
        <v>28.5</v>
      </c>
      <c r="Y229">
        <v>15.9</v>
      </c>
      <c r="Z229">
        <v>40.9</v>
      </c>
      <c r="AA229">
        <v>4.5999999999999996</v>
      </c>
      <c r="AB229">
        <v>2.8</v>
      </c>
      <c r="AC229">
        <v>18.8</v>
      </c>
      <c r="AD229">
        <v>0.6</v>
      </c>
      <c r="AE229">
        <v>1.3496332518337408</v>
      </c>
      <c r="AF229">
        <v>0.34474327628361862</v>
      </c>
      <c r="AG229">
        <v>32.5</v>
      </c>
      <c r="AH229">
        <v>15.5</v>
      </c>
      <c r="AI229">
        <v>86.6</v>
      </c>
    </row>
    <row r="230" spans="1:43" x14ac:dyDescent="0.5">
      <c r="A230">
        <v>60</v>
      </c>
      <c r="B230">
        <v>210</v>
      </c>
      <c r="C230">
        <v>0.1</v>
      </c>
      <c r="D230">
        <v>12</v>
      </c>
      <c r="E230">
        <v>50</v>
      </c>
      <c r="F230">
        <v>36</v>
      </c>
      <c r="G230">
        <v>3</v>
      </c>
      <c r="Q230">
        <v>37.700000000000003</v>
      </c>
      <c r="R230">
        <v>5</v>
      </c>
      <c r="S230">
        <v>2.2999999999999998</v>
      </c>
      <c r="T230">
        <v>26.1</v>
      </c>
      <c r="U230">
        <v>0.9</v>
      </c>
      <c r="V230">
        <v>1.5915119363395223</v>
      </c>
      <c r="W230">
        <v>0.51923076923076916</v>
      </c>
      <c r="X230">
        <v>28.5</v>
      </c>
      <c r="Y230">
        <v>15.9</v>
      </c>
      <c r="Z230">
        <v>45.2</v>
      </c>
      <c r="AA230">
        <v>4.8</v>
      </c>
      <c r="AB230">
        <v>2.9</v>
      </c>
      <c r="AC230">
        <v>11.4</v>
      </c>
      <c r="AD230">
        <v>0.6</v>
      </c>
      <c r="AE230">
        <v>1.2743362831858405</v>
      </c>
      <c r="AF230">
        <v>0.18915929203539822</v>
      </c>
      <c r="AG230">
        <v>35</v>
      </c>
      <c r="AH230">
        <v>14.5</v>
      </c>
      <c r="AI230">
        <v>81.099999999999994</v>
      </c>
    </row>
    <row r="231" spans="1:43" x14ac:dyDescent="0.5">
      <c r="A231">
        <v>60</v>
      </c>
      <c r="B231">
        <v>240</v>
      </c>
      <c r="C231">
        <v>0.1</v>
      </c>
      <c r="D231">
        <v>12</v>
      </c>
      <c r="E231">
        <v>50</v>
      </c>
      <c r="F231">
        <v>36</v>
      </c>
      <c r="G231">
        <v>3</v>
      </c>
      <c r="Q231">
        <v>37.700000000000003</v>
      </c>
      <c r="R231">
        <v>5</v>
      </c>
      <c r="S231">
        <v>2.2999999999999998</v>
      </c>
      <c r="T231">
        <v>26.1</v>
      </c>
      <c r="U231">
        <v>0.9</v>
      </c>
      <c r="V231">
        <v>1.5915119363395223</v>
      </c>
      <c r="W231">
        <v>0.51923076923076916</v>
      </c>
      <c r="X231">
        <v>28.5</v>
      </c>
      <c r="Y231">
        <v>15.9</v>
      </c>
      <c r="Z231">
        <v>45</v>
      </c>
      <c r="AA231">
        <v>4.5999999999999996</v>
      </c>
      <c r="AB231">
        <v>2.9</v>
      </c>
      <c r="AC231">
        <v>8.6999999999999993</v>
      </c>
      <c r="AD231">
        <v>0.6</v>
      </c>
      <c r="AE231">
        <v>1.2266666666666666</v>
      </c>
      <c r="AF231">
        <v>0.14499999999999999</v>
      </c>
      <c r="AG231">
        <v>38.299999999999997</v>
      </c>
      <c r="AH231">
        <v>16.100000000000001</v>
      </c>
      <c r="AI231">
        <v>68.3</v>
      </c>
    </row>
    <row r="232" spans="1:43" x14ac:dyDescent="0.5">
      <c r="A232">
        <v>60</v>
      </c>
      <c r="B232">
        <v>180</v>
      </c>
      <c r="C232">
        <v>0.1</v>
      </c>
      <c r="D232">
        <v>12</v>
      </c>
      <c r="E232">
        <v>50</v>
      </c>
      <c r="F232">
        <v>36</v>
      </c>
      <c r="G232">
        <v>3</v>
      </c>
      <c r="Q232">
        <v>26.8</v>
      </c>
      <c r="R232">
        <v>3.4</v>
      </c>
      <c r="S232">
        <v>1.7</v>
      </c>
      <c r="T232">
        <v>22.8</v>
      </c>
      <c r="U232">
        <v>0.4</v>
      </c>
      <c r="V232">
        <v>1.5223880597014925</v>
      </c>
      <c r="W232">
        <v>0.63805970149253732</v>
      </c>
      <c r="X232">
        <v>44.8</v>
      </c>
      <c r="Y232">
        <v>9.8437999999999999</v>
      </c>
      <c r="Z232">
        <v>28.9</v>
      </c>
      <c r="AA232">
        <v>3.4</v>
      </c>
      <c r="AB232">
        <v>1.8</v>
      </c>
      <c r="AC232">
        <v>16.2</v>
      </c>
      <c r="AD232">
        <v>0.2</v>
      </c>
      <c r="AE232">
        <v>1.411764705882353</v>
      </c>
      <c r="AF232">
        <v>0.42041522491349481</v>
      </c>
      <c r="AG232">
        <v>49.5</v>
      </c>
      <c r="AH232">
        <v>11.7317</v>
      </c>
      <c r="AI232">
        <v>61</v>
      </c>
    </row>
    <row r="233" spans="1:43" x14ac:dyDescent="0.5">
      <c r="A233">
        <v>60</v>
      </c>
      <c r="B233">
        <v>210</v>
      </c>
      <c r="C233">
        <v>0.1</v>
      </c>
      <c r="D233">
        <v>12</v>
      </c>
      <c r="E233">
        <v>50</v>
      </c>
      <c r="F233">
        <v>36</v>
      </c>
      <c r="G233">
        <v>3</v>
      </c>
      <c r="Q233">
        <v>26.8</v>
      </c>
      <c r="R233">
        <v>3.4</v>
      </c>
      <c r="S233">
        <v>1.7</v>
      </c>
      <c r="T233">
        <v>22.8</v>
      </c>
      <c r="U233">
        <v>0.4</v>
      </c>
      <c r="V233">
        <v>1.5223880597014925</v>
      </c>
      <c r="W233">
        <v>0.63805970149253732</v>
      </c>
      <c r="X233">
        <v>45.8</v>
      </c>
      <c r="Y233">
        <v>9.8437999999999999</v>
      </c>
      <c r="Z233">
        <v>31.4</v>
      </c>
      <c r="AA233">
        <v>3.5</v>
      </c>
      <c r="AB233">
        <v>1.9</v>
      </c>
      <c r="AC233">
        <v>9.1</v>
      </c>
      <c r="AD233">
        <v>0.4</v>
      </c>
      <c r="AE233">
        <v>1.3375796178343948</v>
      </c>
      <c r="AF233">
        <v>0.21735668789808915</v>
      </c>
      <c r="AG233">
        <v>53.7</v>
      </c>
      <c r="AH233">
        <v>13.98685</v>
      </c>
      <c r="AI233">
        <v>66.099999999999994</v>
      </c>
    </row>
    <row r="234" spans="1:43" x14ac:dyDescent="0.5">
      <c r="A234">
        <v>60</v>
      </c>
      <c r="B234">
        <v>240</v>
      </c>
      <c r="C234">
        <v>0.1</v>
      </c>
      <c r="D234">
        <v>12</v>
      </c>
      <c r="E234">
        <v>50</v>
      </c>
      <c r="F234">
        <v>36</v>
      </c>
      <c r="G234">
        <v>3</v>
      </c>
      <c r="Q234">
        <v>26.8</v>
      </c>
      <c r="R234">
        <v>3.4</v>
      </c>
      <c r="S234">
        <v>1.7</v>
      </c>
      <c r="T234">
        <v>22.8</v>
      </c>
      <c r="U234">
        <v>0.4</v>
      </c>
      <c r="V234">
        <v>1.5223880597014925</v>
      </c>
      <c r="W234">
        <v>0.63805970149253732</v>
      </c>
      <c r="X234">
        <v>46.8</v>
      </c>
      <c r="Y234">
        <v>9.8437999999999999</v>
      </c>
      <c r="Z234">
        <v>32.5</v>
      </c>
      <c r="AA234">
        <v>3.3</v>
      </c>
      <c r="AB234">
        <v>1.9</v>
      </c>
      <c r="AC234">
        <v>3.2</v>
      </c>
      <c r="AD234">
        <v>0.5</v>
      </c>
      <c r="AE234">
        <v>1.2184615384615383</v>
      </c>
      <c r="AF234">
        <v>7.3846153846153853E-2</v>
      </c>
      <c r="AG234">
        <v>58.6</v>
      </c>
      <c r="AH234">
        <v>15.126200000000001</v>
      </c>
      <c r="AI234">
        <v>60.5</v>
      </c>
    </row>
    <row r="235" spans="1:43" x14ac:dyDescent="0.5">
      <c r="A235">
        <v>60</v>
      </c>
      <c r="B235">
        <v>180</v>
      </c>
      <c r="C235">
        <v>0.1</v>
      </c>
      <c r="D235">
        <v>12</v>
      </c>
      <c r="E235">
        <v>50</v>
      </c>
      <c r="F235">
        <v>36</v>
      </c>
      <c r="G235">
        <v>3</v>
      </c>
      <c r="Q235">
        <v>28.2</v>
      </c>
      <c r="R235">
        <v>3.6</v>
      </c>
      <c r="S235">
        <v>1.7</v>
      </c>
      <c r="T235">
        <v>20.3</v>
      </c>
      <c r="U235">
        <v>0.4</v>
      </c>
      <c r="V235">
        <v>1.5319148936170213</v>
      </c>
      <c r="W235">
        <v>0.53989361702127658</v>
      </c>
      <c r="X235">
        <v>45.7</v>
      </c>
      <c r="Y235">
        <v>11.048850000000002</v>
      </c>
      <c r="Z235">
        <v>36.700000000000003</v>
      </c>
      <c r="AA235">
        <v>4.2</v>
      </c>
      <c r="AB235">
        <v>2.2999999999999998</v>
      </c>
      <c r="AC235">
        <v>12.9</v>
      </c>
      <c r="AD235">
        <v>0.5</v>
      </c>
      <c r="AE235">
        <v>1.3732970027247955</v>
      </c>
      <c r="AF235">
        <v>0.26362397820163486</v>
      </c>
      <c r="AG235">
        <v>43.4</v>
      </c>
      <c r="AH235">
        <v>16.099550000000001</v>
      </c>
      <c r="AI235">
        <v>86.2</v>
      </c>
    </row>
    <row r="236" spans="1:43" x14ac:dyDescent="0.5">
      <c r="A236">
        <v>60</v>
      </c>
      <c r="B236">
        <v>210</v>
      </c>
      <c r="C236">
        <v>0.1</v>
      </c>
      <c r="D236">
        <v>12</v>
      </c>
      <c r="E236">
        <v>50</v>
      </c>
      <c r="F236">
        <v>36</v>
      </c>
      <c r="G236">
        <v>3</v>
      </c>
      <c r="Q236">
        <v>28.2</v>
      </c>
      <c r="R236">
        <v>3.6</v>
      </c>
      <c r="S236">
        <v>1.7</v>
      </c>
      <c r="T236">
        <v>20.3</v>
      </c>
      <c r="U236">
        <v>0.4</v>
      </c>
      <c r="V236">
        <v>1.5319148936170213</v>
      </c>
      <c r="W236">
        <v>0.53989361702127658</v>
      </c>
      <c r="X236">
        <v>46.7</v>
      </c>
      <c r="Y236">
        <v>11.048850000000002</v>
      </c>
      <c r="Z236">
        <v>35.5</v>
      </c>
      <c r="AA236">
        <v>3.8</v>
      </c>
      <c r="AB236">
        <v>2.1</v>
      </c>
      <c r="AC236">
        <v>13.6</v>
      </c>
      <c r="AD236">
        <v>0.4</v>
      </c>
      <c r="AE236">
        <v>1.284507042253521</v>
      </c>
      <c r="AF236">
        <v>0.28732394366197184</v>
      </c>
      <c r="AG236">
        <v>44.6</v>
      </c>
      <c r="AH236">
        <v>14.9978</v>
      </c>
      <c r="AI236">
        <v>75.8</v>
      </c>
    </row>
    <row r="237" spans="1:43" x14ac:dyDescent="0.5">
      <c r="A237">
        <v>60</v>
      </c>
      <c r="B237">
        <v>240</v>
      </c>
      <c r="C237">
        <v>0.1</v>
      </c>
      <c r="D237">
        <v>12</v>
      </c>
      <c r="E237">
        <v>50</v>
      </c>
      <c r="F237">
        <v>36</v>
      </c>
      <c r="G237">
        <v>3</v>
      </c>
      <c r="Q237">
        <v>28.2</v>
      </c>
      <c r="R237">
        <v>3.6</v>
      </c>
      <c r="S237">
        <v>1.7</v>
      </c>
      <c r="T237">
        <v>20.3</v>
      </c>
      <c r="U237">
        <v>0.4</v>
      </c>
      <c r="V237">
        <v>1.5319148936170213</v>
      </c>
      <c r="W237">
        <v>0.53989361702127658</v>
      </c>
      <c r="X237">
        <v>47.7</v>
      </c>
      <c r="Y237">
        <v>11.048850000000002</v>
      </c>
      <c r="Z237">
        <v>37.700000000000003</v>
      </c>
      <c r="AA237">
        <v>3.9</v>
      </c>
      <c r="AB237">
        <v>2.2000000000000002</v>
      </c>
      <c r="AC237">
        <v>6</v>
      </c>
      <c r="AD237">
        <v>0.3</v>
      </c>
      <c r="AE237">
        <v>1.2413793103448274</v>
      </c>
      <c r="AF237">
        <v>0.11936339522546417</v>
      </c>
      <c r="AG237">
        <v>49.9</v>
      </c>
      <c r="AH237">
        <v>17.2408</v>
      </c>
      <c r="AI237">
        <v>70.3</v>
      </c>
    </row>
    <row r="238" spans="1:43" x14ac:dyDescent="0.5">
      <c r="A238">
        <v>120</v>
      </c>
      <c r="B238">
        <v>210</v>
      </c>
      <c r="C238">
        <v>0.1</v>
      </c>
      <c r="D238">
        <v>60</v>
      </c>
      <c r="E238">
        <v>1000</v>
      </c>
      <c r="F238">
        <v>300</v>
      </c>
      <c r="G238">
        <v>5</v>
      </c>
      <c r="K238">
        <v>30.19</v>
      </c>
      <c r="L238">
        <v>15.64</v>
      </c>
      <c r="M238">
        <v>51.72</v>
      </c>
      <c r="N238">
        <v>67</v>
      </c>
      <c r="O238">
        <v>15.03</v>
      </c>
      <c r="P238">
        <v>10.79</v>
      </c>
      <c r="Q238">
        <v>51.25</v>
      </c>
      <c r="R238">
        <v>7.57</v>
      </c>
      <c r="S238">
        <v>0.92</v>
      </c>
      <c r="T238">
        <v>31.4</v>
      </c>
      <c r="U238">
        <v>0</v>
      </c>
      <c r="V238">
        <v>1.772487804878049</v>
      </c>
      <c r="W238">
        <v>0.45951219512195124</v>
      </c>
      <c r="X238">
        <v>7.18</v>
      </c>
      <c r="Y238">
        <v>18.61</v>
      </c>
      <c r="AH238">
        <v>27.38</v>
      </c>
      <c r="AI238">
        <v>62</v>
      </c>
      <c r="AJ238" s="2" t="s">
        <v>80</v>
      </c>
    </row>
    <row r="239" spans="1:43" x14ac:dyDescent="0.5">
      <c r="A239">
        <v>240</v>
      </c>
      <c r="B239">
        <v>210</v>
      </c>
      <c r="C239">
        <v>0.1</v>
      </c>
      <c r="D239">
        <v>120</v>
      </c>
      <c r="E239">
        <v>1000</v>
      </c>
      <c r="F239">
        <v>300</v>
      </c>
      <c r="G239">
        <v>2.5</v>
      </c>
      <c r="K239">
        <v>30.19</v>
      </c>
      <c r="L239">
        <v>15.64</v>
      </c>
      <c r="M239">
        <v>51.72</v>
      </c>
      <c r="N239">
        <v>67</v>
      </c>
      <c r="O239">
        <v>15.03</v>
      </c>
      <c r="P239">
        <v>10.79</v>
      </c>
      <c r="Q239">
        <v>51.25</v>
      </c>
      <c r="R239">
        <v>7.57</v>
      </c>
      <c r="S239">
        <v>0.92</v>
      </c>
      <c r="T239">
        <v>31.4</v>
      </c>
      <c r="U239">
        <v>0</v>
      </c>
      <c r="V239">
        <v>1.772487804878049</v>
      </c>
      <c r="W239">
        <v>0.45951219512195124</v>
      </c>
      <c r="X239">
        <v>7.18</v>
      </c>
      <c r="Y239">
        <v>18.61</v>
      </c>
      <c r="AH239">
        <v>28.91</v>
      </c>
      <c r="AI239">
        <v>60.5</v>
      </c>
    </row>
    <row r="240" spans="1:43" x14ac:dyDescent="0.5">
      <c r="A240">
        <v>120</v>
      </c>
      <c r="B240">
        <v>240</v>
      </c>
      <c r="C240">
        <v>0.1</v>
      </c>
      <c r="D240">
        <v>120</v>
      </c>
      <c r="E240">
        <v>1000</v>
      </c>
      <c r="F240">
        <v>300</v>
      </c>
      <c r="G240">
        <v>2.5</v>
      </c>
      <c r="K240">
        <v>30.19</v>
      </c>
      <c r="L240">
        <v>15.64</v>
      </c>
      <c r="M240">
        <v>51.72</v>
      </c>
      <c r="N240">
        <v>67</v>
      </c>
      <c r="O240">
        <v>15.03</v>
      </c>
      <c r="P240">
        <v>10.79</v>
      </c>
      <c r="Q240">
        <v>51.25</v>
      </c>
      <c r="R240">
        <v>7.57</v>
      </c>
      <c r="S240">
        <v>0.92</v>
      </c>
      <c r="T240">
        <v>31.4</v>
      </c>
      <c r="U240">
        <v>0</v>
      </c>
      <c r="V240">
        <v>1.772487804878049</v>
      </c>
      <c r="W240">
        <v>0.45951219512195124</v>
      </c>
      <c r="X240">
        <v>7.18</v>
      </c>
      <c r="Y240">
        <v>18.61</v>
      </c>
      <c r="AH240">
        <v>31.38</v>
      </c>
      <c r="AI240">
        <v>54</v>
      </c>
    </row>
    <row r="241" spans="1:36" x14ac:dyDescent="0.5">
      <c r="A241">
        <v>120</v>
      </c>
      <c r="B241">
        <v>180</v>
      </c>
      <c r="C241">
        <v>0.1</v>
      </c>
      <c r="D241">
        <v>120</v>
      </c>
      <c r="E241">
        <v>1000</v>
      </c>
      <c r="F241">
        <v>300</v>
      </c>
      <c r="G241">
        <v>2.5</v>
      </c>
      <c r="K241">
        <v>30.19</v>
      </c>
      <c r="L241">
        <v>15.64</v>
      </c>
      <c r="M241">
        <v>51.72</v>
      </c>
      <c r="N241">
        <v>67</v>
      </c>
      <c r="O241">
        <v>15.03</v>
      </c>
      <c r="P241">
        <v>10.79</v>
      </c>
      <c r="Q241">
        <v>51.25</v>
      </c>
      <c r="R241">
        <v>7.57</v>
      </c>
      <c r="S241">
        <v>0.92</v>
      </c>
      <c r="T241">
        <v>31.4</v>
      </c>
      <c r="U241">
        <v>0</v>
      </c>
      <c r="V241">
        <v>1.772487804878049</v>
      </c>
      <c r="W241">
        <v>0.45951219512195124</v>
      </c>
      <c r="X241">
        <v>7.18</v>
      </c>
      <c r="Y241">
        <v>18.61</v>
      </c>
      <c r="AH241">
        <v>28.72</v>
      </c>
      <c r="AI241">
        <v>70</v>
      </c>
    </row>
    <row r="242" spans="1:36" x14ac:dyDescent="0.5">
      <c r="A242">
        <v>240</v>
      </c>
      <c r="B242">
        <v>210</v>
      </c>
      <c r="C242">
        <v>0.1</v>
      </c>
      <c r="D242">
        <v>120</v>
      </c>
      <c r="E242">
        <v>1000</v>
      </c>
      <c r="F242">
        <v>300</v>
      </c>
      <c r="G242">
        <v>2.5</v>
      </c>
      <c r="K242">
        <v>30.19</v>
      </c>
      <c r="L242">
        <v>15.64</v>
      </c>
      <c r="M242">
        <v>51.72</v>
      </c>
      <c r="N242">
        <v>67</v>
      </c>
      <c r="O242">
        <v>15.03</v>
      </c>
      <c r="P242">
        <v>10.79</v>
      </c>
      <c r="Q242">
        <v>51.25</v>
      </c>
      <c r="R242">
        <v>7.57</v>
      </c>
      <c r="S242">
        <v>0.92</v>
      </c>
      <c r="T242">
        <v>31.4</v>
      </c>
      <c r="U242">
        <v>0</v>
      </c>
      <c r="V242">
        <v>1.772487804878049</v>
      </c>
      <c r="W242">
        <v>0.45951219512195124</v>
      </c>
      <c r="X242">
        <v>7.18</v>
      </c>
      <c r="Y242">
        <v>18.61</v>
      </c>
      <c r="AH242">
        <v>27.95</v>
      </c>
      <c r="AI242">
        <v>61</v>
      </c>
    </row>
    <row r="243" spans="1:36" x14ac:dyDescent="0.5">
      <c r="A243">
        <v>360</v>
      </c>
      <c r="B243">
        <v>240</v>
      </c>
      <c r="C243">
        <v>0.1</v>
      </c>
      <c r="D243">
        <v>120</v>
      </c>
      <c r="E243">
        <v>1000</v>
      </c>
      <c r="F243">
        <v>300</v>
      </c>
      <c r="G243">
        <v>2.5</v>
      </c>
      <c r="K243">
        <v>30.19</v>
      </c>
      <c r="L243">
        <v>15.64</v>
      </c>
      <c r="M243">
        <v>51.72</v>
      </c>
      <c r="N243">
        <v>67</v>
      </c>
      <c r="O243">
        <v>15.03</v>
      </c>
      <c r="P243">
        <v>10.79</v>
      </c>
      <c r="Q243">
        <v>51.25</v>
      </c>
      <c r="R243">
        <v>7.57</v>
      </c>
      <c r="S243">
        <v>0.92</v>
      </c>
      <c r="T243">
        <v>31.4</v>
      </c>
      <c r="U243">
        <v>0</v>
      </c>
      <c r="V243">
        <v>1.772487804878049</v>
      </c>
      <c r="W243">
        <v>0.45951219512195124</v>
      </c>
      <c r="X243">
        <v>7.18</v>
      </c>
      <c r="Y243">
        <v>18.61</v>
      </c>
      <c r="AH243">
        <v>32.64</v>
      </c>
      <c r="AI243">
        <v>51</v>
      </c>
    </row>
    <row r="244" spans="1:36" x14ac:dyDescent="0.5">
      <c r="A244">
        <v>360</v>
      </c>
      <c r="B244">
        <v>210</v>
      </c>
      <c r="C244">
        <v>0.1</v>
      </c>
      <c r="D244">
        <v>60</v>
      </c>
      <c r="E244">
        <v>1000</v>
      </c>
      <c r="F244">
        <v>300</v>
      </c>
      <c r="G244">
        <v>5</v>
      </c>
      <c r="K244">
        <v>30.19</v>
      </c>
      <c r="L244">
        <v>15.64</v>
      </c>
      <c r="M244">
        <v>51.72</v>
      </c>
      <c r="N244">
        <v>67</v>
      </c>
      <c r="O244">
        <v>15.03</v>
      </c>
      <c r="P244">
        <v>10.79</v>
      </c>
      <c r="Q244">
        <v>51.25</v>
      </c>
      <c r="R244">
        <v>7.57</v>
      </c>
      <c r="S244">
        <v>0.92</v>
      </c>
      <c r="T244">
        <v>31.4</v>
      </c>
      <c r="U244">
        <v>0</v>
      </c>
      <c r="V244">
        <v>1.772487804878049</v>
      </c>
      <c r="W244">
        <v>0.45951219512195124</v>
      </c>
      <c r="X244">
        <v>7.18</v>
      </c>
      <c r="Y244">
        <v>18.61</v>
      </c>
      <c r="AH244">
        <v>29.9</v>
      </c>
      <c r="AI244">
        <v>60</v>
      </c>
    </row>
    <row r="245" spans="1:36" x14ac:dyDescent="0.5">
      <c r="A245">
        <v>240</v>
      </c>
      <c r="B245">
        <v>180</v>
      </c>
      <c r="C245">
        <v>0.1</v>
      </c>
      <c r="D245">
        <v>60</v>
      </c>
      <c r="E245">
        <v>1000</v>
      </c>
      <c r="F245">
        <v>300</v>
      </c>
      <c r="G245">
        <v>5</v>
      </c>
      <c r="K245">
        <v>30.19</v>
      </c>
      <c r="L245">
        <v>15.64</v>
      </c>
      <c r="M245">
        <v>51.72</v>
      </c>
      <c r="N245">
        <v>67</v>
      </c>
      <c r="O245">
        <v>15.03</v>
      </c>
      <c r="P245">
        <v>10.79</v>
      </c>
      <c r="Q245">
        <v>51.25</v>
      </c>
      <c r="R245">
        <v>7.57</v>
      </c>
      <c r="S245">
        <v>0.92</v>
      </c>
      <c r="T245">
        <v>31.4</v>
      </c>
      <c r="U245">
        <v>0</v>
      </c>
      <c r="V245">
        <v>1.772487804878049</v>
      </c>
      <c r="W245">
        <v>0.45951219512195124</v>
      </c>
      <c r="X245">
        <v>7.18</v>
      </c>
      <c r="Y245">
        <v>18.61</v>
      </c>
      <c r="AH245">
        <v>26.32</v>
      </c>
      <c r="AI245">
        <v>69</v>
      </c>
    </row>
    <row r="246" spans="1:36" x14ac:dyDescent="0.5">
      <c r="A246">
        <v>240</v>
      </c>
      <c r="B246">
        <v>210</v>
      </c>
      <c r="C246">
        <v>0.1</v>
      </c>
      <c r="D246">
        <v>120</v>
      </c>
      <c r="E246">
        <v>1000</v>
      </c>
      <c r="F246">
        <v>300</v>
      </c>
      <c r="G246">
        <v>2.5</v>
      </c>
      <c r="K246">
        <v>30.19</v>
      </c>
      <c r="L246">
        <v>15.64</v>
      </c>
      <c r="M246">
        <v>51.72</v>
      </c>
      <c r="N246">
        <v>67</v>
      </c>
      <c r="O246">
        <v>15.03</v>
      </c>
      <c r="P246">
        <v>10.79</v>
      </c>
      <c r="Q246">
        <v>51.25</v>
      </c>
      <c r="R246">
        <v>7.57</v>
      </c>
      <c r="S246">
        <v>0.92</v>
      </c>
      <c r="T246">
        <v>31.4</v>
      </c>
      <c r="U246">
        <v>0</v>
      </c>
      <c r="V246">
        <v>1.772487804878049</v>
      </c>
      <c r="W246">
        <v>0.45951219512195124</v>
      </c>
      <c r="X246">
        <v>7.18</v>
      </c>
      <c r="Y246">
        <v>18.61</v>
      </c>
      <c r="AH246">
        <v>28.91</v>
      </c>
      <c r="AI246">
        <v>60.2</v>
      </c>
    </row>
    <row r="247" spans="1:36" x14ac:dyDescent="0.5">
      <c r="A247">
        <v>240</v>
      </c>
      <c r="B247">
        <v>180</v>
      </c>
      <c r="C247">
        <v>0.1</v>
      </c>
      <c r="D247">
        <v>180</v>
      </c>
      <c r="E247">
        <v>1000</v>
      </c>
      <c r="F247">
        <v>300</v>
      </c>
      <c r="G247">
        <v>1.6666666666666667</v>
      </c>
      <c r="K247">
        <v>30.19</v>
      </c>
      <c r="L247">
        <v>15.64</v>
      </c>
      <c r="M247">
        <v>51.72</v>
      </c>
      <c r="N247">
        <v>67</v>
      </c>
      <c r="O247">
        <v>15.03</v>
      </c>
      <c r="P247">
        <v>10.79</v>
      </c>
      <c r="Q247">
        <v>51.25</v>
      </c>
      <c r="R247">
        <v>7.57</v>
      </c>
      <c r="S247">
        <v>0.92</v>
      </c>
      <c r="T247">
        <v>31.4</v>
      </c>
      <c r="U247">
        <v>0</v>
      </c>
      <c r="V247">
        <v>1.772487804878049</v>
      </c>
      <c r="W247">
        <v>0.45951219512195124</v>
      </c>
      <c r="X247">
        <v>7.18</v>
      </c>
      <c r="Y247">
        <v>18.61</v>
      </c>
      <c r="AH247">
        <v>27.79</v>
      </c>
      <c r="AI247">
        <v>68</v>
      </c>
    </row>
    <row r="248" spans="1:36" x14ac:dyDescent="0.5">
      <c r="A248">
        <v>360</v>
      </c>
      <c r="B248">
        <v>210</v>
      </c>
      <c r="C248">
        <v>0.1</v>
      </c>
      <c r="D248">
        <v>180</v>
      </c>
      <c r="E248">
        <v>1000</v>
      </c>
      <c r="F248">
        <v>300</v>
      </c>
      <c r="G248">
        <v>1.6666666666666667</v>
      </c>
      <c r="K248">
        <v>30.19</v>
      </c>
      <c r="L248">
        <v>15.64</v>
      </c>
      <c r="M248">
        <v>51.72</v>
      </c>
      <c r="N248">
        <v>67</v>
      </c>
      <c r="O248">
        <v>15.03</v>
      </c>
      <c r="P248">
        <v>10.79</v>
      </c>
      <c r="Q248">
        <v>51.25</v>
      </c>
      <c r="R248">
        <v>7.57</v>
      </c>
      <c r="S248">
        <v>0.92</v>
      </c>
      <c r="T248">
        <v>31.4</v>
      </c>
      <c r="U248">
        <v>0</v>
      </c>
      <c r="V248">
        <v>1.772487804878049</v>
      </c>
      <c r="W248">
        <v>0.45951219512195124</v>
      </c>
      <c r="X248">
        <v>7.18</v>
      </c>
      <c r="Y248">
        <v>18.61</v>
      </c>
      <c r="AH248">
        <v>28.69</v>
      </c>
      <c r="AI248">
        <v>59</v>
      </c>
    </row>
    <row r="249" spans="1:36" x14ac:dyDescent="0.5">
      <c r="A249">
        <v>120</v>
      </c>
      <c r="B249">
        <v>210</v>
      </c>
      <c r="C249">
        <v>0.1</v>
      </c>
      <c r="D249">
        <v>180</v>
      </c>
      <c r="E249">
        <v>1000</v>
      </c>
      <c r="F249">
        <v>300</v>
      </c>
      <c r="G249">
        <v>1.6666666666666667</v>
      </c>
      <c r="K249">
        <v>30.19</v>
      </c>
      <c r="L249">
        <v>15.64</v>
      </c>
      <c r="M249">
        <v>51.72</v>
      </c>
      <c r="N249">
        <v>67</v>
      </c>
      <c r="O249">
        <v>15.03</v>
      </c>
      <c r="P249">
        <v>10.79</v>
      </c>
      <c r="Q249">
        <v>51.25</v>
      </c>
      <c r="R249">
        <v>7.57</v>
      </c>
      <c r="S249">
        <v>0.92</v>
      </c>
      <c r="T249">
        <v>31.4</v>
      </c>
      <c r="U249">
        <v>0</v>
      </c>
      <c r="V249">
        <v>1.772487804878049</v>
      </c>
      <c r="W249">
        <v>0.45951219512195124</v>
      </c>
      <c r="X249">
        <v>7.18</v>
      </c>
      <c r="Y249">
        <v>18.61</v>
      </c>
      <c r="AH249">
        <v>27.35</v>
      </c>
      <c r="AI249">
        <v>60.4</v>
      </c>
    </row>
    <row r="250" spans="1:36" x14ac:dyDescent="0.5">
      <c r="A250">
        <v>240</v>
      </c>
      <c r="B250">
        <v>240</v>
      </c>
      <c r="C250">
        <v>0.1</v>
      </c>
      <c r="D250">
        <v>180</v>
      </c>
      <c r="E250">
        <v>1000</v>
      </c>
      <c r="F250">
        <v>300</v>
      </c>
      <c r="G250">
        <v>1.6666666666666667</v>
      </c>
      <c r="K250">
        <v>30.19</v>
      </c>
      <c r="L250">
        <v>15.64</v>
      </c>
      <c r="M250">
        <v>51.72</v>
      </c>
      <c r="N250">
        <v>67</v>
      </c>
      <c r="O250">
        <v>15.03</v>
      </c>
      <c r="P250">
        <v>10.79</v>
      </c>
      <c r="Q250">
        <v>51.25</v>
      </c>
      <c r="R250">
        <v>7.57</v>
      </c>
      <c r="S250">
        <v>0.92</v>
      </c>
      <c r="T250">
        <v>31.4</v>
      </c>
      <c r="U250">
        <v>0</v>
      </c>
      <c r="V250">
        <v>1.772487804878049</v>
      </c>
      <c r="W250">
        <v>0.45951219512195124</v>
      </c>
      <c r="X250">
        <v>7.18</v>
      </c>
      <c r="Y250">
        <v>18.61</v>
      </c>
      <c r="AH250">
        <v>32.409999999999997</v>
      </c>
      <c r="AI250">
        <v>52</v>
      </c>
    </row>
    <row r="251" spans="1:36" x14ac:dyDescent="0.5">
      <c r="A251">
        <v>360</v>
      </c>
      <c r="B251">
        <v>180</v>
      </c>
      <c r="C251">
        <v>0.1</v>
      </c>
      <c r="D251">
        <v>120</v>
      </c>
      <c r="E251">
        <v>1000</v>
      </c>
      <c r="F251">
        <v>300</v>
      </c>
      <c r="G251">
        <v>2.5</v>
      </c>
      <c r="K251">
        <v>30.19</v>
      </c>
      <c r="L251">
        <v>15.64</v>
      </c>
      <c r="M251">
        <v>51.72</v>
      </c>
      <c r="N251">
        <v>67</v>
      </c>
      <c r="O251">
        <v>15.03</v>
      </c>
      <c r="P251">
        <v>10.79</v>
      </c>
      <c r="Q251">
        <v>51.25</v>
      </c>
      <c r="R251">
        <v>7.57</v>
      </c>
      <c r="S251">
        <v>0.92</v>
      </c>
      <c r="T251">
        <v>31.4</v>
      </c>
      <c r="U251">
        <v>0</v>
      </c>
      <c r="V251">
        <v>1.772487804878049</v>
      </c>
      <c r="W251">
        <v>0.45951219512195124</v>
      </c>
      <c r="X251">
        <v>7.18</v>
      </c>
      <c r="Y251">
        <v>18.61</v>
      </c>
      <c r="AH251">
        <v>29.07</v>
      </c>
      <c r="AI251">
        <v>68.5</v>
      </c>
    </row>
    <row r="252" spans="1:36" x14ac:dyDescent="0.5">
      <c r="A252">
        <v>240</v>
      </c>
      <c r="B252">
        <v>240</v>
      </c>
      <c r="C252">
        <v>0.1</v>
      </c>
      <c r="D252">
        <v>60</v>
      </c>
      <c r="E252">
        <v>1000</v>
      </c>
      <c r="F252">
        <v>300</v>
      </c>
      <c r="G252">
        <v>5</v>
      </c>
      <c r="K252">
        <v>30.19</v>
      </c>
      <c r="L252">
        <v>15.64</v>
      </c>
      <c r="M252">
        <v>51.72</v>
      </c>
      <c r="N252">
        <v>67</v>
      </c>
      <c r="O252">
        <v>15.03</v>
      </c>
      <c r="P252">
        <v>10.79</v>
      </c>
      <c r="Q252">
        <v>51.25</v>
      </c>
      <c r="R252">
        <v>7.57</v>
      </c>
      <c r="S252">
        <v>0.92</v>
      </c>
      <c r="T252">
        <v>31.4</v>
      </c>
      <c r="U252">
        <v>0</v>
      </c>
      <c r="V252">
        <v>1.772487804878049</v>
      </c>
      <c r="W252">
        <v>0.45951219512195124</v>
      </c>
      <c r="X252">
        <v>7.18</v>
      </c>
      <c r="Y252">
        <v>18.61</v>
      </c>
      <c r="AH252">
        <v>32.15</v>
      </c>
      <c r="AI252">
        <v>53</v>
      </c>
    </row>
    <row r="253" spans="1:36" x14ac:dyDescent="0.5">
      <c r="A253">
        <v>360</v>
      </c>
      <c r="B253">
        <v>270</v>
      </c>
      <c r="C253">
        <v>5</v>
      </c>
      <c r="D253">
        <v>10</v>
      </c>
      <c r="E253">
        <v>100</v>
      </c>
      <c r="F253">
        <v>60</v>
      </c>
      <c r="G253">
        <v>6</v>
      </c>
      <c r="Q253">
        <v>42.2</v>
      </c>
      <c r="R253">
        <v>5.6</v>
      </c>
      <c r="S253">
        <v>5.2</v>
      </c>
      <c r="T253">
        <v>35.299999999999997</v>
      </c>
      <c r="U253">
        <v>0</v>
      </c>
      <c r="V253">
        <v>1.5924170616113742</v>
      </c>
      <c r="W253">
        <v>0.62736966824644536</v>
      </c>
      <c r="X253">
        <v>11.7</v>
      </c>
      <c r="Y253">
        <v>17.100000000000001</v>
      </c>
      <c r="Z253">
        <v>69.099999999999994</v>
      </c>
      <c r="AA253">
        <v>0.5</v>
      </c>
      <c r="AB253">
        <v>3.1</v>
      </c>
      <c r="AC253">
        <v>6.4</v>
      </c>
      <c r="AD253">
        <v>0</v>
      </c>
      <c r="AE253">
        <v>8.683068017366137E-2</v>
      </c>
      <c r="AF253">
        <v>6.9464544138929094E-2</v>
      </c>
      <c r="AG253">
        <v>20.9</v>
      </c>
      <c r="AH253">
        <v>23</v>
      </c>
      <c r="AI253">
        <v>42.7</v>
      </c>
      <c r="AJ253" s="2" t="s">
        <v>82</v>
      </c>
    </row>
    <row r="254" spans="1:36" x14ac:dyDescent="0.5">
      <c r="A254">
        <v>360</v>
      </c>
      <c r="B254">
        <v>270</v>
      </c>
      <c r="C254">
        <v>5</v>
      </c>
      <c r="D254">
        <v>10</v>
      </c>
      <c r="E254">
        <v>100</v>
      </c>
      <c r="F254">
        <v>60</v>
      </c>
      <c r="G254">
        <v>6</v>
      </c>
      <c r="Q254">
        <v>43.7</v>
      </c>
      <c r="R254">
        <v>6.6</v>
      </c>
      <c r="S254">
        <v>1.1000000000000001</v>
      </c>
      <c r="T254">
        <v>48.3</v>
      </c>
      <c r="U254">
        <v>0</v>
      </c>
      <c r="V254">
        <v>1.812356979405034</v>
      </c>
      <c r="W254">
        <v>0.82894736842105254</v>
      </c>
      <c r="X254">
        <v>0.35</v>
      </c>
      <c r="Y254">
        <v>17.7</v>
      </c>
      <c r="Z254">
        <v>66.7</v>
      </c>
      <c r="AA254">
        <v>3.6</v>
      </c>
      <c r="AB254">
        <v>2.2999999999999998</v>
      </c>
      <c r="AC254">
        <v>23.3</v>
      </c>
      <c r="AD254">
        <v>0</v>
      </c>
      <c r="AE254">
        <v>0.64767616191904043</v>
      </c>
      <c r="AF254">
        <v>0.26199400299850073</v>
      </c>
      <c r="AG254">
        <v>4.0999999999999996</v>
      </c>
      <c r="AH254">
        <v>24.5</v>
      </c>
      <c r="AI254">
        <v>61.4</v>
      </c>
    </row>
    <row r="255" spans="1:36" x14ac:dyDescent="0.5">
      <c r="A255">
        <v>360</v>
      </c>
      <c r="B255">
        <v>270</v>
      </c>
      <c r="C255">
        <v>5</v>
      </c>
      <c r="D255">
        <v>10</v>
      </c>
      <c r="E255">
        <v>100</v>
      </c>
      <c r="F255">
        <v>60</v>
      </c>
      <c r="G255">
        <v>6</v>
      </c>
      <c r="Q255">
        <v>42.95</v>
      </c>
      <c r="R255">
        <v>6.1</v>
      </c>
      <c r="S255">
        <v>3.1500000000000004</v>
      </c>
      <c r="T255">
        <v>41.8</v>
      </c>
      <c r="U255">
        <v>0</v>
      </c>
      <c r="V255">
        <v>1.7043073341094293</v>
      </c>
      <c r="W255">
        <v>0.72991850989522689</v>
      </c>
      <c r="X255">
        <v>6.0249999999999995</v>
      </c>
      <c r="Y255">
        <v>17.399999999999999</v>
      </c>
      <c r="Z255">
        <v>51.3</v>
      </c>
      <c r="AA255">
        <v>3.6</v>
      </c>
      <c r="AB255">
        <v>3.4</v>
      </c>
      <c r="AC255">
        <v>28.5</v>
      </c>
      <c r="AD255">
        <v>0</v>
      </c>
      <c r="AE255">
        <v>0.84210526315789491</v>
      </c>
      <c r="AF255">
        <v>0.41666666666666674</v>
      </c>
      <c r="AG255">
        <v>13.2</v>
      </c>
      <c r="AH255">
        <v>18.5</v>
      </c>
      <c r="AI255">
        <v>53.3</v>
      </c>
    </row>
    <row r="256" spans="1:36" x14ac:dyDescent="0.5">
      <c r="A256">
        <v>360</v>
      </c>
      <c r="B256">
        <v>270</v>
      </c>
      <c r="C256">
        <v>5</v>
      </c>
      <c r="D256">
        <v>10</v>
      </c>
      <c r="E256">
        <v>100</v>
      </c>
      <c r="F256">
        <v>60</v>
      </c>
      <c r="G256">
        <v>6</v>
      </c>
      <c r="Q256">
        <v>72.3</v>
      </c>
      <c r="R256">
        <v>1</v>
      </c>
      <c r="S256">
        <v>1.7</v>
      </c>
      <c r="T256">
        <v>4.5999999999999996</v>
      </c>
      <c r="U256">
        <v>0</v>
      </c>
      <c r="V256">
        <v>0.16597510373443985</v>
      </c>
      <c r="W256">
        <v>4.7717842323651456E-2</v>
      </c>
      <c r="X256">
        <v>20.3</v>
      </c>
      <c r="Y256">
        <v>25</v>
      </c>
      <c r="Z256">
        <v>74.400000000000006</v>
      </c>
      <c r="AA256">
        <v>1</v>
      </c>
      <c r="AB256">
        <v>1.9</v>
      </c>
      <c r="AC256">
        <v>2.2999999999999998</v>
      </c>
      <c r="AD256">
        <v>1</v>
      </c>
      <c r="AE256">
        <v>0.16129032258064516</v>
      </c>
      <c r="AF256">
        <v>2.3185483870967739E-2</v>
      </c>
      <c r="AG256">
        <v>20.399999999999999</v>
      </c>
      <c r="AH256">
        <v>25.9</v>
      </c>
      <c r="AI256">
        <v>26.7</v>
      </c>
    </row>
    <row r="257" spans="1:39" x14ac:dyDescent="0.5">
      <c r="A257">
        <v>360</v>
      </c>
      <c r="B257">
        <v>270</v>
      </c>
      <c r="C257">
        <v>5</v>
      </c>
      <c r="D257">
        <v>10</v>
      </c>
      <c r="E257">
        <v>100</v>
      </c>
      <c r="F257">
        <v>60</v>
      </c>
      <c r="G257">
        <v>6</v>
      </c>
      <c r="Q257">
        <v>76.099999999999994</v>
      </c>
      <c r="R257">
        <v>1.1000000000000001</v>
      </c>
      <c r="S257">
        <v>1.5</v>
      </c>
      <c r="T257">
        <v>15.7</v>
      </c>
      <c r="U257">
        <v>0</v>
      </c>
      <c r="V257">
        <v>0.1734559789750329</v>
      </c>
      <c r="W257">
        <v>0.15473061760841</v>
      </c>
      <c r="X257">
        <v>5.6</v>
      </c>
      <c r="Y257">
        <v>25.5</v>
      </c>
      <c r="Z257">
        <v>78.599999999999994</v>
      </c>
      <c r="AA257">
        <v>1.1000000000000001</v>
      </c>
      <c r="AB257">
        <v>1.2</v>
      </c>
      <c r="AC257">
        <v>12</v>
      </c>
      <c r="AD257">
        <v>2</v>
      </c>
      <c r="AE257">
        <v>0.16793893129770995</v>
      </c>
      <c r="AF257">
        <v>0.11450381679389313</v>
      </c>
      <c r="AG257">
        <v>7.1</v>
      </c>
      <c r="AH257">
        <v>26.8</v>
      </c>
      <c r="AI257">
        <v>51.9</v>
      </c>
    </row>
    <row r="258" spans="1:39" x14ac:dyDescent="0.5">
      <c r="A258">
        <v>360</v>
      </c>
      <c r="B258">
        <v>270</v>
      </c>
      <c r="C258">
        <v>5</v>
      </c>
      <c r="D258">
        <v>10</v>
      </c>
      <c r="E258">
        <v>100</v>
      </c>
      <c r="F258">
        <v>60</v>
      </c>
      <c r="G258">
        <v>6</v>
      </c>
      <c r="Q258">
        <v>78.2</v>
      </c>
      <c r="R258">
        <v>0.9</v>
      </c>
      <c r="S258">
        <v>1.7</v>
      </c>
      <c r="T258">
        <v>6</v>
      </c>
      <c r="U258">
        <v>0</v>
      </c>
      <c r="V258">
        <v>0.13810741687979541</v>
      </c>
      <c r="W258">
        <v>5.754475703324808E-2</v>
      </c>
      <c r="X258">
        <v>13.2</v>
      </c>
      <c r="Y258">
        <v>26.9</v>
      </c>
      <c r="Z258">
        <v>79.900000000000006</v>
      </c>
      <c r="AA258">
        <v>1.1000000000000001</v>
      </c>
      <c r="AB258">
        <v>1.6</v>
      </c>
      <c r="AC258">
        <v>2.4</v>
      </c>
      <c r="AD258">
        <v>3</v>
      </c>
      <c r="AE258">
        <v>0.16520650813516896</v>
      </c>
      <c r="AF258">
        <v>2.2528160200250308E-2</v>
      </c>
      <c r="AG258">
        <v>15</v>
      </c>
      <c r="AH258">
        <v>28.1</v>
      </c>
      <c r="AI258">
        <v>87.7</v>
      </c>
    </row>
    <row r="259" spans="1:39" x14ac:dyDescent="0.5">
      <c r="A259">
        <v>60</v>
      </c>
      <c r="B259">
        <v>180</v>
      </c>
      <c r="C259">
        <v>0.1</v>
      </c>
      <c r="D259">
        <v>75</v>
      </c>
      <c r="E259">
        <v>1000</v>
      </c>
      <c r="F259">
        <v>500</v>
      </c>
      <c r="G259">
        <v>6.666666666666667</v>
      </c>
      <c r="N259">
        <v>26</v>
      </c>
      <c r="O259">
        <v>51.7</v>
      </c>
      <c r="P259">
        <v>9.1999999999999993</v>
      </c>
      <c r="Q259">
        <v>36</v>
      </c>
      <c r="R259">
        <v>5.2</v>
      </c>
      <c r="S259">
        <v>1.3</v>
      </c>
      <c r="T259">
        <v>18.2</v>
      </c>
      <c r="U259">
        <v>0.2</v>
      </c>
      <c r="V259">
        <v>1.7333333333333334</v>
      </c>
      <c r="W259">
        <v>0.37916666666666665</v>
      </c>
      <c r="X259">
        <v>39.200000000000003</v>
      </c>
      <c r="Y259">
        <v>14.6</v>
      </c>
      <c r="Z259">
        <v>29.2</v>
      </c>
      <c r="AA259">
        <v>3.7</v>
      </c>
      <c r="AB259">
        <v>0.85</v>
      </c>
      <c r="AC259">
        <v>16.2</v>
      </c>
      <c r="AD259">
        <v>0.62</v>
      </c>
      <c r="AE259">
        <v>1.5205479452054798</v>
      </c>
      <c r="AF259">
        <v>0.4160958904109589</v>
      </c>
      <c r="AG259">
        <v>49.5</v>
      </c>
      <c r="AH259">
        <v>11.51</v>
      </c>
      <c r="AI259">
        <v>70.7</v>
      </c>
      <c r="AJ259" t="s">
        <v>85</v>
      </c>
    </row>
    <row r="260" spans="1:39" x14ac:dyDescent="0.5">
      <c r="A260">
        <v>240</v>
      </c>
      <c r="B260">
        <v>180</v>
      </c>
      <c r="C260">
        <v>0.1</v>
      </c>
      <c r="D260">
        <v>75</v>
      </c>
      <c r="E260">
        <v>1000</v>
      </c>
      <c r="F260">
        <v>500</v>
      </c>
      <c r="G260">
        <v>6.666666666666667</v>
      </c>
      <c r="N260">
        <v>26</v>
      </c>
      <c r="O260">
        <v>51.7</v>
      </c>
      <c r="P260">
        <v>9.1999999999999993</v>
      </c>
      <c r="Q260">
        <v>36</v>
      </c>
      <c r="R260">
        <v>5.2</v>
      </c>
      <c r="S260">
        <v>1.3</v>
      </c>
      <c r="T260">
        <v>18.2</v>
      </c>
      <c r="U260">
        <v>0.2</v>
      </c>
      <c r="V260">
        <v>1.7333333333333334</v>
      </c>
      <c r="W260">
        <v>0.37916666666666665</v>
      </c>
      <c r="X260">
        <v>39.200000000000003</v>
      </c>
      <c r="Y260">
        <v>14.6</v>
      </c>
      <c r="Z260">
        <v>29.9</v>
      </c>
      <c r="AA260">
        <v>3.7</v>
      </c>
      <c r="AB260">
        <v>0.9</v>
      </c>
      <c r="AC260">
        <v>15.3</v>
      </c>
      <c r="AD260">
        <v>0.74</v>
      </c>
      <c r="AE260">
        <v>1.4849498327759199</v>
      </c>
      <c r="AF260">
        <v>0.38377926421404684</v>
      </c>
      <c r="AG260">
        <v>49.5</v>
      </c>
      <c r="AH260">
        <v>12</v>
      </c>
      <c r="AI260">
        <v>67.599999999999994</v>
      </c>
    </row>
    <row r="261" spans="1:39" x14ac:dyDescent="0.5">
      <c r="A261">
        <v>480</v>
      </c>
      <c r="B261">
        <v>180</v>
      </c>
      <c r="C261">
        <v>0.1</v>
      </c>
      <c r="D261">
        <v>75</v>
      </c>
      <c r="E261">
        <v>1000</v>
      </c>
      <c r="F261">
        <v>500</v>
      </c>
      <c r="G261">
        <v>6.666666666666667</v>
      </c>
      <c r="N261">
        <v>26</v>
      </c>
      <c r="O261">
        <v>51.7</v>
      </c>
      <c r="P261">
        <v>9.1999999999999993</v>
      </c>
      <c r="Q261">
        <v>36</v>
      </c>
      <c r="R261">
        <v>5.2</v>
      </c>
      <c r="S261">
        <v>1.3</v>
      </c>
      <c r="T261">
        <v>18.2</v>
      </c>
      <c r="U261">
        <v>0.2</v>
      </c>
      <c r="V261">
        <v>1.7333333333333334</v>
      </c>
      <c r="W261">
        <v>0.37916666666666665</v>
      </c>
      <c r="X261">
        <v>39.200000000000003</v>
      </c>
      <c r="Y261">
        <v>14.6</v>
      </c>
      <c r="Z261">
        <v>27.3</v>
      </c>
      <c r="AA261">
        <v>3.3</v>
      </c>
      <c r="AB261">
        <v>0.75</v>
      </c>
      <c r="AC261">
        <v>10.5</v>
      </c>
      <c r="AD261">
        <v>0.74</v>
      </c>
      <c r="AE261">
        <v>1.4505494505494505</v>
      </c>
      <c r="AF261">
        <v>0.28846153846153849</v>
      </c>
      <c r="AG261">
        <v>57.4</v>
      </c>
      <c r="AH261">
        <v>10.7</v>
      </c>
      <c r="AI261">
        <v>66.3</v>
      </c>
    </row>
    <row r="262" spans="1:39" x14ac:dyDescent="0.5">
      <c r="A262">
        <v>60</v>
      </c>
      <c r="B262">
        <v>200</v>
      </c>
      <c r="C262">
        <v>0.1</v>
      </c>
      <c r="D262">
        <v>75</v>
      </c>
      <c r="E262">
        <v>1000</v>
      </c>
      <c r="F262">
        <v>500</v>
      </c>
      <c r="G262">
        <v>6.666666666666667</v>
      </c>
      <c r="N262">
        <v>26</v>
      </c>
      <c r="O262">
        <v>51.7</v>
      </c>
      <c r="P262">
        <v>9.1999999999999993</v>
      </c>
      <c r="Q262">
        <v>36</v>
      </c>
      <c r="R262">
        <v>5.2</v>
      </c>
      <c r="S262">
        <v>1.3</v>
      </c>
      <c r="T262">
        <v>18.2</v>
      </c>
      <c r="U262">
        <v>0.2</v>
      </c>
      <c r="V262">
        <v>1.7333333333333334</v>
      </c>
      <c r="W262">
        <v>0.37916666666666665</v>
      </c>
      <c r="X262">
        <v>39.200000000000003</v>
      </c>
      <c r="Y262">
        <v>14.6</v>
      </c>
      <c r="Z262">
        <v>32.6</v>
      </c>
      <c r="AA262">
        <v>4.2</v>
      </c>
      <c r="AB262">
        <v>0.8</v>
      </c>
      <c r="AC262">
        <v>13.9</v>
      </c>
      <c r="AD262">
        <v>0.5</v>
      </c>
      <c r="AE262">
        <v>1.5460122699386503</v>
      </c>
      <c r="AF262">
        <v>0.31978527607361962</v>
      </c>
      <c r="AG262">
        <v>48</v>
      </c>
      <c r="AH262">
        <v>13.5</v>
      </c>
      <c r="AI262">
        <v>64.2</v>
      </c>
    </row>
    <row r="263" spans="1:39" x14ac:dyDescent="0.5">
      <c r="A263">
        <v>240</v>
      </c>
      <c r="B263">
        <v>200</v>
      </c>
      <c r="C263">
        <v>0.1</v>
      </c>
      <c r="D263">
        <v>75</v>
      </c>
      <c r="E263">
        <v>1000</v>
      </c>
      <c r="F263">
        <v>500</v>
      </c>
      <c r="G263">
        <v>6.666666666666667</v>
      </c>
      <c r="N263">
        <v>26</v>
      </c>
      <c r="O263">
        <v>51.7</v>
      </c>
      <c r="P263">
        <v>9.1999999999999993</v>
      </c>
      <c r="Q263">
        <v>36</v>
      </c>
      <c r="R263">
        <v>5.2</v>
      </c>
      <c r="S263">
        <v>1.3</v>
      </c>
      <c r="T263">
        <v>18.2</v>
      </c>
      <c r="U263">
        <v>0.2</v>
      </c>
      <c r="V263">
        <v>1.7333333333333334</v>
      </c>
      <c r="W263">
        <v>0.37916666666666665</v>
      </c>
      <c r="X263">
        <v>39.200000000000003</v>
      </c>
      <c r="Y263">
        <v>14.6</v>
      </c>
      <c r="Z263">
        <v>33.700000000000003</v>
      </c>
      <c r="AA263">
        <v>4.2</v>
      </c>
      <c r="AB263">
        <v>0.9</v>
      </c>
      <c r="AC263">
        <v>12.7</v>
      </c>
      <c r="AD263">
        <v>0.5</v>
      </c>
      <c r="AE263">
        <v>1.4955489614243322</v>
      </c>
      <c r="AF263">
        <v>0.2826409495548961</v>
      </c>
      <c r="AG263">
        <v>48.1</v>
      </c>
      <c r="AH263">
        <v>14.2</v>
      </c>
      <c r="AI263">
        <v>63.3</v>
      </c>
    </row>
    <row r="264" spans="1:39" x14ac:dyDescent="0.5">
      <c r="A264">
        <v>480</v>
      </c>
      <c r="B264">
        <v>200</v>
      </c>
      <c r="C264">
        <v>0.1</v>
      </c>
      <c r="D264">
        <v>75</v>
      </c>
      <c r="E264">
        <v>1000</v>
      </c>
      <c r="F264">
        <v>500</v>
      </c>
      <c r="G264">
        <v>6.666666666666667</v>
      </c>
      <c r="N264">
        <v>26</v>
      </c>
      <c r="O264">
        <v>51.7</v>
      </c>
      <c r="P264">
        <v>9.1999999999999993</v>
      </c>
      <c r="Q264">
        <v>36</v>
      </c>
      <c r="R264">
        <v>5.2</v>
      </c>
      <c r="S264">
        <v>1.3</v>
      </c>
      <c r="T264">
        <v>18.2</v>
      </c>
      <c r="U264">
        <v>0.2</v>
      </c>
      <c r="V264">
        <v>1.7333333333333334</v>
      </c>
      <c r="W264">
        <v>0.37916666666666665</v>
      </c>
      <c r="X264">
        <v>39.200000000000003</v>
      </c>
      <c r="Y264">
        <v>14.6</v>
      </c>
      <c r="Z264">
        <v>32.299999999999997</v>
      </c>
      <c r="AA264">
        <v>4</v>
      </c>
      <c r="AB264">
        <v>1</v>
      </c>
      <c r="AC264">
        <v>10.3</v>
      </c>
      <c r="AD264">
        <v>0.5</v>
      </c>
      <c r="AE264">
        <v>1.4860681114551084</v>
      </c>
      <c r="AF264">
        <v>0.23916408668730654</v>
      </c>
      <c r="AG264">
        <v>52</v>
      </c>
      <c r="AH264">
        <v>14.4</v>
      </c>
      <c r="AI264">
        <v>57.8</v>
      </c>
    </row>
    <row r="265" spans="1:39" x14ac:dyDescent="0.5">
      <c r="A265">
        <v>60</v>
      </c>
      <c r="B265">
        <v>220</v>
      </c>
      <c r="C265">
        <v>0.1</v>
      </c>
      <c r="D265">
        <v>75</v>
      </c>
      <c r="E265">
        <v>1000</v>
      </c>
      <c r="F265">
        <v>500</v>
      </c>
      <c r="G265">
        <v>6.666666666666667</v>
      </c>
      <c r="N265">
        <v>26</v>
      </c>
      <c r="O265">
        <v>51.7</v>
      </c>
      <c r="P265">
        <v>9.1999999999999993</v>
      </c>
      <c r="Q265">
        <v>36</v>
      </c>
      <c r="R265">
        <v>5.2</v>
      </c>
      <c r="S265">
        <v>1.3</v>
      </c>
      <c r="T265">
        <v>18.2</v>
      </c>
      <c r="U265">
        <v>0.2</v>
      </c>
      <c r="V265">
        <v>1.7333333333333334</v>
      </c>
      <c r="W265">
        <v>0.37916666666666665</v>
      </c>
      <c r="X265">
        <v>39.200000000000003</v>
      </c>
      <c r="Y265">
        <v>14.6</v>
      </c>
      <c r="Z265">
        <v>38.299999999999997</v>
      </c>
      <c r="AA265">
        <v>4.7</v>
      </c>
      <c r="AB265">
        <v>0.9</v>
      </c>
      <c r="AC265">
        <v>15.4</v>
      </c>
      <c r="AD265">
        <v>0.14000000000000001</v>
      </c>
      <c r="AE265">
        <v>1.4725848563968671</v>
      </c>
      <c r="AF265">
        <v>0.30156657963446476</v>
      </c>
      <c r="AG265">
        <v>40.700000000000003</v>
      </c>
      <c r="AH265">
        <v>16.399999999999999</v>
      </c>
      <c r="AI265">
        <v>60.3</v>
      </c>
    </row>
    <row r="266" spans="1:39" x14ac:dyDescent="0.5">
      <c r="A266">
        <v>240</v>
      </c>
      <c r="B266">
        <v>220</v>
      </c>
      <c r="C266">
        <v>0.1</v>
      </c>
      <c r="D266">
        <v>75</v>
      </c>
      <c r="E266">
        <v>1000</v>
      </c>
      <c r="F266">
        <v>500</v>
      </c>
      <c r="G266">
        <v>6.666666666666667</v>
      </c>
      <c r="N266">
        <v>26</v>
      </c>
      <c r="O266">
        <v>51.7</v>
      </c>
      <c r="P266">
        <v>9.1999999999999993</v>
      </c>
      <c r="Q266">
        <v>36</v>
      </c>
      <c r="R266">
        <v>5.2</v>
      </c>
      <c r="S266">
        <v>1.3</v>
      </c>
      <c r="T266">
        <v>18.2</v>
      </c>
      <c r="U266">
        <v>0.2</v>
      </c>
      <c r="V266">
        <v>1.7333333333333334</v>
      </c>
      <c r="W266">
        <v>0.37916666666666665</v>
      </c>
      <c r="X266">
        <v>39.200000000000003</v>
      </c>
      <c r="Y266">
        <v>14.6</v>
      </c>
      <c r="Z266">
        <v>38.200000000000003</v>
      </c>
      <c r="AA266">
        <v>4.5</v>
      </c>
      <c r="AB266">
        <v>1.1299999999999999</v>
      </c>
      <c r="AC266">
        <v>10.3</v>
      </c>
      <c r="AD266">
        <v>0.19</v>
      </c>
      <c r="AE266">
        <v>1.413612565445026</v>
      </c>
      <c r="AF266">
        <v>0.20222513089005237</v>
      </c>
      <c r="AG266">
        <v>45.7</v>
      </c>
      <c r="AH266">
        <v>16.7</v>
      </c>
      <c r="AI266">
        <v>52.8</v>
      </c>
    </row>
    <row r="267" spans="1:39" x14ac:dyDescent="0.5">
      <c r="A267">
        <v>480</v>
      </c>
      <c r="B267">
        <v>220</v>
      </c>
      <c r="C267">
        <v>0.1</v>
      </c>
      <c r="D267">
        <v>75</v>
      </c>
      <c r="E267">
        <v>1000</v>
      </c>
      <c r="F267">
        <v>500</v>
      </c>
      <c r="G267">
        <v>6.666666666666667</v>
      </c>
      <c r="N267">
        <v>26</v>
      </c>
      <c r="O267">
        <v>51.7</v>
      </c>
      <c r="P267">
        <v>9.1999999999999993</v>
      </c>
      <c r="Q267">
        <v>36</v>
      </c>
      <c r="R267">
        <v>5.2</v>
      </c>
      <c r="S267">
        <v>1.3</v>
      </c>
      <c r="T267">
        <v>18.2</v>
      </c>
      <c r="U267">
        <v>0.2</v>
      </c>
      <c r="V267">
        <v>1.7333333333333334</v>
      </c>
      <c r="W267">
        <v>0.37916666666666665</v>
      </c>
      <c r="X267">
        <v>39.200000000000003</v>
      </c>
      <c r="Y267">
        <v>14.6</v>
      </c>
      <c r="Z267">
        <v>40.5</v>
      </c>
      <c r="AA267">
        <v>4.7699999999999996</v>
      </c>
      <c r="AB267">
        <v>1.33</v>
      </c>
      <c r="AC267">
        <v>7.1</v>
      </c>
      <c r="AD267">
        <v>0.3</v>
      </c>
      <c r="AE267">
        <v>1.4133333333333331</v>
      </c>
      <c r="AF267">
        <v>0.13148148148148148</v>
      </c>
      <c r="AG267">
        <v>46.1</v>
      </c>
      <c r="AH267">
        <v>18.5</v>
      </c>
      <c r="AI267">
        <v>44.8</v>
      </c>
    </row>
    <row r="268" spans="1:39" x14ac:dyDescent="0.5">
      <c r="A268">
        <v>60</v>
      </c>
      <c r="B268">
        <v>180</v>
      </c>
      <c r="C268">
        <v>0.1</v>
      </c>
      <c r="D268">
        <v>42</v>
      </c>
      <c r="E268">
        <v>1000</v>
      </c>
      <c r="F268">
        <v>600</v>
      </c>
      <c r="G268">
        <v>14.285714285714286</v>
      </c>
      <c r="N268">
        <v>26</v>
      </c>
      <c r="O268">
        <v>51.7</v>
      </c>
      <c r="P268">
        <v>9.1999999999999993</v>
      </c>
      <c r="Q268">
        <v>36</v>
      </c>
      <c r="R268">
        <v>5.2</v>
      </c>
      <c r="S268">
        <v>1.3</v>
      </c>
      <c r="T268">
        <v>18.2</v>
      </c>
      <c r="U268">
        <v>0.2</v>
      </c>
      <c r="V268">
        <v>1.7333333333333334</v>
      </c>
      <c r="W268">
        <v>0.37916666666666665</v>
      </c>
      <c r="X268">
        <v>39.200000000000003</v>
      </c>
      <c r="Y268">
        <v>14.6</v>
      </c>
      <c r="Z268">
        <v>37.299999999999997</v>
      </c>
      <c r="AA268">
        <v>5.05</v>
      </c>
      <c r="AB268">
        <v>0.86</v>
      </c>
      <c r="AC268">
        <v>23.7</v>
      </c>
      <c r="AD268">
        <v>0.06</v>
      </c>
      <c r="AE268">
        <v>1.6246648793565686</v>
      </c>
      <c r="AF268">
        <v>0.47654155495978556</v>
      </c>
      <c r="AG268">
        <v>33</v>
      </c>
      <c r="AH268">
        <v>15.8</v>
      </c>
      <c r="AI268">
        <v>69.2</v>
      </c>
    </row>
    <row r="269" spans="1:39" x14ac:dyDescent="0.5">
      <c r="A269">
        <v>240</v>
      </c>
      <c r="B269">
        <v>180</v>
      </c>
      <c r="C269">
        <v>0.1</v>
      </c>
      <c r="D269">
        <v>42</v>
      </c>
      <c r="E269">
        <v>1000</v>
      </c>
      <c r="F269">
        <v>600</v>
      </c>
      <c r="G269">
        <v>14.285714285714286</v>
      </c>
      <c r="N269">
        <v>26</v>
      </c>
      <c r="O269">
        <v>51.7</v>
      </c>
      <c r="P269">
        <v>9.1999999999999993</v>
      </c>
      <c r="Q269">
        <v>36</v>
      </c>
      <c r="R269">
        <v>5.2</v>
      </c>
      <c r="S269">
        <v>1.3</v>
      </c>
      <c r="T269">
        <v>18.2</v>
      </c>
      <c r="U269">
        <v>0.2</v>
      </c>
      <c r="V269">
        <v>1.7333333333333334</v>
      </c>
      <c r="W269">
        <v>0.37916666666666665</v>
      </c>
      <c r="X269">
        <v>39.200000000000003</v>
      </c>
      <c r="Y269">
        <v>14.6</v>
      </c>
      <c r="Z269">
        <v>35.5</v>
      </c>
      <c r="AA269">
        <v>4.7</v>
      </c>
      <c r="AB269">
        <v>0.77</v>
      </c>
      <c r="AC269">
        <v>19.3</v>
      </c>
      <c r="AD269">
        <v>0.05</v>
      </c>
      <c r="AE269">
        <v>1.5887323943661971</v>
      </c>
      <c r="AF269">
        <v>0.40774647887323945</v>
      </c>
      <c r="AG269">
        <v>39.799999999999997</v>
      </c>
      <c r="AH269">
        <v>14.9</v>
      </c>
      <c r="AI269">
        <v>64.7</v>
      </c>
    </row>
    <row r="270" spans="1:39" x14ac:dyDescent="0.5">
      <c r="A270">
        <v>480</v>
      </c>
      <c r="B270">
        <v>180</v>
      </c>
      <c r="C270">
        <v>0.1</v>
      </c>
      <c r="D270">
        <v>42</v>
      </c>
      <c r="E270">
        <v>1000</v>
      </c>
      <c r="F270">
        <v>600</v>
      </c>
      <c r="G270">
        <v>14.285714285714286</v>
      </c>
      <c r="N270">
        <v>26</v>
      </c>
      <c r="O270">
        <v>51.7</v>
      </c>
      <c r="P270">
        <v>9.1999999999999993</v>
      </c>
      <c r="Q270">
        <v>36</v>
      </c>
      <c r="R270">
        <v>5.2</v>
      </c>
      <c r="S270">
        <v>1.3</v>
      </c>
      <c r="T270">
        <v>18.2</v>
      </c>
      <c r="U270">
        <v>0.2</v>
      </c>
      <c r="V270">
        <v>1.7333333333333334</v>
      </c>
      <c r="W270">
        <v>0.37916666666666665</v>
      </c>
      <c r="X270">
        <v>39.200000000000003</v>
      </c>
      <c r="Y270">
        <v>14.6</v>
      </c>
      <c r="Z270">
        <v>36.4</v>
      </c>
      <c r="AA270">
        <v>4.9000000000000004</v>
      </c>
      <c r="AB270">
        <v>0.9</v>
      </c>
      <c r="AC270">
        <v>21.5</v>
      </c>
      <c r="AD270">
        <v>0.05</v>
      </c>
      <c r="AE270">
        <v>1.6153846153846156</v>
      </c>
      <c r="AF270">
        <v>0.44299450549450553</v>
      </c>
      <c r="AG270">
        <v>36.4</v>
      </c>
      <c r="AH270">
        <v>15.7</v>
      </c>
      <c r="AI270">
        <v>59.8</v>
      </c>
    </row>
    <row r="271" spans="1:39" x14ac:dyDescent="0.5">
      <c r="A271">
        <v>60</v>
      </c>
      <c r="B271">
        <v>200</v>
      </c>
      <c r="C271">
        <v>0.1</v>
      </c>
      <c r="D271">
        <v>42</v>
      </c>
      <c r="E271">
        <v>1000</v>
      </c>
      <c r="F271">
        <v>600</v>
      </c>
      <c r="G271">
        <v>14.285714285714286</v>
      </c>
      <c r="N271">
        <v>26</v>
      </c>
      <c r="O271">
        <v>51.7</v>
      </c>
      <c r="P271">
        <v>9.1999999999999993</v>
      </c>
      <c r="Q271">
        <v>36</v>
      </c>
      <c r="R271">
        <v>5.2</v>
      </c>
      <c r="S271">
        <v>1.3</v>
      </c>
      <c r="T271">
        <v>18.2</v>
      </c>
      <c r="U271">
        <v>0.2</v>
      </c>
      <c r="V271">
        <v>1.7333333333333334</v>
      </c>
      <c r="W271">
        <v>0.37916666666666665</v>
      </c>
      <c r="X271">
        <v>39.200000000000003</v>
      </c>
      <c r="Y271">
        <v>14.6</v>
      </c>
      <c r="Z271">
        <v>38.200000000000003</v>
      </c>
      <c r="AA271">
        <v>5</v>
      </c>
      <c r="AB271">
        <v>0.79</v>
      </c>
      <c r="AC271">
        <v>20.2</v>
      </c>
      <c r="AD271">
        <v>0.2</v>
      </c>
      <c r="AE271">
        <v>1.5706806282722512</v>
      </c>
      <c r="AF271">
        <v>0.39659685863874339</v>
      </c>
      <c r="AG271">
        <v>35.700000000000003</v>
      </c>
      <c r="AH271">
        <v>16.5</v>
      </c>
      <c r="AI271">
        <v>62.7</v>
      </c>
      <c r="AL271" s="8"/>
      <c r="AM271" s="8"/>
    </row>
    <row r="272" spans="1:39" x14ac:dyDescent="0.5">
      <c r="A272">
        <v>240</v>
      </c>
      <c r="B272">
        <v>200</v>
      </c>
      <c r="C272">
        <v>0.1</v>
      </c>
      <c r="D272">
        <v>42</v>
      </c>
      <c r="E272">
        <v>1000</v>
      </c>
      <c r="F272">
        <v>600</v>
      </c>
      <c r="G272">
        <v>14.285714285714286</v>
      </c>
      <c r="N272">
        <v>26</v>
      </c>
      <c r="O272">
        <v>51.7</v>
      </c>
      <c r="P272">
        <v>9.1999999999999993</v>
      </c>
      <c r="Q272">
        <v>36</v>
      </c>
      <c r="R272">
        <v>5.2</v>
      </c>
      <c r="S272">
        <v>1.3</v>
      </c>
      <c r="T272">
        <v>18.2</v>
      </c>
      <c r="U272">
        <v>0.2</v>
      </c>
      <c r="V272">
        <v>1.7333333333333334</v>
      </c>
      <c r="W272">
        <v>0.37916666666666665</v>
      </c>
      <c r="X272">
        <v>39.200000000000003</v>
      </c>
      <c r="Y272">
        <v>14.6</v>
      </c>
      <c r="Z272">
        <v>3.73</v>
      </c>
      <c r="AA272">
        <v>4.8</v>
      </c>
      <c r="AB272">
        <v>0.88</v>
      </c>
      <c r="AC272">
        <v>17.100000000000001</v>
      </c>
      <c r="AD272">
        <v>0.3</v>
      </c>
      <c r="AE272">
        <v>15.442359249329757</v>
      </c>
      <c r="AF272">
        <v>3.4383378016085793</v>
      </c>
      <c r="AG272">
        <v>39.700000000000003</v>
      </c>
      <c r="AH272">
        <v>15.9</v>
      </c>
      <c r="AI272">
        <v>56.9</v>
      </c>
      <c r="AL272" s="9"/>
      <c r="AM272" s="9"/>
    </row>
    <row r="273" spans="1:39" x14ac:dyDescent="0.5">
      <c r="A273">
        <v>480</v>
      </c>
      <c r="B273">
        <v>200</v>
      </c>
      <c r="C273">
        <v>0.1</v>
      </c>
      <c r="D273">
        <v>42</v>
      </c>
      <c r="E273">
        <v>1000</v>
      </c>
      <c r="F273">
        <v>600</v>
      </c>
      <c r="G273">
        <v>14.285714285714286</v>
      </c>
      <c r="N273">
        <v>26</v>
      </c>
      <c r="O273">
        <v>51.7</v>
      </c>
      <c r="P273">
        <v>9.1999999999999993</v>
      </c>
      <c r="Q273">
        <v>36</v>
      </c>
      <c r="R273">
        <v>5.2</v>
      </c>
      <c r="S273">
        <v>1.3</v>
      </c>
      <c r="T273">
        <v>18.2</v>
      </c>
      <c r="U273">
        <v>0.2</v>
      </c>
      <c r="V273">
        <v>1.7333333333333334</v>
      </c>
      <c r="W273">
        <v>0.37916666666666665</v>
      </c>
      <c r="X273">
        <v>39.200000000000003</v>
      </c>
      <c r="Y273">
        <v>14.6</v>
      </c>
      <c r="Z273">
        <v>3.46</v>
      </c>
      <c r="AA273">
        <v>4.4000000000000004</v>
      </c>
      <c r="AB273">
        <v>0.93</v>
      </c>
      <c r="AC273">
        <v>14</v>
      </c>
      <c r="AD273">
        <v>0.3</v>
      </c>
      <c r="AE273">
        <v>15.260115606936418</v>
      </c>
      <c r="AF273">
        <v>3.0346820809248554</v>
      </c>
      <c r="AG273">
        <v>45.7</v>
      </c>
      <c r="AH273">
        <v>15.2</v>
      </c>
      <c r="AI273">
        <v>56.1</v>
      </c>
      <c r="AL273" s="9"/>
      <c r="AM273" s="9"/>
    </row>
    <row r="274" spans="1:39" x14ac:dyDescent="0.5">
      <c r="A274">
        <v>60</v>
      </c>
      <c r="B274">
        <v>220</v>
      </c>
      <c r="C274">
        <v>0.1</v>
      </c>
      <c r="D274">
        <v>42</v>
      </c>
      <c r="E274">
        <v>1000</v>
      </c>
      <c r="F274">
        <v>600</v>
      </c>
      <c r="G274">
        <v>14.285714285714286</v>
      </c>
      <c r="N274">
        <v>26</v>
      </c>
      <c r="O274">
        <v>51.7</v>
      </c>
      <c r="P274">
        <v>9.1999999999999993</v>
      </c>
      <c r="Q274">
        <v>36</v>
      </c>
      <c r="R274">
        <v>5.2</v>
      </c>
      <c r="S274">
        <v>1.3</v>
      </c>
      <c r="T274">
        <v>18.2</v>
      </c>
      <c r="U274">
        <v>0.2</v>
      </c>
      <c r="V274">
        <v>1.7333333333333334</v>
      </c>
      <c r="W274">
        <v>0.37916666666666665</v>
      </c>
      <c r="X274">
        <v>39.200000000000003</v>
      </c>
      <c r="Y274">
        <v>14.6</v>
      </c>
      <c r="Z274">
        <v>28.4</v>
      </c>
      <c r="AA274">
        <v>3.6</v>
      </c>
      <c r="AB274">
        <v>0.6</v>
      </c>
      <c r="AC274">
        <v>12</v>
      </c>
      <c r="AD274">
        <v>0.05</v>
      </c>
      <c r="AE274">
        <v>1.5211267605633803</v>
      </c>
      <c r="AF274">
        <v>0.31690140845070425</v>
      </c>
      <c r="AG274">
        <v>55.3</v>
      </c>
      <c r="AH274">
        <v>12.2</v>
      </c>
      <c r="AI274">
        <v>58.6</v>
      </c>
      <c r="AL274" s="9"/>
      <c r="AM274" s="9"/>
    </row>
    <row r="275" spans="1:39" x14ac:dyDescent="0.5">
      <c r="A275">
        <v>240</v>
      </c>
      <c r="B275">
        <v>220</v>
      </c>
      <c r="C275">
        <v>0.1</v>
      </c>
      <c r="D275">
        <v>42</v>
      </c>
      <c r="E275">
        <v>1000</v>
      </c>
      <c r="F275">
        <v>600</v>
      </c>
      <c r="G275">
        <v>14.285714285714286</v>
      </c>
      <c r="N275">
        <v>26</v>
      </c>
      <c r="O275">
        <v>51.7</v>
      </c>
      <c r="P275">
        <v>9.1999999999999993</v>
      </c>
      <c r="Q275">
        <v>36</v>
      </c>
      <c r="R275">
        <v>5.2</v>
      </c>
      <c r="S275">
        <v>1.3</v>
      </c>
      <c r="T275">
        <v>18.2</v>
      </c>
      <c r="U275">
        <v>0.2</v>
      </c>
      <c r="V275">
        <v>1.7333333333333334</v>
      </c>
      <c r="W275">
        <v>0.37916666666666665</v>
      </c>
      <c r="X275">
        <v>39.200000000000003</v>
      </c>
      <c r="Y275">
        <v>14.6</v>
      </c>
      <c r="Z275">
        <v>32</v>
      </c>
      <c r="AA275">
        <v>3.9</v>
      </c>
      <c r="AB275">
        <v>1.01</v>
      </c>
      <c r="AC275">
        <v>8.5</v>
      </c>
      <c r="AD275">
        <v>0.26</v>
      </c>
      <c r="AE275">
        <v>1.4625000000000001</v>
      </c>
      <c r="AF275">
        <v>0.19921875</v>
      </c>
      <c r="AG275">
        <v>54.4</v>
      </c>
      <c r="AH275">
        <v>14.6</v>
      </c>
      <c r="AI275">
        <v>54.2</v>
      </c>
      <c r="AL275" s="9"/>
      <c r="AM275" s="9"/>
    </row>
    <row r="276" spans="1:39" x14ac:dyDescent="0.5">
      <c r="A276">
        <v>480</v>
      </c>
      <c r="B276">
        <v>220</v>
      </c>
      <c r="C276">
        <v>0.1</v>
      </c>
      <c r="D276">
        <v>42</v>
      </c>
      <c r="E276">
        <v>1000</v>
      </c>
      <c r="F276">
        <v>600</v>
      </c>
      <c r="G276">
        <v>14.285714285714286</v>
      </c>
      <c r="N276">
        <v>26</v>
      </c>
      <c r="O276">
        <v>51.7</v>
      </c>
      <c r="P276">
        <v>9.1999999999999993</v>
      </c>
      <c r="Q276">
        <v>36</v>
      </c>
      <c r="R276">
        <v>5.2</v>
      </c>
      <c r="S276">
        <v>1.3</v>
      </c>
      <c r="T276">
        <v>18.2</v>
      </c>
      <c r="U276">
        <v>0.2</v>
      </c>
      <c r="V276">
        <v>1.7333333333333334</v>
      </c>
      <c r="W276">
        <v>0.37916666666666665</v>
      </c>
      <c r="X276">
        <v>39.200000000000003</v>
      </c>
      <c r="Y276">
        <v>14.6</v>
      </c>
      <c r="Z276">
        <v>32.5</v>
      </c>
      <c r="AA276">
        <v>3.9</v>
      </c>
      <c r="AB276">
        <v>1.2</v>
      </c>
      <c r="AC276">
        <v>7.7</v>
      </c>
      <c r="AD276">
        <v>0.3</v>
      </c>
      <c r="AE276">
        <v>1.44</v>
      </c>
      <c r="AF276">
        <v>0.17769230769230768</v>
      </c>
      <c r="AG276">
        <v>54.5</v>
      </c>
      <c r="AH276">
        <v>14.9</v>
      </c>
      <c r="AI276">
        <v>44.1</v>
      </c>
      <c r="AL276" s="9"/>
      <c r="AM276" s="9"/>
    </row>
    <row r="277" spans="1:39" x14ac:dyDescent="0.5">
      <c r="A277">
        <v>360</v>
      </c>
      <c r="B277">
        <v>180</v>
      </c>
      <c r="C277">
        <v>0.1</v>
      </c>
      <c r="D277">
        <v>20</v>
      </c>
      <c r="E277">
        <v>500</v>
      </c>
      <c r="F277">
        <v>200</v>
      </c>
      <c r="G277">
        <v>10</v>
      </c>
      <c r="O277">
        <v>82.6</v>
      </c>
      <c r="P277">
        <v>9.1</v>
      </c>
      <c r="Q277">
        <v>38.25</v>
      </c>
      <c r="R277">
        <v>5.47</v>
      </c>
      <c r="S277">
        <v>3.66</v>
      </c>
      <c r="T277">
        <v>43.82</v>
      </c>
      <c r="U277">
        <v>0.5</v>
      </c>
      <c r="V277">
        <v>1.716078431372549</v>
      </c>
      <c r="W277">
        <v>0.85921568627450984</v>
      </c>
      <c r="X277">
        <v>8.3000000000000007</v>
      </c>
      <c r="Y277">
        <v>16.13</v>
      </c>
      <c r="Z277">
        <v>50.41</v>
      </c>
      <c r="AA277">
        <v>6.11</v>
      </c>
      <c r="AB277">
        <v>3.84</v>
      </c>
      <c r="AC277">
        <v>33.229999999999997</v>
      </c>
      <c r="AD277">
        <v>0.51</v>
      </c>
      <c r="AE277">
        <v>1.4544733187859555</v>
      </c>
      <c r="AF277">
        <v>0.49439595318389212</v>
      </c>
      <c r="AG277">
        <v>5.9</v>
      </c>
      <c r="AH277">
        <v>21.72</v>
      </c>
      <c r="AI277">
        <v>53.86</v>
      </c>
      <c r="AJ277" s="2" t="s">
        <v>86</v>
      </c>
      <c r="AL277" s="9"/>
      <c r="AM277" s="9"/>
    </row>
    <row r="278" spans="1:39" x14ac:dyDescent="0.5">
      <c r="A278">
        <v>360</v>
      </c>
      <c r="B278">
        <v>210</v>
      </c>
      <c r="C278">
        <v>0.1</v>
      </c>
      <c r="D278">
        <v>20</v>
      </c>
      <c r="E278">
        <v>500</v>
      </c>
      <c r="F278">
        <v>200</v>
      </c>
      <c r="G278">
        <v>10</v>
      </c>
      <c r="O278">
        <v>82.6</v>
      </c>
      <c r="P278">
        <v>9.1</v>
      </c>
      <c r="Q278">
        <v>38.25</v>
      </c>
      <c r="R278">
        <v>5.47</v>
      </c>
      <c r="S278">
        <v>3.66</v>
      </c>
      <c r="T278">
        <v>43.82</v>
      </c>
      <c r="U278">
        <v>0.5</v>
      </c>
      <c r="V278">
        <v>1.716078431372549</v>
      </c>
      <c r="W278">
        <v>0.85921568627450984</v>
      </c>
      <c r="X278">
        <v>8.3000000000000007</v>
      </c>
      <c r="Y278">
        <v>16.13</v>
      </c>
      <c r="Z278">
        <v>59.27</v>
      </c>
      <c r="AA278">
        <v>5.97</v>
      </c>
      <c r="AB278">
        <v>3.7</v>
      </c>
      <c r="AC278">
        <v>23.8</v>
      </c>
      <c r="AD278">
        <v>0.56000000000000005</v>
      </c>
      <c r="AE278">
        <v>1.2087059220516281</v>
      </c>
      <c r="AF278">
        <v>0.30116416399527585</v>
      </c>
      <c r="AG278">
        <v>6.7</v>
      </c>
      <c r="AH278">
        <v>26.24</v>
      </c>
      <c r="AI278">
        <v>51.41</v>
      </c>
      <c r="AL278" s="9"/>
      <c r="AM278" s="9"/>
    </row>
    <row r="279" spans="1:39" x14ac:dyDescent="0.5">
      <c r="A279">
        <v>360</v>
      </c>
      <c r="B279">
        <v>240</v>
      </c>
      <c r="C279">
        <v>0.1</v>
      </c>
      <c r="D279">
        <v>20</v>
      </c>
      <c r="E279">
        <v>500</v>
      </c>
      <c r="F279">
        <v>200</v>
      </c>
      <c r="G279">
        <v>10</v>
      </c>
      <c r="O279">
        <v>82.6</v>
      </c>
      <c r="P279">
        <v>9.1</v>
      </c>
      <c r="Q279">
        <v>38.25</v>
      </c>
      <c r="R279">
        <v>5.47</v>
      </c>
      <c r="S279">
        <v>3.66</v>
      </c>
      <c r="T279">
        <v>43.82</v>
      </c>
      <c r="U279">
        <v>0.5</v>
      </c>
      <c r="V279">
        <v>1.716078431372549</v>
      </c>
      <c r="W279">
        <v>0.85921568627450984</v>
      </c>
      <c r="X279">
        <v>8.3000000000000007</v>
      </c>
      <c r="Y279">
        <v>16.13</v>
      </c>
      <c r="Z279">
        <v>63.84</v>
      </c>
      <c r="AA279">
        <v>6.22</v>
      </c>
      <c r="AB279">
        <v>3.26</v>
      </c>
      <c r="AC279">
        <v>18.59</v>
      </c>
      <c r="AD279">
        <v>0.59</v>
      </c>
      <c r="AE279">
        <v>1.1691729323308269</v>
      </c>
      <c r="AF279">
        <v>0.21839755639097744</v>
      </c>
      <c r="AG279">
        <v>7.5</v>
      </c>
      <c r="AH279">
        <v>28.86</v>
      </c>
      <c r="AI279">
        <v>44.65</v>
      </c>
      <c r="AL279" s="9"/>
      <c r="AM279" s="9"/>
    </row>
    <row r="280" spans="1:39" x14ac:dyDescent="0.5">
      <c r="A280">
        <v>360</v>
      </c>
      <c r="B280">
        <v>180</v>
      </c>
      <c r="C280">
        <v>0.1</v>
      </c>
      <c r="D280">
        <v>20</v>
      </c>
      <c r="E280">
        <v>500</v>
      </c>
      <c r="F280">
        <v>200</v>
      </c>
      <c r="G280">
        <v>10</v>
      </c>
      <c r="O280">
        <v>82.6</v>
      </c>
      <c r="P280">
        <v>9.1</v>
      </c>
      <c r="Q280">
        <v>38.25</v>
      </c>
      <c r="R280">
        <v>5.47</v>
      </c>
      <c r="S280">
        <v>3.66</v>
      </c>
      <c r="T280">
        <v>43.82</v>
      </c>
      <c r="U280">
        <v>0.5</v>
      </c>
      <c r="V280">
        <v>1.716078431372549</v>
      </c>
      <c r="W280">
        <v>0.85921568627450984</v>
      </c>
      <c r="X280">
        <v>8.3000000000000007</v>
      </c>
      <c r="Y280">
        <v>16.13</v>
      </c>
      <c r="Z280">
        <v>49.16</v>
      </c>
      <c r="AA280">
        <v>6.34</v>
      </c>
      <c r="AB280">
        <v>3.51</v>
      </c>
      <c r="AC280">
        <v>34.409999999999997</v>
      </c>
      <c r="AD280">
        <v>0.48</v>
      </c>
      <c r="AE280">
        <v>1.5475996745321399</v>
      </c>
      <c r="AF280">
        <v>0.52496948738812033</v>
      </c>
      <c r="AG280">
        <v>6.1</v>
      </c>
      <c r="AH280">
        <v>21.15</v>
      </c>
      <c r="AI280">
        <v>54.06</v>
      </c>
      <c r="AL280" s="9"/>
      <c r="AM280" s="9"/>
    </row>
    <row r="281" spans="1:39" x14ac:dyDescent="0.5">
      <c r="A281">
        <v>360</v>
      </c>
      <c r="B281">
        <v>210</v>
      </c>
      <c r="C281">
        <v>0.1</v>
      </c>
      <c r="D281">
        <v>20</v>
      </c>
      <c r="E281">
        <v>500</v>
      </c>
      <c r="F281">
        <v>200</v>
      </c>
      <c r="G281">
        <v>10</v>
      </c>
      <c r="O281">
        <v>82.6</v>
      </c>
      <c r="P281">
        <v>9.1</v>
      </c>
      <c r="Q281">
        <v>38.25</v>
      </c>
      <c r="R281">
        <v>5.47</v>
      </c>
      <c r="S281">
        <v>3.66</v>
      </c>
      <c r="T281">
        <v>43.82</v>
      </c>
      <c r="U281">
        <v>0.5</v>
      </c>
      <c r="V281">
        <v>1.716078431372549</v>
      </c>
      <c r="W281">
        <v>0.85921568627450984</v>
      </c>
      <c r="X281">
        <v>8.3000000000000007</v>
      </c>
      <c r="Y281">
        <v>16.13</v>
      </c>
      <c r="Z281">
        <v>57.61</v>
      </c>
      <c r="AA281">
        <v>6.19</v>
      </c>
      <c r="AB281">
        <v>4.6900000000000004</v>
      </c>
      <c r="AC281">
        <v>24.6</v>
      </c>
      <c r="AD281">
        <v>0.5</v>
      </c>
      <c r="AE281">
        <v>1.2893594862003126</v>
      </c>
      <c r="AF281">
        <v>0.32025689984377714</v>
      </c>
      <c r="AG281">
        <v>6.4</v>
      </c>
      <c r="AH281">
        <v>25.61</v>
      </c>
      <c r="AI281">
        <v>52.87</v>
      </c>
      <c r="AL281" s="9"/>
      <c r="AM281" s="9"/>
    </row>
    <row r="282" spans="1:39" x14ac:dyDescent="0.5">
      <c r="A282">
        <v>360</v>
      </c>
      <c r="B282">
        <v>240</v>
      </c>
      <c r="C282">
        <v>0.1</v>
      </c>
      <c r="D282">
        <v>20</v>
      </c>
      <c r="E282">
        <v>500</v>
      </c>
      <c r="F282">
        <v>200</v>
      </c>
      <c r="G282">
        <v>10</v>
      </c>
      <c r="O282">
        <v>82.6</v>
      </c>
      <c r="P282">
        <v>9.1</v>
      </c>
      <c r="Q282">
        <v>38.25</v>
      </c>
      <c r="R282">
        <v>5.47</v>
      </c>
      <c r="S282">
        <v>3.66</v>
      </c>
      <c r="T282">
        <v>43.82</v>
      </c>
      <c r="U282">
        <v>0.5</v>
      </c>
      <c r="V282">
        <v>1.716078431372549</v>
      </c>
      <c r="W282">
        <v>0.85921568627450984</v>
      </c>
      <c r="X282">
        <v>8.3000000000000007</v>
      </c>
      <c r="Y282">
        <v>16.13</v>
      </c>
      <c r="Z282">
        <v>64.97</v>
      </c>
      <c r="AA282">
        <v>6.42</v>
      </c>
      <c r="AB282">
        <v>3.88</v>
      </c>
      <c r="AC282">
        <v>17.079999999999998</v>
      </c>
      <c r="AD282">
        <v>0.55000000000000004</v>
      </c>
      <c r="AE282">
        <v>1.1857780514083422</v>
      </c>
      <c r="AF282">
        <v>0.19716792365707247</v>
      </c>
      <c r="AG282">
        <v>7.6</v>
      </c>
      <c r="AH282">
        <v>29.25</v>
      </c>
      <c r="AI282">
        <v>43.25</v>
      </c>
      <c r="AL282" s="9"/>
      <c r="AM282" s="9"/>
    </row>
    <row r="283" spans="1:39" x14ac:dyDescent="0.5">
      <c r="A283">
        <v>120</v>
      </c>
      <c r="B283">
        <v>200</v>
      </c>
      <c r="C283">
        <v>0.1</v>
      </c>
      <c r="D283">
        <v>120</v>
      </c>
      <c r="E283">
        <v>1000</v>
      </c>
      <c r="F283">
        <v>380</v>
      </c>
      <c r="G283">
        <v>3.1666666666666665</v>
      </c>
      <c r="N283">
        <v>10</v>
      </c>
      <c r="O283">
        <v>72</v>
      </c>
      <c r="P283">
        <v>24.2</v>
      </c>
      <c r="Q283">
        <v>44.6</v>
      </c>
      <c r="R283">
        <v>6.1</v>
      </c>
      <c r="S283">
        <v>1.1000000000000001</v>
      </c>
      <c r="T283">
        <v>44.3</v>
      </c>
      <c r="U283">
        <v>0.1</v>
      </c>
      <c r="V283">
        <v>1.6412556053811658</v>
      </c>
      <c r="W283">
        <v>0.7449551569506726</v>
      </c>
      <c r="X283">
        <v>3.8</v>
      </c>
      <c r="Y283">
        <v>16.7</v>
      </c>
      <c r="Z283">
        <v>57.7</v>
      </c>
      <c r="AA283">
        <v>6.6</v>
      </c>
      <c r="AB283">
        <v>1</v>
      </c>
      <c r="AC283">
        <v>33.1</v>
      </c>
      <c r="AD283">
        <v>0.1</v>
      </c>
      <c r="AE283">
        <v>1.3726169844020797</v>
      </c>
      <c r="AF283">
        <v>0.43024263431542459</v>
      </c>
      <c r="AG283">
        <v>1.5</v>
      </c>
      <c r="AH283">
        <v>23.99</v>
      </c>
      <c r="AI283">
        <v>65.3</v>
      </c>
      <c r="AJ283" s="2" t="s">
        <v>87</v>
      </c>
      <c r="AL283" s="9"/>
      <c r="AM283" s="9"/>
    </row>
    <row r="284" spans="1:39" x14ac:dyDescent="0.5">
      <c r="A284">
        <v>120</v>
      </c>
      <c r="B284">
        <v>220</v>
      </c>
      <c r="C284">
        <v>0.1</v>
      </c>
      <c r="D284">
        <v>120</v>
      </c>
      <c r="E284">
        <v>1000</v>
      </c>
      <c r="F284">
        <v>380</v>
      </c>
      <c r="G284">
        <v>3.1666666666666665</v>
      </c>
      <c r="N284">
        <v>10</v>
      </c>
      <c r="O284">
        <v>72</v>
      </c>
      <c r="P284">
        <v>24.2</v>
      </c>
      <c r="Q284">
        <v>44.6</v>
      </c>
      <c r="R284">
        <v>6.1</v>
      </c>
      <c r="S284">
        <v>1.1000000000000001</v>
      </c>
      <c r="T284">
        <v>44.3</v>
      </c>
      <c r="U284">
        <v>0.1</v>
      </c>
      <c r="V284">
        <v>1.6412556053811658</v>
      </c>
      <c r="W284">
        <v>0.7449551569506726</v>
      </c>
      <c r="X284">
        <v>3.8</v>
      </c>
      <c r="Y284">
        <v>16.7</v>
      </c>
      <c r="Z284">
        <v>60.08</v>
      </c>
      <c r="AA284">
        <v>7.2</v>
      </c>
      <c r="AB284">
        <v>1.1000000000000001</v>
      </c>
      <c r="AC284">
        <v>28.7</v>
      </c>
      <c r="AD284">
        <v>0.1</v>
      </c>
      <c r="AE284">
        <v>1.4380825565912116</v>
      </c>
      <c r="AF284">
        <v>0.3582723035952064</v>
      </c>
      <c r="AG284">
        <v>2.1</v>
      </c>
      <c r="AH284">
        <v>25.11</v>
      </c>
      <c r="AI284">
        <v>60.4</v>
      </c>
      <c r="AL284" s="9"/>
      <c r="AM284" s="9"/>
    </row>
    <row r="285" spans="1:39" x14ac:dyDescent="0.5">
      <c r="A285">
        <v>120</v>
      </c>
      <c r="B285">
        <v>240</v>
      </c>
      <c r="C285">
        <v>0.1</v>
      </c>
      <c r="D285">
        <v>120</v>
      </c>
      <c r="E285">
        <v>1000</v>
      </c>
      <c r="F285">
        <v>380</v>
      </c>
      <c r="G285">
        <v>3.1666666666666665</v>
      </c>
      <c r="N285">
        <v>10</v>
      </c>
      <c r="O285">
        <v>72</v>
      </c>
      <c r="P285">
        <v>24.2</v>
      </c>
      <c r="Q285">
        <v>44.6</v>
      </c>
      <c r="R285">
        <v>6.1</v>
      </c>
      <c r="S285">
        <v>1.1000000000000001</v>
      </c>
      <c r="T285">
        <v>44.3</v>
      </c>
      <c r="U285">
        <v>0.1</v>
      </c>
      <c r="V285">
        <v>1.6412556053811658</v>
      </c>
      <c r="W285">
        <v>0.7449551569506726</v>
      </c>
      <c r="X285">
        <v>3.8</v>
      </c>
      <c r="Y285">
        <v>16.7</v>
      </c>
      <c r="Z285">
        <v>67.7</v>
      </c>
      <c r="AA285">
        <v>7</v>
      </c>
      <c r="AB285">
        <v>1</v>
      </c>
      <c r="AC285">
        <v>22.2</v>
      </c>
      <c r="AD285">
        <v>0.1</v>
      </c>
      <c r="AE285">
        <v>1.2407680945347119</v>
      </c>
      <c r="AF285">
        <v>0.24593796159527326</v>
      </c>
      <c r="AG285">
        <v>2</v>
      </c>
      <c r="AH285">
        <v>27.86</v>
      </c>
      <c r="AI285">
        <v>51.6</v>
      </c>
      <c r="AL285" s="9"/>
      <c r="AM285" s="9"/>
    </row>
    <row r="286" spans="1:39" x14ac:dyDescent="0.5">
      <c r="A286">
        <v>360</v>
      </c>
      <c r="B286">
        <v>190</v>
      </c>
      <c r="C286">
        <v>0.1</v>
      </c>
      <c r="D286">
        <v>120</v>
      </c>
      <c r="E286">
        <v>1000</v>
      </c>
      <c r="F286">
        <v>380</v>
      </c>
      <c r="G286">
        <v>3.1666666666666665</v>
      </c>
      <c r="N286">
        <v>10</v>
      </c>
      <c r="O286">
        <v>72</v>
      </c>
      <c r="P286">
        <v>24.2</v>
      </c>
      <c r="Q286">
        <v>44.6</v>
      </c>
      <c r="R286">
        <v>6.1</v>
      </c>
      <c r="S286">
        <v>1.1000000000000001</v>
      </c>
      <c r="T286">
        <v>44.3</v>
      </c>
      <c r="U286">
        <v>0.1</v>
      </c>
      <c r="V286">
        <v>1.6412556053811658</v>
      </c>
      <c r="W286">
        <v>0.7449551569506726</v>
      </c>
      <c r="X286">
        <v>3.8</v>
      </c>
      <c r="Y286">
        <v>16.7</v>
      </c>
      <c r="Z286">
        <v>60.1</v>
      </c>
      <c r="AA286">
        <v>6.1</v>
      </c>
      <c r="AB286">
        <v>1.2</v>
      </c>
      <c r="AC286">
        <v>30.5</v>
      </c>
      <c r="AD286">
        <v>0.1</v>
      </c>
      <c r="AE286">
        <v>1.2179700499168051</v>
      </c>
      <c r="AF286">
        <v>0.38061564059900166</v>
      </c>
      <c r="AG286">
        <v>2.1</v>
      </c>
      <c r="AH286">
        <v>23.95</v>
      </c>
      <c r="AI286">
        <v>61</v>
      </c>
      <c r="AL286" s="9"/>
      <c r="AM286" s="9"/>
    </row>
    <row r="287" spans="1:39" x14ac:dyDescent="0.5">
      <c r="A287">
        <v>360</v>
      </c>
      <c r="B287">
        <v>200</v>
      </c>
      <c r="C287">
        <v>0.1</v>
      </c>
      <c r="D287">
        <v>120</v>
      </c>
      <c r="E287">
        <v>1000</v>
      </c>
      <c r="F287">
        <v>380</v>
      </c>
      <c r="G287">
        <v>3.1666666666666665</v>
      </c>
      <c r="N287">
        <v>10</v>
      </c>
      <c r="O287">
        <v>72</v>
      </c>
      <c r="P287">
        <v>24.2</v>
      </c>
      <c r="Q287">
        <v>44.6</v>
      </c>
      <c r="R287">
        <v>6.1</v>
      </c>
      <c r="S287">
        <v>1.1000000000000001</v>
      </c>
      <c r="T287">
        <v>44.3</v>
      </c>
      <c r="U287">
        <v>0.1</v>
      </c>
      <c r="V287">
        <v>1.6412556053811658</v>
      </c>
      <c r="W287">
        <v>0.7449551569506726</v>
      </c>
      <c r="X287">
        <v>3.8</v>
      </c>
      <c r="Y287">
        <v>16.7</v>
      </c>
      <c r="Z287">
        <v>65.099999999999994</v>
      </c>
      <c r="AA287">
        <v>7.2</v>
      </c>
      <c r="AB287">
        <v>1.3</v>
      </c>
      <c r="AC287">
        <v>24.1</v>
      </c>
      <c r="AD287">
        <v>0.2</v>
      </c>
      <c r="AE287">
        <v>1.3271889400921659</v>
      </c>
      <c r="AF287">
        <v>0.2776497695852535</v>
      </c>
      <c r="AG287">
        <v>2.1</v>
      </c>
      <c r="AH287">
        <v>26.85</v>
      </c>
      <c r="AI287">
        <v>54.6</v>
      </c>
      <c r="AL287" s="9"/>
      <c r="AM287" s="9"/>
    </row>
    <row r="288" spans="1:39" x14ac:dyDescent="0.5">
      <c r="A288">
        <v>360</v>
      </c>
      <c r="B288">
        <v>210</v>
      </c>
      <c r="C288">
        <v>0.1</v>
      </c>
      <c r="D288">
        <v>120</v>
      </c>
      <c r="E288">
        <v>1000</v>
      </c>
      <c r="F288">
        <v>380</v>
      </c>
      <c r="G288">
        <v>3.1666666666666665</v>
      </c>
      <c r="N288">
        <v>10</v>
      </c>
      <c r="O288">
        <v>72</v>
      </c>
      <c r="P288">
        <v>24.2</v>
      </c>
      <c r="Q288">
        <v>44.6</v>
      </c>
      <c r="R288">
        <v>6.1</v>
      </c>
      <c r="S288">
        <v>1.1000000000000001</v>
      </c>
      <c r="T288">
        <v>44.3</v>
      </c>
      <c r="U288">
        <v>0.1</v>
      </c>
      <c r="V288">
        <v>1.6412556053811658</v>
      </c>
      <c r="W288">
        <v>0.7449551569506726</v>
      </c>
      <c r="X288">
        <v>3.8</v>
      </c>
      <c r="Y288">
        <v>16.7</v>
      </c>
      <c r="Z288">
        <v>63.3</v>
      </c>
      <c r="AA288">
        <v>5.9</v>
      </c>
      <c r="AB288">
        <v>1.3</v>
      </c>
      <c r="AC288">
        <v>27.3</v>
      </c>
      <c r="AD288">
        <v>0.1</v>
      </c>
      <c r="AE288">
        <v>1.1184834123222751</v>
      </c>
      <c r="AF288">
        <v>0.32345971563981046</v>
      </c>
      <c r="AG288">
        <v>2.1</v>
      </c>
      <c r="AH288">
        <v>25.59</v>
      </c>
      <c r="AI288">
        <v>43.7</v>
      </c>
      <c r="AL288" s="9"/>
      <c r="AM288" s="9"/>
    </row>
    <row r="289" spans="1:39" x14ac:dyDescent="0.5">
      <c r="A289">
        <v>360</v>
      </c>
      <c r="B289">
        <v>220</v>
      </c>
      <c r="C289">
        <v>0.1</v>
      </c>
      <c r="D289">
        <v>120</v>
      </c>
      <c r="E289">
        <v>1000</v>
      </c>
      <c r="F289">
        <v>380</v>
      </c>
      <c r="G289">
        <v>3.1666666666666665</v>
      </c>
      <c r="N289">
        <v>10</v>
      </c>
      <c r="O289">
        <v>72</v>
      </c>
      <c r="P289">
        <v>24.2</v>
      </c>
      <c r="Q289">
        <v>44.6</v>
      </c>
      <c r="R289">
        <v>6.1</v>
      </c>
      <c r="S289">
        <v>1.1000000000000001</v>
      </c>
      <c r="T289">
        <v>44.3</v>
      </c>
      <c r="U289">
        <v>0.1</v>
      </c>
      <c r="V289">
        <v>1.6412556053811658</v>
      </c>
      <c r="W289">
        <v>0.7449551569506726</v>
      </c>
      <c r="X289">
        <v>3.8</v>
      </c>
      <c r="Y289">
        <v>16.7</v>
      </c>
      <c r="Z289">
        <v>66.900000000000006</v>
      </c>
      <c r="AA289">
        <v>6</v>
      </c>
      <c r="AB289">
        <v>1.3</v>
      </c>
      <c r="AC289">
        <v>22.6</v>
      </c>
      <c r="AD289">
        <v>0.1</v>
      </c>
      <c r="AE289">
        <v>1.0762331838565022</v>
      </c>
      <c r="AF289">
        <v>0.25336322869955158</v>
      </c>
      <c r="AG289">
        <v>3.1</v>
      </c>
      <c r="AH289">
        <v>27.52</v>
      </c>
      <c r="AI289">
        <v>40.6</v>
      </c>
      <c r="AL289" s="9"/>
      <c r="AM289" s="9"/>
    </row>
    <row r="290" spans="1:39" x14ac:dyDescent="0.5">
      <c r="A290">
        <v>360</v>
      </c>
      <c r="B290">
        <v>230</v>
      </c>
      <c r="C290">
        <v>0.1</v>
      </c>
      <c r="D290">
        <v>120</v>
      </c>
      <c r="E290">
        <v>1000</v>
      </c>
      <c r="F290">
        <v>380</v>
      </c>
      <c r="G290">
        <v>3.1666666666666665</v>
      </c>
      <c r="N290">
        <v>10</v>
      </c>
      <c r="O290">
        <v>72</v>
      </c>
      <c r="P290">
        <v>24.2</v>
      </c>
      <c r="Q290">
        <v>44.6</v>
      </c>
      <c r="R290">
        <v>6.1</v>
      </c>
      <c r="S290">
        <v>1.1000000000000001</v>
      </c>
      <c r="T290">
        <v>44.3</v>
      </c>
      <c r="U290">
        <v>0.1</v>
      </c>
      <c r="V290">
        <v>1.6412556053811658</v>
      </c>
      <c r="W290">
        <v>0.7449551569506726</v>
      </c>
      <c r="X290">
        <v>3.8</v>
      </c>
      <c r="Y290">
        <v>16.7</v>
      </c>
      <c r="Z290">
        <v>69.099999999999994</v>
      </c>
      <c r="AA290">
        <v>5.9</v>
      </c>
      <c r="AB290">
        <v>1.5</v>
      </c>
      <c r="AC290">
        <v>21.3</v>
      </c>
      <c r="AD290">
        <v>0.1</v>
      </c>
      <c r="AE290">
        <v>1.0246020260492041</v>
      </c>
      <c r="AF290">
        <v>0.23118668596237341</v>
      </c>
      <c r="AG290">
        <v>2.1</v>
      </c>
      <c r="AH290">
        <v>28.9</v>
      </c>
      <c r="AI290">
        <v>39.5</v>
      </c>
      <c r="AL290" s="9"/>
      <c r="AM290" s="9"/>
    </row>
    <row r="291" spans="1:39" x14ac:dyDescent="0.5">
      <c r="A291">
        <v>360</v>
      </c>
      <c r="B291">
        <v>240</v>
      </c>
      <c r="C291">
        <v>0.1</v>
      </c>
      <c r="D291">
        <v>120</v>
      </c>
      <c r="E291">
        <v>1000</v>
      </c>
      <c r="F291">
        <v>380</v>
      </c>
      <c r="G291">
        <v>3.1666666666666665</v>
      </c>
      <c r="N291">
        <v>10</v>
      </c>
      <c r="O291">
        <v>72</v>
      </c>
      <c r="P291">
        <v>24.2</v>
      </c>
      <c r="Q291">
        <v>44.6</v>
      </c>
      <c r="R291">
        <v>6.1</v>
      </c>
      <c r="S291">
        <v>1.1000000000000001</v>
      </c>
      <c r="T291">
        <v>44.3</v>
      </c>
      <c r="U291">
        <v>0.1</v>
      </c>
      <c r="V291">
        <v>1.6412556053811658</v>
      </c>
      <c r="W291">
        <v>0.7449551569506726</v>
      </c>
      <c r="X291">
        <v>3.8</v>
      </c>
      <c r="Y291">
        <v>16.7</v>
      </c>
      <c r="Z291">
        <v>70.2</v>
      </c>
      <c r="AA291">
        <v>6.1</v>
      </c>
      <c r="AB291">
        <v>1.3</v>
      </c>
      <c r="AC291">
        <v>20.2</v>
      </c>
      <c r="AD291">
        <v>0.1</v>
      </c>
      <c r="AE291">
        <v>1.0427350427350426</v>
      </c>
      <c r="AF291">
        <v>0.21581196581196579</v>
      </c>
      <c r="AG291">
        <v>2.1</v>
      </c>
      <c r="AH291">
        <v>29.11</v>
      </c>
      <c r="AI291">
        <v>37.200000000000003</v>
      </c>
      <c r="AL291" s="9"/>
      <c r="AM291" s="9"/>
    </row>
    <row r="292" spans="1:39" x14ac:dyDescent="0.5">
      <c r="A292">
        <v>360</v>
      </c>
      <c r="B292">
        <v>250</v>
      </c>
      <c r="C292">
        <v>0.1</v>
      </c>
      <c r="D292">
        <v>120</v>
      </c>
      <c r="E292">
        <v>1000</v>
      </c>
      <c r="F292">
        <v>380</v>
      </c>
      <c r="G292">
        <v>3.1666666666666665</v>
      </c>
      <c r="N292">
        <v>10</v>
      </c>
      <c r="O292">
        <v>72</v>
      </c>
      <c r="P292">
        <v>24.2</v>
      </c>
      <c r="Q292">
        <v>44.6</v>
      </c>
      <c r="R292">
        <v>6.1</v>
      </c>
      <c r="S292">
        <v>1.1000000000000001</v>
      </c>
      <c r="T292">
        <v>44.3</v>
      </c>
      <c r="U292">
        <v>0.1</v>
      </c>
      <c r="V292">
        <v>1.6412556053811658</v>
      </c>
      <c r="W292">
        <v>0.7449551569506726</v>
      </c>
      <c r="X292">
        <v>3.8</v>
      </c>
      <c r="Y292">
        <v>16.7</v>
      </c>
      <c r="Z292">
        <v>71.5</v>
      </c>
      <c r="AA292">
        <v>5.9</v>
      </c>
      <c r="AB292">
        <v>1.5</v>
      </c>
      <c r="AC292">
        <v>19</v>
      </c>
      <c r="AD292">
        <v>0.1</v>
      </c>
      <c r="AE292">
        <v>0.99020979020979027</v>
      </c>
      <c r="AF292">
        <v>0.19930069930069932</v>
      </c>
      <c r="AG292">
        <v>2</v>
      </c>
      <c r="AH292">
        <v>29.5</v>
      </c>
      <c r="AI292">
        <v>34.1</v>
      </c>
      <c r="AL292" s="9"/>
      <c r="AM292" s="9"/>
    </row>
    <row r="293" spans="1:39" x14ac:dyDescent="0.5">
      <c r="A293">
        <v>900</v>
      </c>
      <c r="B293">
        <v>190</v>
      </c>
      <c r="C293">
        <v>0.1</v>
      </c>
      <c r="D293">
        <v>120</v>
      </c>
      <c r="E293">
        <v>1000</v>
      </c>
      <c r="F293">
        <v>380</v>
      </c>
      <c r="G293">
        <v>3.1666666666666665</v>
      </c>
      <c r="N293">
        <v>10</v>
      </c>
      <c r="O293">
        <v>72</v>
      </c>
      <c r="P293">
        <v>24.2</v>
      </c>
      <c r="Q293">
        <v>44.6</v>
      </c>
      <c r="R293">
        <v>6.1</v>
      </c>
      <c r="S293">
        <v>1.1000000000000001</v>
      </c>
      <c r="T293">
        <v>44.3</v>
      </c>
      <c r="U293">
        <v>0.1</v>
      </c>
      <c r="V293">
        <v>1.6412556053811658</v>
      </c>
      <c r="W293">
        <v>0.7449551569506726</v>
      </c>
      <c r="X293">
        <v>3.8</v>
      </c>
      <c r="Y293">
        <v>16.7</v>
      </c>
      <c r="Z293">
        <v>61.6</v>
      </c>
      <c r="AA293">
        <v>7.5</v>
      </c>
      <c r="AB293">
        <v>1.2</v>
      </c>
      <c r="AC293">
        <v>27.8</v>
      </c>
      <c r="AD293">
        <v>0.1</v>
      </c>
      <c r="AE293">
        <v>1.4610389610389609</v>
      </c>
      <c r="AF293">
        <v>0.33847402597402598</v>
      </c>
      <c r="AG293">
        <v>1.8</v>
      </c>
      <c r="AH293">
        <v>24.45</v>
      </c>
      <c r="AI293">
        <v>63.3</v>
      </c>
      <c r="AL293" s="9"/>
      <c r="AM293" s="9"/>
    </row>
    <row r="294" spans="1:39" x14ac:dyDescent="0.5">
      <c r="A294">
        <v>900</v>
      </c>
      <c r="B294">
        <v>200</v>
      </c>
      <c r="C294">
        <v>0.1</v>
      </c>
      <c r="D294">
        <v>120</v>
      </c>
      <c r="E294">
        <v>1000</v>
      </c>
      <c r="F294">
        <v>380</v>
      </c>
      <c r="G294">
        <v>3.1666666666666665</v>
      </c>
      <c r="N294">
        <v>10</v>
      </c>
      <c r="O294">
        <v>72</v>
      </c>
      <c r="P294">
        <v>24.2</v>
      </c>
      <c r="Q294">
        <v>44.6</v>
      </c>
      <c r="R294">
        <v>6.1</v>
      </c>
      <c r="S294">
        <v>1.1000000000000001</v>
      </c>
      <c r="T294">
        <v>44.3</v>
      </c>
      <c r="U294">
        <v>0.1</v>
      </c>
      <c r="V294">
        <v>1.6412556053811658</v>
      </c>
      <c r="W294">
        <v>0.7449551569506726</v>
      </c>
      <c r="X294">
        <v>3.8</v>
      </c>
      <c r="Y294">
        <v>16.7</v>
      </c>
      <c r="Z294">
        <v>60.6</v>
      </c>
      <c r="AA294">
        <v>7.2</v>
      </c>
      <c r="AB294">
        <v>1.2</v>
      </c>
      <c r="AC294">
        <v>28.6</v>
      </c>
      <c r="AD294">
        <v>0.2</v>
      </c>
      <c r="AE294">
        <v>1.4257425742574259</v>
      </c>
      <c r="AF294">
        <v>0.353960396039604</v>
      </c>
      <c r="AG294">
        <v>2.2000000000000002</v>
      </c>
      <c r="AH294">
        <v>24.53</v>
      </c>
      <c r="AI294">
        <v>61.9</v>
      </c>
      <c r="AL294" s="9"/>
      <c r="AM294" s="9"/>
    </row>
    <row r="295" spans="1:39" x14ac:dyDescent="0.5">
      <c r="A295">
        <v>900</v>
      </c>
      <c r="B295">
        <v>210</v>
      </c>
      <c r="C295">
        <v>0.1</v>
      </c>
      <c r="D295">
        <v>120</v>
      </c>
      <c r="E295">
        <v>1000</v>
      </c>
      <c r="F295">
        <v>380</v>
      </c>
      <c r="G295">
        <v>3.1666666666666665</v>
      </c>
      <c r="N295">
        <v>10</v>
      </c>
      <c r="O295">
        <v>72</v>
      </c>
      <c r="P295">
        <v>24.2</v>
      </c>
      <c r="Q295">
        <v>44.6</v>
      </c>
      <c r="R295">
        <v>6.1</v>
      </c>
      <c r="S295">
        <v>1.1000000000000001</v>
      </c>
      <c r="T295">
        <v>44.3</v>
      </c>
      <c r="U295">
        <v>0.1</v>
      </c>
      <c r="V295">
        <v>1.6412556053811658</v>
      </c>
      <c r="W295">
        <v>0.7449551569506726</v>
      </c>
      <c r="X295">
        <v>3.8</v>
      </c>
      <c r="Y295">
        <v>16.7</v>
      </c>
      <c r="Z295">
        <v>66.900000000000006</v>
      </c>
      <c r="AA295">
        <v>6</v>
      </c>
      <c r="AB295">
        <v>1.4</v>
      </c>
      <c r="AC295">
        <v>23.3</v>
      </c>
      <c r="AD295">
        <v>0.1</v>
      </c>
      <c r="AE295">
        <v>1.0762331838565022</v>
      </c>
      <c r="AF295">
        <v>0.26121076233183854</v>
      </c>
      <c r="AG295">
        <v>2.2999999999999998</v>
      </c>
      <c r="AH295">
        <v>28.03</v>
      </c>
      <c r="AI295">
        <v>52.2</v>
      </c>
      <c r="AL295" s="9"/>
      <c r="AM295" s="9"/>
    </row>
    <row r="296" spans="1:39" x14ac:dyDescent="0.5">
      <c r="A296">
        <v>900</v>
      </c>
      <c r="B296">
        <v>220</v>
      </c>
      <c r="C296">
        <v>0.1</v>
      </c>
      <c r="D296">
        <v>120</v>
      </c>
      <c r="E296">
        <v>1000</v>
      </c>
      <c r="F296">
        <v>380</v>
      </c>
      <c r="G296">
        <v>3.1666666666666665</v>
      </c>
      <c r="N296">
        <v>10</v>
      </c>
      <c r="O296">
        <v>72</v>
      </c>
      <c r="P296">
        <v>24.2</v>
      </c>
      <c r="Q296">
        <v>44.6</v>
      </c>
      <c r="R296">
        <v>6.1</v>
      </c>
      <c r="S296">
        <v>1.1000000000000001</v>
      </c>
      <c r="T296">
        <v>44.3</v>
      </c>
      <c r="U296">
        <v>0.1</v>
      </c>
      <c r="V296">
        <v>1.6412556053811658</v>
      </c>
      <c r="W296">
        <v>0.7449551569506726</v>
      </c>
      <c r="X296">
        <v>3.8</v>
      </c>
      <c r="Y296">
        <v>16.7</v>
      </c>
      <c r="Z296">
        <v>68.900000000000006</v>
      </c>
      <c r="AA296">
        <v>7</v>
      </c>
      <c r="AB296">
        <v>1.5</v>
      </c>
      <c r="AC296">
        <v>19.600000000000001</v>
      </c>
      <c r="AD296">
        <v>0.2</v>
      </c>
      <c r="AE296">
        <v>1.2191582002902757</v>
      </c>
      <c r="AF296">
        <v>0.21335268505079827</v>
      </c>
      <c r="AG296">
        <v>2.9</v>
      </c>
      <c r="AH296">
        <v>28.36</v>
      </c>
      <c r="AI296">
        <v>49.1</v>
      </c>
      <c r="AL296" s="9"/>
      <c r="AM296" s="9"/>
    </row>
    <row r="297" spans="1:39" x14ac:dyDescent="0.5">
      <c r="A297">
        <v>900</v>
      </c>
      <c r="B297">
        <v>230</v>
      </c>
      <c r="C297">
        <v>0.1</v>
      </c>
      <c r="D297">
        <v>120</v>
      </c>
      <c r="E297">
        <v>1000</v>
      </c>
      <c r="F297">
        <v>380</v>
      </c>
      <c r="G297">
        <v>3.1666666666666665</v>
      </c>
      <c r="N297">
        <v>10</v>
      </c>
      <c r="O297">
        <v>72</v>
      </c>
      <c r="P297">
        <v>24.2</v>
      </c>
      <c r="Q297">
        <v>44.6</v>
      </c>
      <c r="R297">
        <v>6.1</v>
      </c>
      <c r="S297">
        <v>1.1000000000000001</v>
      </c>
      <c r="T297">
        <v>44.3</v>
      </c>
      <c r="U297">
        <v>0.1</v>
      </c>
      <c r="V297">
        <v>1.6412556053811658</v>
      </c>
      <c r="W297">
        <v>0.7449551569506726</v>
      </c>
      <c r="X297">
        <v>3.8</v>
      </c>
      <c r="Y297">
        <v>16.7</v>
      </c>
      <c r="Z297">
        <v>70</v>
      </c>
      <c r="AA297">
        <v>6.7</v>
      </c>
      <c r="AB297">
        <v>1.5</v>
      </c>
      <c r="AC297">
        <v>19.7</v>
      </c>
      <c r="AD297">
        <v>0.1</v>
      </c>
      <c r="AE297">
        <v>1.1485714285714286</v>
      </c>
      <c r="AF297">
        <v>0.21107142857142858</v>
      </c>
      <c r="AG297">
        <v>2</v>
      </c>
      <c r="AH297">
        <v>28.21</v>
      </c>
      <c r="AI297">
        <v>48.4</v>
      </c>
      <c r="AL297" s="9"/>
      <c r="AM297" s="9"/>
    </row>
    <row r="298" spans="1:39" x14ac:dyDescent="0.5">
      <c r="A298">
        <v>900</v>
      </c>
      <c r="B298">
        <v>240</v>
      </c>
      <c r="C298">
        <v>0.1</v>
      </c>
      <c r="D298">
        <v>120</v>
      </c>
      <c r="E298">
        <v>1000</v>
      </c>
      <c r="F298">
        <v>380</v>
      </c>
      <c r="G298">
        <v>3.1666666666666665</v>
      </c>
      <c r="N298">
        <v>10</v>
      </c>
      <c r="O298">
        <v>72</v>
      </c>
      <c r="P298">
        <v>24.2</v>
      </c>
      <c r="Q298">
        <v>44.6</v>
      </c>
      <c r="R298">
        <v>6.1</v>
      </c>
      <c r="S298">
        <v>1.1000000000000001</v>
      </c>
      <c r="T298">
        <v>44.3</v>
      </c>
      <c r="U298">
        <v>0.1</v>
      </c>
      <c r="V298">
        <v>1.6412556053811658</v>
      </c>
      <c r="W298">
        <v>0.7449551569506726</v>
      </c>
      <c r="X298">
        <v>3.8</v>
      </c>
      <c r="Y298">
        <v>16.7</v>
      </c>
      <c r="Z298">
        <v>71.3</v>
      </c>
      <c r="AA298">
        <v>7.3</v>
      </c>
      <c r="AB298">
        <v>1.5</v>
      </c>
      <c r="AC298">
        <v>16.899999999999999</v>
      </c>
      <c r="AD298">
        <v>0.1</v>
      </c>
      <c r="AE298">
        <v>1.2286115007012623</v>
      </c>
      <c r="AF298">
        <v>0.17776998597475455</v>
      </c>
      <c r="AG298">
        <v>2.9</v>
      </c>
      <c r="AH298">
        <v>29.42</v>
      </c>
      <c r="AI298">
        <v>45.6</v>
      </c>
      <c r="AL298" s="9"/>
      <c r="AM298" s="9"/>
    </row>
    <row r="299" spans="1:39" x14ac:dyDescent="0.5">
      <c r="A299">
        <v>900</v>
      </c>
      <c r="B299">
        <v>250</v>
      </c>
      <c r="C299">
        <v>0.1</v>
      </c>
      <c r="D299">
        <v>120</v>
      </c>
      <c r="E299">
        <v>1000</v>
      </c>
      <c r="F299">
        <v>380</v>
      </c>
      <c r="G299">
        <v>3.1666666666666665</v>
      </c>
      <c r="N299">
        <v>10</v>
      </c>
      <c r="O299">
        <v>72</v>
      </c>
      <c r="P299">
        <v>24.2</v>
      </c>
      <c r="Q299">
        <v>44.6</v>
      </c>
      <c r="R299">
        <v>6.1</v>
      </c>
      <c r="S299">
        <v>1.1000000000000001</v>
      </c>
      <c r="T299">
        <v>44.3</v>
      </c>
      <c r="U299">
        <v>0.1</v>
      </c>
      <c r="V299">
        <v>1.6412556053811658</v>
      </c>
      <c r="W299">
        <v>0.7449551569506726</v>
      </c>
      <c r="X299">
        <v>3.8</v>
      </c>
      <c r="Y299">
        <v>16.7</v>
      </c>
      <c r="Z299">
        <v>70.400000000000006</v>
      </c>
      <c r="AA299">
        <v>6.1</v>
      </c>
      <c r="AB299">
        <v>1.6</v>
      </c>
      <c r="AC299">
        <v>19.8</v>
      </c>
      <c r="AD299">
        <v>0.1</v>
      </c>
      <c r="AE299">
        <v>1.0397727272727271</v>
      </c>
      <c r="AF299">
        <v>0.2109375</v>
      </c>
      <c r="AG299">
        <v>2</v>
      </c>
      <c r="AH299">
        <v>28.79</v>
      </c>
      <c r="AI299">
        <v>43.7</v>
      </c>
      <c r="AL299" s="9"/>
      <c r="AM299" s="9"/>
    </row>
    <row r="300" spans="1:39" x14ac:dyDescent="0.5">
      <c r="A300">
        <v>214</v>
      </c>
      <c r="B300">
        <v>177</v>
      </c>
      <c r="C300">
        <v>0.1</v>
      </c>
      <c r="D300">
        <v>45</v>
      </c>
      <c r="E300">
        <v>979</v>
      </c>
      <c r="F300">
        <v>255</v>
      </c>
      <c r="G300">
        <v>5.666666666666667</v>
      </c>
      <c r="Q300">
        <v>50.3</v>
      </c>
      <c r="R300">
        <v>6.1</v>
      </c>
      <c r="S300">
        <v>0.28000000000000003</v>
      </c>
      <c r="T300">
        <v>42.6</v>
      </c>
      <c r="U300">
        <v>0.02</v>
      </c>
      <c r="V300">
        <v>1.4552683896620278</v>
      </c>
      <c r="W300">
        <v>0.63518886679920483</v>
      </c>
      <c r="X300">
        <v>51.87</v>
      </c>
      <c r="Y300">
        <v>18.1081</v>
      </c>
      <c r="Z300">
        <v>56.9</v>
      </c>
      <c r="AA300">
        <v>5.76</v>
      </c>
      <c r="AB300">
        <v>2.91</v>
      </c>
      <c r="AC300">
        <v>34.049999999999997</v>
      </c>
      <c r="AD300">
        <v>0.38</v>
      </c>
      <c r="AE300">
        <v>1.2147627416520212</v>
      </c>
      <c r="AF300">
        <v>0.44881370826010547</v>
      </c>
      <c r="AG300">
        <v>53.62</v>
      </c>
      <c r="AH300">
        <v>21.379555000000003</v>
      </c>
      <c r="AI300">
        <v>81</v>
      </c>
      <c r="AJ300" t="s">
        <v>89</v>
      </c>
      <c r="AL300" s="9"/>
      <c r="AM300" s="9"/>
    </row>
    <row r="301" spans="1:39" x14ac:dyDescent="0.5">
      <c r="A301">
        <v>265</v>
      </c>
      <c r="B301">
        <v>181</v>
      </c>
      <c r="C301">
        <v>0.1</v>
      </c>
      <c r="D301">
        <v>45</v>
      </c>
      <c r="E301">
        <v>979</v>
      </c>
      <c r="F301">
        <v>255</v>
      </c>
      <c r="G301">
        <v>5.666666666666667</v>
      </c>
      <c r="Q301">
        <v>50.3</v>
      </c>
      <c r="R301">
        <v>6.1</v>
      </c>
      <c r="S301">
        <v>0.28000000000000003</v>
      </c>
      <c r="T301">
        <v>42.6</v>
      </c>
      <c r="U301">
        <v>0.02</v>
      </c>
      <c r="V301">
        <v>1.4552683896620278</v>
      </c>
      <c r="W301">
        <v>0.63518886679920483</v>
      </c>
      <c r="X301">
        <v>51.87</v>
      </c>
      <c r="Y301">
        <v>18.1081</v>
      </c>
      <c r="Z301">
        <v>60.25</v>
      </c>
      <c r="AA301">
        <v>6.04</v>
      </c>
      <c r="AB301">
        <v>3.09</v>
      </c>
      <c r="AC301">
        <v>30.24</v>
      </c>
      <c r="AD301">
        <v>0.38</v>
      </c>
      <c r="AE301">
        <v>1.20298755186722</v>
      </c>
      <c r="AF301">
        <v>0.37643153526970957</v>
      </c>
      <c r="AG301">
        <v>54.84</v>
      </c>
      <c r="AH301">
        <v>23.59178</v>
      </c>
      <c r="AI301">
        <v>79</v>
      </c>
      <c r="AL301" s="9"/>
      <c r="AM301" s="9"/>
    </row>
    <row r="302" spans="1:39" x14ac:dyDescent="0.5">
      <c r="A302">
        <v>590</v>
      </c>
      <c r="B302">
        <v>178</v>
      </c>
      <c r="C302">
        <v>0.1</v>
      </c>
      <c r="D302">
        <v>45</v>
      </c>
      <c r="E302">
        <v>979</v>
      </c>
      <c r="F302">
        <v>255</v>
      </c>
      <c r="G302">
        <v>5.666666666666667</v>
      </c>
      <c r="Q302">
        <v>50.3</v>
      </c>
      <c r="R302">
        <v>6.1</v>
      </c>
      <c r="S302">
        <v>0.28000000000000003</v>
      </c>
      <c r="T302">
        <v>42.6</v>
      </c>
      <c r="U302">
        <v>0.02</v>
      </c>
      <c r="V302">
        <v>1.4552683896620278</v>
      </c>
      <c r="W302">
        <v>0.63518886679920483</v>
      </c>
      <c r="X302">
        <v>51.87</v>
      </c>
      <c r="Y302">
        <v>18.1081</v>
      </c>
      <c r="Z302">
        <v>59.04</v>
      </c>
      <c r="AA302">
        <v>5.92</v>
      </c>
      <c r="AB302">
        <v>2.93</v>
      </c>
      <c r="AC302">
        <v>31.72</v>
      </c>
      <c r="AD302">
        <v>0.39</v>
      </c>
      <c r="AE302">
        <v>1.2032520325203253</v>
      </c>
      <c r="AF302">
        <v>0.40294715447154472</v>
      </c>
      <c r="AG302">
        <v>52.33</v>
      </c>
      <c r="AH302">
        <v>22.747260000000001</v>
      </c>
      <c r="AI302">
        <v>70</v>
      </c>
      <c r="AL302" s="9"/>
      <c r="AM302" s="9"/>
    </row>
    <row r="303" spans="1:39" x14ac:dyDescent="0.5">
      <c r="A303">
        <v>195</v>
      </c>
      <c r="B303">
        <v>209</v>
      </c>
      <c r="C303">
        <v>0.1</v>
      </c>
      <c r="D303">
        <v>45</v>
      </c>
      <c r="E303">
        <v>979</v>
      </c>
      <c r="F303">
        <v>255</v>
      </c>
      <c r="G303">
        <v>5.666666666666667</v>
      </c>
      <c r="Q303">
        <v>50.3</v>
      </c>
      <c r="R303">
        <v>6.1</v>
      </c>
      <c r="S303">
        <v>0.28000000000000003</v>
      </c>
      <c r="T303">
        <v>42.6</v>
      </c>
      <c r="U303">
        <v>0.02</v>
      </c>
      <c r="V303">
        <v>1.4552683896620278</v>
      </c>
      <c r="W303">
        <v>0.63518886679920483</v>
      </c>
      <c r="X303">
        <v>51.87</v>
      </c>
      <c r="Y303">
        <v>18.1081</v>
      </c>
      <c r="Z303">
        <v>60.89</v>
      </c>
      <c r="AA303">
        <v>5.9</v>
      </c>
      <c r="AB303">
        <v>2.88</v>
      </c>
      <c r="AC303">
        <v>30.24</v>
      </c>
      <c r="AD303">
        <v>0.3</v>
      </c>
      <c r="AE303">
        <v>1.1627525045163409</v>
      </c>
      <c r="AF303">
        <v>0.37247495483659054</v>
      </c>
      <c r="AG303">
        <v>47.71</v>
      </c>
      <c r="AH303">
        <v>23.608180000000004</v>
      </c>
      <c r="AI303">
        <v>51</v>
      </c>
      <c r="AL303" s="9"/>
      <c r="AM303" s="9"/>
    </row>
    <row r="304" spans="1:39" x14ac:dyDescent="0.5">
      <c r="A304">
        <v>430</v>
      </c>
      <c r="B304">
        <v>221</v>
      </c>
      <c r="C304">
        <v>0.1</v>
      </c>
      <c r="D304">
        <v>45</v>
      </c>
      <c r="E304">
        <v>979</v>
      </c>
      <c r="F304">
        <v>255</v>
      </c>
      <c r="G304">
        <v>5.666666666666667</v>
      </c>
      <c r="Q304">
        <v>50.3</v>
      </c>
      <c r="R304">
        <v>6.1</v>
      </c>
      <c r="S304">
        <v>0.28000000000000003</v>
      </c>
      <c r="T304">
        <v>42.6</v>
      </c>
      <c r="U304">
        <v>0.02</v>
      </c>
      <c r="V304">
        <v>1.4552683896620278</v>
      </c>
      <c r="W304">
        <v>0.63518886679920483</v>
      </c>
      <c r="X304">
        <v>51.87</v>
      </c>
      <c r="Y304">
        <v>18.1081</v>
      </c>
      <c r="Z304">
        <v>65.28</v>
      </c>
      <c r="AA304">
        <v>6.12</v>
      </c>
      <c r="AB304">
        <v>3.43</v>
      </c>
      <c r="AC304">
        <v>24.82</v>
      </c>
      <c r="AD304">
        <v>0.35</v>
      </c>
      <c r="AE304">
        <v>1.125</v>
      </c>
      <c r="AF304">
        <v>0.28515625</v>
      </c>
      <c r="AG304">
        <v>55</v>
      </c>
      <c r="AH304">
        <v>26.373629999999999</v>
      </c>
      <c r="AI304">
        <v>57</v>
      </c>
      <c r="AL304" s="7"/>
      <c r="AM304" s="7"/>
    </row>
    <row r="305" spans="1:39" x14ac:dyDescent="0.5">
      <c r="A305">
        <v>420</v>
      </c>
      <c r="B305">
        <v>211</v>
      </c>
      <c r="C305">
        <v>0.1</v>
      </c>
      <c r="D305">
        <v>45</v>
      </c>
      <c r="E305">
        <v>979</v>
      </c>
      <c r="F305">
        <v>255</v>
      </c>
      <c r="G305">
        <v>5.666666666666667</v>
      </c>
      <c r="Q305">
        <v>50.3</v>
      </c>
      <c r="R305">
        <v>6.1</v>
      </c>
      <c r="S305">
        <v>0.28000000000000003</v>
      </c>
      <c r="T305">
        <v>42.6</v>
      </c>
      <c r="U305">
        <v>0.02</v>
      </c>
      <c r="V305">
        <v>1.4552683896620278</v>
      </c>
      <c r="W305">
        <v>0.63518886679920483</v>
      </c>
      <c r="X305">
        <v>51.87</v>
      </c>
      <c r="Y305">
        <v>18.1081</v>
      </c>
      <c r="Z305">
        <v>61.89</v>
      </c>
      <c r="AA305">
        <v>5.82</v>
      </c>
      <c r="AB305">
        <v>2.99</v>
      </c>
      <c r="AC305">
        <v>28.99</v>
      </c>
      <c r="AD305">
        <v>0.3</v>
      </c>
      <c r="AE305">
        <v>1.1284537081919537</v>
      </c>
      <c r="AF305">
        <v>0.35130877363063501</v>
      </c>
      <c r="AG305">
        <v>48.68</v>
      </c>
      <c r="AH305">
        <v>24.055064999999999</v>
      </c>
      <c r="AI305">
        <v>45</v>
      </c>
      <c r="AL305" s="7"/>
      <c r="AM305" s="7"/>
    </row>
    <row r="306" spans="1:39" x14ac:dyDescent="0.5">
      <c r="A306">
        <v>800</v>
      </c>
      <c r="B306">
        <v>228</v>
      </c>
      <c r="C306">
        <v>0.1</v>
      </c>
      <c r="D306">
        <v>45</v>
      </c>
      <c r="E306">
        <v>979</v>
      </c>
      <c r="F306">
        <v>255</v>
      </c>
      <c r="G306">
        <v>5.666666666666667</v>
      </c>
      <c r="Q306">
        <v>50.3</v>
      </c>
      <c r="R306">
        <v>6.1</v>
      </c>
      <c r="S306">
        <v>0.28000000000000003</v>
      </c>
      <c r="T306">
        <v>42.6</v>
      </c>
      <c r="U306">
        <v>0.02</v>
      </c>
      <c r="V306">
        <v>1.4552683896620278</v>
      </c>
      <c r="W306">
        <v>0.63518886679920483</v>
      </c>
      <c r="X306">
        <v>51.87</v>
      </c>
      <c r="Y306">
        <v>18.1081</v>
      </c>
      <c r="Z306">
        <v>66.900000000000006</v>
      </c>
      <c r="AA306">
        <v>5.76</v>
      </c>
      <c r="AB306">
        <v>3.88</v>
      </c>
      <c r="AC306">
        <v>23.11</v>
      </c>
      <c r="AD306">
        <v>0.34</v>
      </c>
      <c r="AE306">
        <v>1.033183856502242</v>
      </c>
      <c r="AF306">
        <v>0.25908071748878925</v>
      </c>
      <c r="AG306">
        <v>58.47</v>
      </c>
      <c r="AH306">
        <v>26.712345000000006</v>
      </c>
      <c r="AI306">
        <v>47</v>
      </c>
      <c r="AL306" s="7"/>
      <c r="AM306" s="7"/>
    </row>
    <row r="307" spans="1:39" x14ac:dyDescent="0.5">
      <c r="A307">
        <v>395</v>
      </c>
      <c r="B307">
        <v>222</v>
      </c>
      <c r="C307">
        <v>0.1</v>
      </c>
      <c r="D307">
        <v>45</v>
      </c>
      <c r="E307">
        <v>979</v>
      </c>
      <c r="F307">
        <v>255</v>
      </c>
      <c r="G307">
        <v>5.666666666666667</v>
      </c>
      <c r="Q307">
        <v>50.3</v>
      </c>
      <c r="R307">
        <v>6.1</v>
      </c>
      <c r="S307">
        <v>0.28000000000000003</v>
      </c>
      <c r="T307">
        <v>42.6</v>
      </c>
      <c r="U307">
        <v>0.02</v>
      </c>
      <c r="V307">
        <v>1.4552683896620278</v>
      </c>
      <c r="W307">
        <v>0.63518886679920483</v>
      </c>
      <c r="X307">
        <v>51.87</v>
      </c>
      <c r="Y307">
        <v>18.1081</v>
      </c>
      <c r="Z307">
        <v>61.7</v>
      </c>
      <c r="AA307">
        <v>5.84</v>
      </c>
      <c r="AB307">
        <v>3.48</v>
      </c>
      <c r="AC307">
        <v>28.64</v>
      </c>
      <c r="AD307">
        <v>0.34</v>
      </c>
      <c r="AE307">
        <v>1.1358184764991897</v>
      </c>
      <c r="AF307">
        <v>0.34813614262560777</v>
      </c>
      <c r="AG307">
        <v>59.41</v>
      </c>
      <c r="AH307">
        <v>24.081880000000002</v>
      </c>
      <c r="AI307">
        <v>74</v>
      </c>
    </row>
    <row r="308" spans="1:39" x14ac:dyDescent="0.5">
      <c r="A308">
        <v>445</v>
      </c>
      <c r="B308">
        <v>218</v>
      </c>
      <c r="C308">
        <v>0.1</v>
      </c>
      <c r="D308">
        <v>45</v>
      </c>
      <c r="E308">
        <v>979</v>
      </c>
      <c r="F308">
        <v>255</v>
      </c>
      <c r="G308">
        <v>5.666666666666667</v>
      </c>
      <c r="Q308">
        <v>50.3</v>
      </c>
      <c r="R308">
        <v>6.1</v>
      </c>
      <c r="S308">
        <v>0.28000000000000003</v>
      </c>
      <c r="T308">
        <v>42.6</v>
      </c>
      <c r="U308">
        <v>0.02</v>
      </c>
      <c r="V308">
        <v>1.4552683896620278</v>
      </c>
      <c r="W308">
        <v>0.63518886679920483</v>
      </c>
      <c r="X308">
        <v>51.87</v>
      </c>
      <c r="Y308">
        <v>18.1081</v>
      </c>
      <c r="Z308">
        <v>62.73</v>
      </c>
      <c r="AA308">
        <v>6.05</v>
      </c>
      <c r="AB308">
        <v>3.63</v>
      </c>
      <c r="AC308">
        <v>27.22</v>
      </c>
      <c r="AD308">
        <v>0.38</v>
      </c>
      <c r="AE308">
        <v>1.1573409851745575</v>
      </c>
      <c r="AF308">
        <v>0.32544237207077953</v>
      </c>
      <c r="AG308">
        <v>50.24</v>
      </c>
      <c r="AH308">
        <v>24.983369999999997</v>
      </c>
      <c r="AI308">
        <v>69</v>
      </c>
    </row>
    <row r="309" spans="1:39" x14ac:dyDescent="0.5">
      <c r="A309">
        <v>515</v>
      </c>
      <c r="B309">
        <v>224</v>
      </c>
      <c r="C309">
        <v>0.1</v>
      </c>
      <c r="D309">
        <v>45</v>
      </c>
      <c r="E309">
        <v>979</v>
      </c>
      <c r="F309">
        <v>255</v>
      </c>
      <c r="G309">
        <v>5.666666666666667</v>
      </c>
      <c r="Q309">
        <v>50.3</v>
      </c>
      <c r="R309">
        <v>6.1</v>
      </c>
      <c r="S309">
        <v>0.28000000000000003</v>
      </c>
      <c r="T309">
        <v>42.6</v>
      </c>
      <c r="U309">
        <v>0.02</v>
      </c>
      <c r="V309">
        <v>1.4552683896620278</v>
      </c>
      <c r="W309">
        <v>0.63518886679920483</v>
      </c>
      <c r="X309">
        <v>51.87</v>
      </c>
      <c r="Y309">
        <v>18.1081</v>
      </c>
      <c r="Z309">
        <v>64.31</v>
      </c>
      <c r="AA309">
        <v>6</v>
      </c>
      <c r="AB309">
        <v>3.25</v>
      </c>
      <c r="AC309">
        <v>26.11</v>
      </c>
      <c r="AD309">
        <v>0.33</v>
      </c>
      <c r="AE309">
        <v>1.1195770486705021</v>
      </c>
      <c r="AF309">
        <v>0.3045016327165293</v>
      </c>
      <c r="AG309">
        <v>55.18</v>
      </c>
      <c r="AH309">
        <v>25.644145000000002</v>
      </c>
      <c r="AI309">
        <v>58</v>
      </c>
    </row>
    <row r="310" spans="1:39" x14ac:dyDescent="0.5">
      <c r="A310">
        <v>120</v>
      </c>
      <c r="B310">
        <v>180</v>
      </c>
      <c r="C310">
        <v>0.1</v>
      </c>
      <c r="D310">
        <v>100</v>
      </c>
      <c r="E310">
        <v>3000</v>
      </c>
      <c r="F310">
        <v>400</v>
      </c>
      <c r="G310">
        <v>4</v>
      </c>
      <c r="N310">
        <v>65</v>
      </c>
      <c r="O310">
        <v>79</v>
      </c>
      <c r="P310">
        <v>18.7</v>
      </c>
      <c r="Q310">
        <v>47.1</v>
      </c>
      <c r="R310">
        <v>6.4</v>
      </c>
      <c r="S310">
        <v>0.5</v>
      </c>
      <c r="T310">
        <v>45.9</v>
      </c>
      <c r="U310">
        <v>0</v>
      </c>
      <c r="V310">
        <v>1.6305732484076434</v>
      </c>
      <c r="W310">
        <v>0.73089171974522282</v>
      </c>
      <c r="X310">
        <v>2.2999999999999998</v>
      </c>
      <c r="Y310">
        <v>16.865850000000002</v>
      </c>
      <c r="Z310">
        <v>59.9</v>
      </c>
      <c r="AA310">
        <v>5.5</v>
      </c>
      <c r="AB310">
        <v>1.6</v>
      </c>
      <c r="AC310">
        <v>32.9</v>
      </c>
      <c r="AD310">
        <v>0</v>
      </c>
      <c r="AE310">
        <v>1.1018363939899833</v>
      </c>
      <c r="AF310">
        <v>0.4119365609348915</v>
      </c>
      <c r="AG310">
        <v>0.8</v>
      </c>
      <c r="AH310">
        <v>22.227550000000001</v>
      </c>
      <c r="AI310">
        <v>73</v>
      </c>
      <c r="AJ310" s="2" t="s">
        <v>91</v>
      </c>
    </row>
    <row r="311" spans="1:39" x14ac:dyDescent="0.5">
      <c r="A311">
        <v>240</v>
      </c>
      <c r="B311">
        <v>180</v>
      </c>
      <c r="C311">
        <v>0.1</v>
      </c>
      <c r="D311">
        <v>100</v>
      </c>
      <c r="E311">
        <v>3000</v>
      </c>
      <c r="F311">
        <v>400</v>
      </c>
      <c r="G311">
        <v>4</v>
      </c>
      <c r="N311">
        <v>65</v>
      </c>
      <c r="O311">
        <v>79</v>
      </c>
      <c r="P311">
        <v>18.7</v>
      </c>
      <c r="Q311">
        <v>47.1</v>
      </c>
      <c r="R311">
        <v>6.4</v>
      </c>
      <c r="S311">
        <v>0.5</v>
      </c>
      <c r="T311">
        <v>45.9</v>
      </c>
      <c r="U311">
        <v>0</v>
      </c>
      <c r="V311">
        <v>1.6305732484076434</v>
      </c>
      <c r="W311">
        <v>0.73089171974522282</v>
      </c>
      <c r="X311">
        <v>2.2999999999999998</v>
      </c>
      <c r="Y311">
        <v>16.865850000000002</v>
      </c>
      <c r="Z311">
        <v>62.7</v>
      </c>
      <c r="AA311">
        <v>5.5</v>
      </c>
      <c r="AB311">
        <v>1.6</v>
      </c>
      <c r="AC311">
        <v>30.1</v>
      </c>
      <c r="AD311">
        <v>0</v>
      </c>
      <c r="AE311">
        <v>1.0526315789473684</v>
      </c>
      <c r="AF311">
        <v>0.36004784688995212</v>
      </c>
      <c r="AG311">
        <v>1.1000000000000001</v>
      </c>
      <c r="AH311">
        <v>23.673750000000002</v>
      </c>
      <c r="AI311">
        <v>61</v>
      </c>
    </row>
    <row r="312" spans="1:39" x14ac:dyDescent="0.5">
      <c r="A312">
        <v>120</v>
      </c>
      <c r="B312">
        <v>230</v>
      </c>
      <c r="C312">
        <v>0.1</v>
      </c>
      <c r="D312">
        <v>100</v>
      </c>
      <c r="E312">
        <v>3000</v>
      </c>
      <c r="F312">
        <v>400</v>
      </c>
      <c r="G312">
        <v>4</v>
      </c>
      <c r="N312">
        <v>65</v>
      </c>
      <c r="O312">
        <v>79</v>
      </c>
      <c r="P312">
        <v>18.7</v>
      </c>
      <c r="Q312">
        <v>47.1</v>
      </c>
      <c r="R312">
        <v>6.4</v>
      </c>
      <c r="S312">
        <v>0.5</v>
      </c>
      <c r="T312">
        <v>45.9</v>
      </c>
      <c r="U312">
        <v>0</v>
      </c>
      <c r="V312">
        <v>1.6305732484076434</v>
      </c>
      <c r="W312">
        <v>0.73089171974522282</v>
      </c>
      <c r="X312">
        <v>2.2999999999999998</v>
      </c>
      <c r="Y312">
        <v>16.865850000000002</v>
      </c>
      <c r="Z312">
        <v>72.3</v>
      </c>
      <c r="AA312">
        <v>6</v>
      </c>
      <c r="AB312">
        <v>1.7</v>
      </c>
      <c r="AC312">
        <v>19.899999999999999</v>
      </c>
      <c r="AD312">
        <v>0</v>
      </c>
      <c r="AE312">
        <v>0.99585062240663913</v>
      </c>
      <c r="AF312">
        <v>0.20643153526970956</v>
      </c>
      <c r="AG312">
        <v>1</v>
      </c>
      <c r="AH312">
        <v>29.453250000000001</v>
      </c>
      <c r="AI312">
        <v>62</v>
      </c>
    </row>
    <row r="313" spans="1:39" x14ac:dyDescent="0.5">
      <c r="A313">
        <v>240</v>
      </c>
      <c r="B313">
        <v>230</v>
      </c>
      <c r="C313">
        <v>0.1</v>
      </c>
      <c r="D313">
        <v>100</v>
      </c>
      <c r="E313">
        <v>3000</v>
      </c>
      <c r="F313">
        <v>400</v>
      </c>
      <c r="G313">
        <v>4</v>
      </c>
      <c r="N313">
        <v>65</v>
      </c>
      <c r="O313">
        <v>79</v>
      </c>
      <c r="P313">
        <v>18.7</v>
      </c>
      <c r="Q313">
        <v>47.1</v>
      </c>
      <c r="R313">
        <v>6.4</v>
      </c>
      <c r="S313">
        <v>0.5</v>
      </c>
      <c r="T313">
        <v>45.9</v>
      </c>
      <c r="U313">
        <v>0</v>
      </c>
      <c r="V313">
        <v>1.6305732484076434</v>
      </c>
      <c r="W313">
        <v>0.73089171974522282</v>
      </c>
      <c r="X313">
        <v>2.2999999999999998</v>
      </c>
      <c r="Y313">
        <v>16.865850000000002</v>
      </c>
      <c r="Z313">
        <v>73.7</v>
      </c>
      <c r="AA313">
        <v>5.7</v>
      </c>
      <c r="AB313">
        <v>2</v>
      </c>
      <c r="AC313">
        <v>18.5</v>
      </c>
      <c r="AD313">
        <v>0</v>
      </c>
      <c r="AE313">
        <v>0.92808683853459972</v>
      </c>
      <c r="AF313">
        <v>0.18826322930800543</v>
      </c>
      <c r="AG313">
        <v>0.8</v>
      </c>
      <c r="AH313">
        <v>29.747950000000003</v>
      </c>
      <c r="AI313">
        <v>56</v>
      </c>
    </row>
    <row r="314" spans="1:39" x14ac:dyDescent="0.5">
      <c r="A314">
        <v>240</v>
      </c>
      <c r="B314">
        <v>250</v>
      </c>
      <c r="C314">
        <v>0.1</v>
      </c>
      <c r="D314">
        <v>4</v>
      </c>
      <c r="E314">
        <v>50</v>
      </c>
      <c r="F314">
        <v>40</v>
      </c>
      <c r="G314">
        <v>10</v>
      </c>
      <c r="O314">
        <v>65.739999999999995</v>
      </c>
      <c r="P314">
        <v>0.7</v>
      </c>
      <c r="Q314">
        <v>36.64</v>
      </c>
      <c r="R314">
        <v>8.8699999999999992</v>
      </c>
      <c r="S314">
        <v>3.22</v>
      </c>
      <c r="T314">
        <v>17.7</v>
      </c>
      <c r="U314">
        <v>0.23</v>
      </c>
      <c r="V314">
        <v>2.9050218340611353</v>
      </c>
      <c r="W314">
        <v>0.36230895196506552</v>
      </c>
      <c r="X314">
        <v>33.57</v>
      </c>
      <c r="Y314">
        <v>16.3</v>
      </c>
      <c r="Z314">
        <v>38.32</v>
      </c>
      <c r="AA314">
        <v>4.26</v>
      </c>
      <c r="AB314">
        <v>1.1200000000000001</v>
      </c>
      <c r="AC314">
        <v>29.63</v>
      </c>
      <c r="AD314">
        <v>0.27</v>
      </c>
      <c r="AE314">
        <v>1.3340292275574113</v>
      </c>
      <c r="AF314">
        <v>0.57991910229645094</v>
      </c>
      <c r="AG314">
        <v>26.67</v>
      </c>
      <c r="AH314">
        <v>18.98</v>
      </c>
      <c r="AI314">
        <v>80.22</v>
      </c>
      <c r="AJ314" t="s">
        <v>93</v>
      </c>
    </row>
    <row r="315" spans="1:39" x14ac:dyDescent="0.5">
      <c r="A315">
        <v>30</v>
      </c>
      <c r="B315">
        <v>180</v>
      </c>
      <c r="C315">
        <v>0.1</v>
      </c>
      <c r="D315">
        <v>50</v>
      </c>
      <c r="E315">
        <v>1000</v>
      </c>
      <c r="F315">
        <v>500</v>
      </c>
      <c r="G315">
        <v>10</v>
      </c>
      <c r="K315">
        <v>42.63</v>
      </c>
      <c r="L315">
        <v>18.55</v>
      </c>
      <c r="M315">
        <v>7.58</v>
      </c>
      <c r="O315">
        <v>81.81</v>
      </c>
      <c r="P315">
        <v>3.06</v>
      </c>
      <c r="Q315">
        <v>35.950000000000003</v>
      </c>
      <c r="R315">
        <v>5.76</v>
      </c>
      <c r="S315">
        <v>1.21</v>
      </c>
      <c r="T315">
        <v>41.96</v>
      </c>
      <c r="U315">
        <v>0</v>
      </c>
      <c r="V315">
        <v>1.9226703755215575</v>
      </c>
      <c r="W315">
        <v>0.87538247566063976</v>
      </c>
      <c r="X315">
        <v>15.13</v>
      </c>
      <c r="Y315">
        <v>15.15</v>
      </c>
      <c r="Z315">
        <v>39.79</v>
      </c>
      <c r="AA315">
        <v>5.57</v>
      </c>
      <c r="AB315">
        <v>1.1499999999999999</v>
      </c>
      <c r="AC315">
        <v>39.69</v>
      </c>
      <c r="AD315">
        <v>0</v>
      </c>
      <c r="AE315">
        <v>1.679819050012566</v>
      </c>
      <c r="AF315">
        <v>0.74811510429756212</v>
      </c>
      <c r="AG315">
        <v>13.81</v>
      </c>
      <c r="AH315">
        <v>16.510000000000002</v>
      </c>
      <c r="AI315">
        <v>50</v>
      </c>
      <c r="AJ315" t="s">
        <v>95</v>
      </c>
    </row>
    <row r="316" spans="1:39" x14ac:dyDescent="0.5">
      <c r="A316">
        <v>30</v>
      </c>
      <c r="B316">
        <v>200</v>
      </c>
      <c r="C316">
        <v>0.1</v>
      </c>
      <c r="D316">
        <v>50</v>
      </c>
      <c r="E316">
        <v>1000</v>
      </c>
      <c r="F316">
        <v>500</v>
      </c>
      <c r="G316">
        <v>10</v>
      </c>
      <c r="K316">
        <v>42.63</v>
      </c>
      <c r="L316">
        <v>18.55</v>
      </c>
      <c r="M316">
        <v>7.58</v>
      </c>
      <c r="O316">
        <v>81.81</v>
      </c>
      <c r="P316">
        <v>3.06</v>
      </c>
      <c r="Q316">
        <v>35.950000000000003</v>
      </c>
      <c r="R316">
        <v>5.76</v>
      </c>
      <c r="S316">
        <v>1.21</v>
      </c>
      <c r="T316">
        <v>41.96</v>
      </c>
      <c r="U316">
        <v>0</v>
      </c>
      <c r="V316">
        <v>1.9226703755215575</v>
      </c>
      <c r="W316">
        <v>0.87538247566063976</v>
      </c>
      <c r="X316">
        <v>15.13</v>
      </c>
      <c r="Y316">
        <v>15.15</v>
      </c>
      <c r="Z316">
        <v>46.24</v>
      </c>
      <c r="AA316">
        <v>5.5</v>
      </c>
      <c r="AB316">
        <v>0.95</v>
      </c>
      <c r="AC316">
        <v>37.82</v>
      </c>
      <c r="AD316">
        <v>0</v>
      </c>
      <c r="AE316">
        <v>1.4273356401384083</v>
      </c>
      <c r="AF316">
        <v>0.61342993079584773</v>
      </c>
      <c r="AG316">
        <v>9.48</v>
      </c>
      <c r="AH316">
        <v>18.809999999999999</v>
      </c>
      <c r="AI316">
        <v>45</v>
      </c>
    </row>
    <row r="317" spans="1:39" x14ac:dyDescent="0.5">
      <c r="A317">
        <v>30</v>
      </c>
      <c r="B317">
        <v>220</v>
      </c>
      <c r="C317">
        <v>0.1</v>
      </c>
      <c r="D317">
        <v>50</v>
      </c>
      <c r="E317">
        <v>1000</v>
      </c>
      <c r="F317">
        <v>500</v>
      </c>
      <c r="G317">
        <v>10</v>
      </c>
      <c r="K317">
        <v>42.63</v>
      </c>
      <c r="L317">
        <v>18.55</v>
      </c>
      <c r="M317">
        <v>7.58</v>
      </c>
      <c r="O317">
        <v>81.81</v>
      </c>
      <c r="P317">
        <v>3.06</v>
      </c>
      <c r="Q317">
        <v>35.950000000000003</v>
      </c>
      <c r="R317">
        <v>5.76</v>
      </c>
      <c r="S317">
        <v>1.21</v>
      </c>
      <c r="T317">
        <v>41.96</v>
      </c>
      <c r="U317">
        <v>0</v>
      </c>
      <c r="V317">
        <v>1.9226703755215575</v>
      </c>
      <c r="W317">
        <v>0.87538247566063976</v>
      </c>
      <c r="X317">
        <v>15.13</v>
      </c>
      <c r="Y317">
        <v>15.15</v>
      </c>
      <c r="Z317">
        <v>51.41</v>
      </c>
      <c r="AA317">
        <v>5.09</v>
      </c>
      <c r="AB317">
        <v>0.92</v>
      </c>
      <c r="AC317">
        <v>33.4</v>
      </c>
      <c r="AD317">
        <v>0</v>
      </c>
      <c r="AE317">
        <v>1.1880957012254425</v>
      </c>
      <c r="AF317">
        <v>0.48725928807624974</v>
      </c>
      <c r="AG317">
        <v>9.19</v>
      </c>
      <c r="AH317">
        <v>20.09</v>
      </c>
      <c r="AI317">
        <v>38</v>
      </c>
    </row>
    <row r="318" spans="1:39" x14ac:dyDescent="0.5">
      <c r="A318">
        <v>30</v>
      </c>
      <c r="B318">
        <v>180</v>
      </c>
      <c r="C318">
        <v>0.1</v>
      </c>
      <c r="D318">
        <v>50</v>
      </c>
      <c r="E318">
        <v>1000</v>
      </c>
      <c r="F318">
        <v>500</v>
      </c>
      <c r="G318">
        <v>10</v>
      </c>
      <c r="K318">
        <v>47.77</v>
      </c>
      <c r="L318">
        <v>12.66</v>
      </c>
      <c r="M318">
        <v>18.5</v>
      </c>
      <c r="O318">
        <v>83.89</v>
      </c>
      <c r="P318">
        <v>9.7200000000000006</v>
      </c>
      <c r="Q318">
        <v>43.56</v>
      </c>
      <c r="R318">
        <v>6.1</v>
      </c>
      <c r="S318">
        <v>0.81</v>
      </c>
      <c r="T318">
        <v>43.15</v>
      </c>
      <c r="U318">
        <v>0</v>
      </c>
      <c r="V318">
        <v>1.6804407713498619</v>
      </c>
      <c r="W318">
        <v>0.74294077134986214</v>
      </c>
      <c r="X318">
        <v>6.39</v>
      </c>
      <c r="Y318">
        <v>17.96</v>
      </c>
      <c r="Z318">
        <v>52.98</v>
      </c>
      <c r="AA318">
        <v>5.5</v>
      </c>
      <c r="AB318">
        <v>0.7</v>
      </c>
      <c r="AC318">
        <v>36.42</v>
      </c>
      <c r="AD318">
        <v>0</v>
      </c>
      <c r="AE318">
        <v>1.245753114382786</v>
      </c>
      <c r="AF318">
        <v>0.51557191392978485</v>
      </c>
      <c r="AG318">
        <v>4.4000000000000004</v>
      </c>
      <c r="AH318">
        <v>20.57</v>
      </c>
      <c r="AI318">
        <v>52</v>
      </c>
    </row>
    <row r="319" spans="1:39" x14ac:dyDescent="0.5">
      <c r="A319">
        <v>30</v>
      </c>
      <c r="B319">
        <v>200</v>
      </c>
      <c r="C319">
        <v>0.1</v>
      </c>
      <c r="D319">
        <v>50</v>
      </c>
      <c r="E319">
        <v>1000</v>
      </c>
      <c r="F319">
        <v>500</v>
      </c>
      <c r="G319">
        <v>10</v>
      </c>
      <c r="K319">
        <v>47.77</v>
      </c>
      <c r="L319">
        <v>12.66</v>
      </c>
      <c r="M319">
        <v>18.5</v>
      </c>
      <c r="O319">
        <v>83.89</v>
      </c>
      <c r="P319">
        <v>9.7200000000000006</v>
      </c>
      <c r="Q319">
        <v>43.56</v>
      </c>
      <c r="R319">
        <v>6.1</v>
      </c>
      <c r="S319">
        <v>0.81</v>
      </c>
      <c r="T319">
        <v>43.15</v>
      </c>
      <c r="U319">
        <v>0</v>
      </c>
      <c r="V319">
        <v>1.6804407713498619</v>
      </c>
      <c r="W319">
        <v>0.74294077134986214</v>
      </c>
      <c r="X319">
        <v>6.39</v>
      </c>
      <c r="Y319">
        <v>17.96</v>
      </c>
      <c r="Z319">
        <v>54.42</v>
      </c>
      <c r="AA319">
        <v>5.44</v>
      </c>
      <c r="AB319">
        <v>0.67</v>
      </c>
      <c r="AC319">
        <v>35.58</v>
      </c>
      <c r="AD319">
        <v>0</v>
      </c>
      <c r="AE319">
        <v>1.1995589856670341</v>
      </c>
      <c r="AF319">
        <v>0.49035281146637261</v>
      </c>
      <c r="AG319">
        <v>3.89</v>
      </c>
      <c r="AH319">
        <v>21.71</v>
      </c>
      <c r="AI319">
        <v>50</v>
      </c>
    </row>
    <row r="320" spans="1:39" x14ac:dyDescent="0.5">
      <c r="A320">
        <v>30</v>
      </c>
      <c r="B320">
        <v>220</v>
      </c>
      <c r="C320">
        <v>0.1</v>
      </c>
      <c r="D320">
        <v>50</v>
      </c>
      <c r="E320">
        <v>1000</v>
      </c>
      <c r="F320">
        <v>500</v>
      </c>
      <c r="G320">
        <v>10</v>
      </c>
      <c r="K320">
        <v>47.77</v>
      </c>
      <c r="L320">
        <v>12.66</v>
      </c>
      <c r="M320">
        <v>18.5</v>
      </c>
      <c r="O320">
        <v>83.89</v>
      </c>
      <c r="P320">
        <v>9.7200000000000006</v>
      </c>
      <c r="Q320">
        <v>43.56</v>
      </c>
      <c r="R320">
        <v>6.1</v>
      </c>
      <c r="S320">
        <v>0.81</v>
      </c>
      <c r="T320">
        <v>43.15</v>
      </c>
      <c r="U320">
        <v>0</v>
      </c>
      <c r="V320">
        <v>1.6804407713498619</v>
      </c>
      <c r="W320">
        <v>0.74294077134986214</v>
      </c>
      <c r="X320">
        <v>6.39</v>
      </c>
      <c r="Y320">
        <v>17.96</v>
      </c>
      <c r="Z320">
        <v>55.77</v>
      </c>
      <c r="AA320">
        <v>5.38</v>
      </c>
      <c r="AB320">
        <v>0.65</v>
      </c>
      <c r="AC320">
        <v>34.81</v>
      </c>
      <c r="AD320">
        <v>0</v>
      </c>
      <c r="AE320">
        <v>1.1576116191500807</v>
      </c>
      <c r="AF320">
        <v>0.46812802582033353</v>
      </c>
      <c r="AG320">
        <v>3.4</v>
      </c>
      <c r="AH320">
        <v>22.16</v>
      </c>
      <c r="AI320">
        <v>48</v>
      </c>
    </row>
    <row r="321" spans="1:36" x14ac:dyDescent="0.5">
      <c r="A321">
        <v>30</v>
      </c>
      <c r="B321">
        <v>160</v>
      </c>
      <c r="C321">
        <v>0.1</v>
      </c>
      <c r="D321">
        <v>10</v>
      </c>
      <c r="E321">
        <v>500</v>
      </c>
      <c r="F321">
        <v>100</v>
      </c>
      <c r="G321">
        <v>10</v>
      </c>
      <c r="O321">
        <v>74.28</v>
      </c>
      <c r="P321">
        <v>16.21</v>
      </c>
      <c r="Q321">
        <v>40.4</v>
      </c>
      <c r="R321">
        <v>5.62</v>
      </c>
      <c r="S321">
        <v>1.99</v>
      </c>
      <c r="T321">
        <v>40.159999999999997</v>
      </c>
      <c r="U321">
        <v>1.52</v>
      </c>
      <c r="V321">
        <v>1.6693069306930692</v>
      </c>
      <c r="W321">
        <v>0.74554455445544543</v>
      </c>
      <c r="X321">
        <v>9.51</v>
      </c>
      <c r="Y321">
        <v>16.899999999999999</v>
      </c>
      <c r="Z321">
        <v>44.9</v>
      </c>
      <c r="AA321">
        <v>5.53</v>
      </c>
      <c r="AB321">
        <v>2.23</v>
      </c>
      <c r="AC321">
        <v>38.770000000000003</v>
      </c>
      <c r="AD321">
        <v>1.33</v>
      </c>
      <c r="AE321">
        <v>1.4779510022271716</v>
      </c>
      <c r="AF321">
        <v>0.64760579064587975</v>
      </c>
      <c r="AG321">
        <v>7.24</v>
      </c>
      <c r="AH321">
        <v>18.13</v>
      </c>
      <c r="AI321">
        <v>80</v>
      </c>
      <c r="AJ321" t="s">
        <v>97</v>
      </c>
    </row>
    <row r="322" spans="1:36" x14ac:dyDescent="0.5">
      <c r="A322">
        <v>30</v>
      </c>
      <c r="B322">
        <v>180</v>
      </c>
      <c r="C322">
        <v>0.1</v>
      </c>
      <c r="D322">
        <v>10</v>
      </c>
      <c r="E322">
        <v>500</v>
      </c>
      <c r="F322">
        <v>100</v>
      </c>
      <c r="G322">
        <v>10</v>
      </c>
      <c r="O322">
        <v>74.28</v>
      </c>
      <c r="P322">
        <v>16.21</v>
      </c>
      <c r="Q322">
        <v>40.4</v>
      </c>
      <c r="R322">
        <v>5.62</v>
      </c>
      <c r="S322">
        <v>1.99</v>
      </c>
      <c r="T322">
        <v>40.159999999999997</v>
      </c>
      <c r="U322">
        <v>1.52</v>
      </c>
      <c r="V322">
        <v>1.6693069306930692</v>
      </c>
      <c r="W322">
        <v>0.74554455445544543</v>
      </c>
      <c r="X322">
        <v>9.51</v>
      </c>
      <c r="Y322">
        <v>16.899999999999999</v>
      </c>
      <c r="Z322">
        <v>55.45</v>
      </c>
      <c r="AA322">
        <v>5.68</v>
      </c>
      <c r="AB322">
        <v>2.61</v>
      </c>
      <c r="AC322">
        <v>27.17</v>
      </c>
      <c r="AD322">
        <v>1.3</v>
      </c>
      <c r="AE322">
        <v>1.2292155094679891</v>
      </c>
      <c r="AF322">
        <v>0.36749323715058613</v>
      </c>
      <c r="AG322">
        <v>7.79</v>
      </c>
      <c r="AH322">
        <v>21.36</v>
      </c>
      <c r="AI322">
        <v>74</v>
      </c>
    </row>
    <row r="323" spans="1:36" x14ac:dyDescent="0.5">
      <c r="A323">
        <v>30</v>
      </c>
      <c r="B323">
        <v>200</v>
      </c>
      <c r="C323">
        <v>0.1</v>
      </c>
      <c r="D323">
        <v>10</v>
      </c>
      <c r="E323">
        <v>500</v>
      </c>
      <c r="F323">
        <v>100</v>
      </c>
      <c r="G323">
        <v>10</v>
      </c>
      <c r="O323">
        <v>74.28</v>
      </c>
      <c r="P323">
        <v>16.21</v>
      </c>
      <c r="Q323">
        <v>40.4</v>
      </c>
      <c r="R323">
        <v>5.62</v>
      </c>
      <c r="S323">
        <v>1.99</v>
      </c>
      <c r="T323">
        <v>40.159999999999997</v>
      </c>
      <c r="U323">
        <v>1.52</v>
      </c>
      <c r="V323">
        <v>1.6693069306930692</v>
      </c>
      <c r="W323">
        <v>0.74554455445544543</v>
      </c>
      <c r="X323">
        <v>9.51</v>
      </c>
      <c r="Y323">
        <v>16.899999999999999</v>
      </c>
      <c r="Z323">
        <v>56.03</v>
      </c>
      <c r="AA323">
        <v>5.46</v>
      </c>
      <c r="AB323">
        <v>2.91</v>
      </c>
      <c r="AC323">
        <v>26.95</v>
      </c>
      <c r="AD323">
        <v>1.03</v>
      </c>
      <c r="AE323">
        <v>1.1693735498839908</v>
      </c>
      <c r="AF323">
        <v>0.36074424415491702</v>
      </c>
      <c r="AG323">
        <v>7.62</v>
      </c>
      <c r="AH323">
        <v>23.11</v>
      </c>
      <c r="AI323">
        <v>63</v>
      </c>
    </row>
    <row r="324" spans="1:36" x14ac:dyDescent="0.5">
      <c r="A324">
        <v>30</v>
      </c>
      <c r="B324">
        <v>220</v>
      </c>
      <c r="C324">
        <v>0.1</v>
      </c>
      <c r="D324">
        <v>10</v>
      </c>
      <c r="E324">
        <v>500</v>
      </c>
      <c r="F324">
        <v>100</v>
      </c>
      <c r="G324">
        <v>10</v>
      </c>
      <c r="O324">
        <v>74.28</v>
      </c>
      <c r="P324">
        <v>16.21</v>
      </c>
      <c r="Q324">
        <v>40.4</v>
      </c>
      <c r="R324">
        <v>5.62</v>
      </c>
      <c r="S324">
        <v>1.99</v>
      </c>
      <c r="T324">
        <v>40.159999999999997</v>
      </c>
      <c r="U324">
        <v>1.52</v>
      </c>
      <c r="V324">
        <v>1.6693069306930692</v>
      </c>
      <c r="W324">
        <v>0.74554455445544543</v>
      </c>
      <c r="X324">
        <v>9.51</v>
      </c>
      <c r="Y324">
        <v>16.899999999999999</v>
      </c>
      <c r="Z324">
        <v>58.39</v>
      </c>
      <c r="AA324">
        <v>5.29</v>
      </c>
      <c r="AB324">
        <v>2.4300000000000002</v>
      </c>
      <c r="AC324">
        <v>24.71</v>
      </c>
      <c r="AD324">
        <v>0.83</v>
      </c>
      <c r="AE324">
        <v>1.0871724610378488</v>
      </c>
      <c r="AF324">
        <v>0.31739167665696177</v>
      </c>
      <c r="AG324">
        <v>8.35</v>
      </c>
      <c r="AH324">
        <v>23.93</v>
      </c>
      <c r="AI324">
        <v>57</v>
      </c>
    </row>
    <row r="325" spans="1:36" x14ac:dyDescent="0.5">
      <c r="A325">
        <v>30</v>
      </c>
      <c r="B325">
        <v>240</v>
      </c>
      <c r="C325">
        <v>0.1</v>
      </c>
      <c r="D325">
        <v>10</v>
      </c>
      <c r="E325">
        <v>500</v>
      </c>
      <c r="F325">
        <v>100</v>
      </c>
      <c r="G325">
        <v>10</v>
      </c>
      <c r="O325">
        <v>74.28</v>
      </c>
      <c r="P325">
        <v>16.21</v>
      </c>
      <c r="Q325">
        <v>40.4</v>
      </c>
      <c r="R325">
        <v>5.62</v>
      </c>
      <c r="S325">
        <v>1.99</v>
      </c>
      <c r="T325">
        <v>40.159999999999997</v>
      </c>
      <c r="U325">
        <v>1.52</v>
      </c>
      <c r="V325">
        <v>1.6693069306930692</v>
      </c>
      <c r="W325">
        <v>0.74554455445544543</v>
      </c>
      <c r="X325">
        <v>9.51</v>
      </c>
      <c r="Y325">
        <v>16.899999999999999</v>
      </c>
      <c r="Z325">
        <v>65.67</v>
      </c>
      <c r="AA325">
        <v>4.9800000000000004</v>
      </c>
      <c r="AB325">
        <v>2.57</v>
      </c>
      <c r="AC325">
        <v>15.17</v>
      </c>
      <c r="AD325">
        <v>0.78</v>
      </c>
      <c r="AE325">
        <v>0.91000456829602561</v>
      </c>
      <c r="AF325">
        <v>0.17325262677021472</v>
      </c>
      <c r="AG325">
        <v>10.83</v>
      </c>
      <c r="AH325">
        <v>27.04</v>
      </c>
      <c r="AI325">
        <v>48</v>
      </c>
    </row>
    <row r="326" spans="1:36" x14ac:dyDescent="0.5">
      <c r="A326">
        <v>15</v>
      </c>
      <c r="B326">
        <v>180</v>
      </c>
      <c r="C326">
        <v>0.1</v>
      </c>
      <c r="D326">
        <v>10</v>
      </c>
      <c r="E326">
        <v>500</v>
      </c>
      <c r="F326">
        <v>100</v>
      </c>
      <c r="G326">
        <v>10</v>
      </c>
      <c r="O326">
        <v>74.28</v>
      </c>
      <c r="P326">
        <v>16.21</v>
      </c>
      <c r="Q326">
        <v>40.4</v>
      </c>
      <c r="R326">
        <v>5.62</v>
      </c>
      <c r="S326">
        <v>1.99</v>
      </c>
      <c r="T326">
        <v>40.159999999999997</v>
      </c>
      <c r="U326">
        <v>1.52</v>
      </c>
      <c r="V326">
        <v>1.6693069306930692</v>
      </c>
      <c r="W326">
        <v>0.74554455445544543</v>
      </c>
      <c r="X326">
        <v>9.51</v>
      </c>
      <c r="Y326">
        <v>16.899999999999999</v>
      </c>
      <c r="Z326">
        <v>53.39</v>
      </c>
      <c r="AA326">
        <v>5.24</v>
      </c>
      <c r="AB326">
        <v>2.4900000000000002</v>
      </c>
      <c r="AC326">
        <v>29.5</v>
      </c>
      <c r="AD326">
        <v>1.34</v>
      </c>
      <c r="AE326">
        <v>1.1777486420678029</v>
      </c>
      <c r="AF326">
        <v>0.41440344633826559</v>
      </c>
      <c r="AG326">
        <v>8.0399999999999991</v>
      </c>
      <c r="AH326">
        <v>19.88</v>
      </c>
      <c r="AI326">
        <v>76</v>
      </c>
    </row>
    <row r="327" spans="1:36" x14ac:dyDescent="0.5">
      <c r="A327">
        <v>60</v>
      </c>
      <c r="B327">
        <v>180</v>
      </c>
      <c r="C327">
        <v>0.1</v>
      </c>
      <c r="D327">
        <v>10</v>
      </c>
      <c r="E327">
        <v>500</v>
      </c>
      <c r="F327">
        <v>100</v>
      </c>
      <c r="G327">
        <v>10</v>
      </c>
      <c r="O327">
        <v>74.28</v>
      </c>
      <c r="P327">
        <v>16.21</v>
      </c>
      <c r="Q327">
        <v>40.4</v>
      </c>
      <c r="R327">
        <v>5.62</v>
      </c>
      <c r="S327">
        <v>1.99</v>
      </c>
      <c r="T327">
        <v>40.159999999999997</v>
      </c>
      <c r="U327">
        <v>1.52</v>
      </c>
      <c r="V327">
        <v>1.6693069306930692</v>
      </c>
      <c r="W327">
        <v>0.74554455445544543</v>
      </c>
      <c r="X327">
        <v>9.51</v>
      </c>
      <c r="Y327">
        <v>16.899999999999999</v>
      </c>
      <c r="Z327">
        <v>57.21</v>
      </c>
      <c r="AA327">
        <v>5.38</v>
      </c>
      <c r="AB327">
        <v>2.5099999999999998</v>
      </c>
      <c r="AC327">
        <v>25.87</v>
      </c>
      <c r="AD327">
        <v>1.29</v>
      </c>
      <c r="AE327">
        <v>1.1284740429994755</v>
      </c>
      <c r="AF327">
        <v>0.33914525432616677</v>
      </c>
      <c r="AG327">
        <v>7.74</v>
      </c>
      <c r="AH327">
        <v>21.3</v>
      </c>
      <c r="AI327">
        <v>68</v>
      </c>
    </row>
    <row r="328" spans="1:36" x14ac:dyDescent="0.5">
      <c r="A328">
        <v>90</v>
      </c>
      <c r="B328">
        <v>180</v>
      </c>
      <c r="C328">
        <v>0.1</v>
      </c>
      <c r="D328">
        <v>10</v>
      </c>
      <c r="E328">
        <v>500</v>
      </c>
      <c r="F328">
        <v>100</v>
      </c>
      <c r="G328">
        <v>10</v>
      </c>
      <c r="O328">
        <v>74.28</v>
      </c>
      <c r="P328">
        <v>16.21</v>
      </c>
      <c r="Q328">
        <v>40.4</v>
      </c>
      <c r="R328">
        <v>5.62</v>
      </c>
      <c r="S328">
        <v>1.99</v>
      </c>
      <c r="T328">
        <v>40.159999999999997</v>
      </c>
      <c r="U328">
        <v>1.52</v>
      </c>
      <c r="V328">
        <v>1.6693069306930692</v>
      </c>
      <c r="W328">
        <v>0.74554455445544543</v>
      </c>
      <c r="X328">
        <v>9.51</v>
      </c>
      <c r="Y328">
        <v>16.899999999999999</v>
      </c>
      <c r="Z328">
        <v>57.95</v>
      </c>
      <c r="AA328">
        <v>5.27</v>
      </c>
      <c r="AB328">
        <v>2.59</v>
      </c>
      <c r="AC328">
        <v>24.94</v>
      </c>
      <c r="AD328">
        <v>1.26</v>
      </c>
      <c r="AE328">
        <v>1.0912855910267472</v>
      </c>
      <c r="AF328">
        <v>0.32277825711820535</v>
      </c>
      <c r="AG328">
        <v>7.99</v>
      </c>
      <c r="AH328">
        <v>21.97</v>
      </c>
      <c r="AI328">
        <v>62</v>
      </c>
    </row>
    <row r="329" spans="1:36" x14ac:dyDescent="0.5">
      <c r="A329">
        <v>120</v>
      </c>
      <c r="B329">
        <v>180</v>
      </c>
      <c r="C329">
        <v>0.1</v>
      </c>
      <c r="D329">
        <v>10</v>
      </c>
      <c r="E329">
        <v>500</v>
      </c>
      <c r="F329">
        <v>100</v>
      </c>
      <c r="G329">
        <v>10</v>
      </c>
      <c r="O329">
        <v>74.28</v>
      </c>
      <c r="P329">
        <v>16.21</v>
      </c>
      <c r="Q329">
        <v>40.4</v>
      </c>
      <c r="R329">
        <v>5.62</v>
      </c>
      <c r="S329">
        <v>1.99</v>
      </c>
      <c r="T329">
        <v>40.159999999999997</v>
      </c>
      <c r="U329">
        <v>1.52</v>
      </c>
      <c r="V329">
        <v>1.6693069306930692</v>
      </c>
      <c r="W329">
        <v>0.74554455445544543</v>
      </c>
      <c r="X329">
        <v>9.51</v>
      </c>
      <c r="Y329">
        <v>16.899999999999999</v>
      </c>
      <c r="Z329">
        <v>58.44</v>
      </c>
      <c r="AA329">
        <v>5.47</v>
      </c>
      <c r="AB329">
        <v>2.5499999999999998</v>
      </c>
      <c r="AC329">
        <v>24.92</v>
      </c>
      <c r="AD329">
        <v>1.1599999999999999</v>
      </c>
      <c r="AE329">
        <v>1.1232032854209444</v>
      </c>
      <c r="AF329">
        <v>0.31981519507186862</v>
      </c>
      <c r="AG329">
        <v>7.46</v>
      </c>
      <c r="AH329">
        <v>22.83</v>
      </c>
      <c r="AI329">
        <v>61</v>
      </c>
    </row>
    <row r="330" spans="1:36" x14ac:dyDescent="0.5">
      <c r="A330">
        <v>60</v>
      </c>
      <c r="B330">
        <v>220</v>
      </c>
      <c r="C330">
        <v>0.1</v>
      </c>
      <c r="D330">
        <v>20</v>
      </c>
      <c r="E330">
        <v>250</v>
      </c>
      <c r="F330">
        <v>60</v>
      </c>
      <c r="G330">
        <v>3</v>
      </c>
      <c r="O330">
        <v>78.37</v>
      </c>
      <c r="P330">
        <v>16.170000000000002</v>
      </c>
      <c r="Q330">
        <v>45.3</v>
      </c>
      <c r="R330">
        <v>5.85</v>
      </c>
      <c r="S330">
        <v>0.78</v>
      </c>
      <c r="T330">
        <v>42.4</v>
      </c>
      <c r="U330">
        <v>0.21</v>
      </c>
      <c r="V330">
        <v>1.5496688741721854</v>
      </c>
      <c r="W330">
        <v>0.70198675496688745</v>
      </c>
      <c r="X330">
        <v>5.46</v>
      </c>
      <c r="Y330">
        <v>18.22</v>
      </c>
      <c r="Z330">
        <v>56.5</v>
      </c>
      <c r="AA330">
        <v>5.59</v>
      </c>
      <c r="AB330">
        <v>0.93</v>
      </c>
      <c r="AC330">
        <v>33.24</v>
      </c>
      <c r="AD330">
        <v>0.15</v>
      </c>
      <c r="AE330">
        <v>1.1872566371681417</v>
      </c>
      <c r="AF330">
        <v>0.44123893805309738</v>
      </c>
      <c r="AG330">
        <v>3.59</v>
      </c>
      <c r="AH330">
        <v>22.8</v>
      </c>
      <c r="AI330">
        <v>72</v>
      </c>
      <c r="AJ330" t="s">
        <v>99</v>
      </c>
    </row>
    <row r="331" spans="1:36" x14ac:dyDescent="0.5">
      <c r="A331">
        <v>60</v>
      </c>
      <c r="B331">
        <v>250</v>
      </c>
      <c r="C331">
        <v>0.1</v>
      </c>
      <c r="D331">
        <v>20</v>
      </c>
      <c r="E331">
        <v>250</v>
      </c>
      <c r="F331">
        <v>60</v>
      </c>
      <c r="G331">
        <v>3</v>
      </c>
      <c r="O331">
        <v>78.37</v>
      </c>
      <c r="P331">
        <v>16.170000000000002</v>
      </c>
      <c r="Q331">
        <v>45.3</v>
      </c>
      <c r="R331">
        <v>5.85</v>
      </c>
      <c r="S331">
        <v>0.78</v>
      </c>
      <c r="T331">
        <v>42.4</v>
      </c>
      <c r="U331">
        <v>0.21</v>
      </c>
      <c r="V331">
        <v>1.5496688741721854</v>
      </c>
      <c r="W331">
        <v>0.70198675496688745</v>
      </c>
      <c r="X331">
        <v>5.46</v>
      </c>
      <c r="Y331">
        <v>18.22</v>
      </c>
      <c r="Z331">
        <v>66.8</v>
      </c>
      <c r="AA331">
        <v>5.36</v>
      </c>
      <c r="AB331">
        <v>1.08</v>
      </c>
      <c r="AC331">
        <v>25.31</v>
      </c>
      <c r="AD331">
        <v>0.12</v>
      </c>
      <c r="AE331">
        <v>0.96287425149700612</v>
      </c>
      <c r="AF331">
        <v>0.28416916167664669</v>
      </c>
      <c r="AG331">
        <v>1.33</v>
      </c>
      <c r="AH331">
        <v>26.99</v>
      </c>
      <c r="AI331">
        <v>51</v>
      </c>
    </row>
    <row r="332" spans="1:36" x14ac:dyDescent="0.5">
      <c r="A332">
        <v>60</v>
      </c>
      <c r="B332">
        <v>280</v>
      </c>
      <c r="C332">
        <v>0.1</v>
      </c>
      <c r="D332">
        <v>20</v>
      </c>
      <c r="E332">
        <v>250</v>
      </c>
      <c r="F332">
        <v>60</v>
      </c>
      <c r="G332">
        <v>3</v>
      </c>
      <c r="O332">
        <v>78.37</v>
      </c>
      <c r="P332">
        <v>16.170000000000002</v>
      </c>
      <c r="Q332">
        <v>45.3</v>
      </c>
      <c r="R332">
        <v>5.85</v>
      </c>
      <c r="S332">
        <v>0.78</v>
      </c>
      <c r="T332">
        <v>42.4</v>
      </c>
      <c r="U332">
        <v>0.21</v>
      </c>
      <c r="V332">
        <v>1.5496688741721854</v>
      </c>
      <c r="W332">
        <v>0.70198675496688745</v>
      </c>
      <c r="X332">
        <v>5.46</v>
      </c>
      <c r="Y332">
        <v>18.22</v>
      </c>
      <c r="Z332">
        <v>72.98</v>
      </c>
      <c r="AA332">
        <v>5.36</v>
      </c>
      <c r="AB332">
        <v>1.36</v>
      </c>
      <c r="AC332">
        <v>18.09</v>
      </c>
      <c r="AD332">
        <v>0.14000000000000001</v>
      </c>
      <c r="AE332">
        <v>0.88133735269936975</v>
      </c>
      <c r="AF332">
        <v>0.18590709783502329</v>
      </c>
      <c r="AG332">
        <v>2.0699999999999998</v>
      </c>
      <c r="AH332">
        <v>29.87</v>
      </c>
      <c r="AI332">
        <v>37</v>
      </c>
    </row>
    <row r="333" spans="1:36" x14ac:dyDescent="0.5">
      <c r="A333">
        <v>60</v>
      </c>
      <c r="B333">
        <v>310</v>
      </c>
      <c r="C333">
        <v>0.1</v>
      </c>
      <c r="D333">
        <v>20</v>
      </c>
      <c r="E333">
        <v>250</v>
      </c>
      <c r="F333">
        <v>60</v>
      </c>
      <c r="G333">
        <v>3</v>
      </c>
      <c r="O333">
        <v>78.37</v>
      </c>
      <c r="P333">
        <v>16.170000000000002</v>
      </c>
      <c r="Q333">
        <v>45.3</v>
      </c>
      <c r="R333">
        <v>5.85</v>
      </c>
      <c r="S333">
        <v>0.78</v>
      </c>
      <c r="T333">
        <v>42.4</v>
      </c>
      <c r="U333">
        <v>0.21</v>
      </c>
      <c r="V333">
        <v>1.5496688741721854</v>
      </c>
      <c r="W333">
        <v>0.70198675496688745</v>
      </c>
      <c r="X333">
        <v>5.46</v>
      </c>
      <c r="Y333">
        <v>18.22</v>
      </c>
      <c r="Z333">
        <v>75.75</v>
      </c>
      <c r="AA333">
        <v>5.16</v>
      </c>
      <c r="AB333">
        <v>1.29</v>
      </c>
      <c r="AC333">
        <v>16.07</v>
      </c>
      <c r="AD333">
        <v>0.15</v>
      </c>
      <c r="AE333">
        <v>0.81742574257425749</v>
      </c>
      <c r="AF333">
        <v>0.15910891089108911</v>
      </c>
      <c r="AG333">
        <v>1.58</v>
      </c>
      <c r="AH333">
        <v>30.82</v>
      </c>
      <c r="AI333">
        <v>30</v>
      </c>
    </row>
    <row r="334" spans="1:36" x14ac:dyDescent="0.5">
      <c r="A334">
        <v>60</v>
      </c>
      <c r="B334">
        <v>340</v>
      </c>
      <c r="C334">
        <v>0.1</v>
      </c>
      <c r="D334">
        <v>20</v>
      </c>
      <c r="E334">
        <v>250</v>
      </c>
      <c r="F334">
        <v>60</v>
      </c>
      <c r="G334">
        <v>3</v>
      </c>
      <c r="O334">
        <v>78.37</v>
      </c>
      <c r="P334">
        <v>16.170000000000002</v>
      </c>
      <c r="Q334">
        <v>45.3</v>
      </c>
      <c r="R334">
        <v>5.85</v>
      </c>
      <c r="S334">
        <v>0.78</v>
      </c>
      <c r="T334">
        <v>42.4</v>
      </c>
      <c r="U334">
        <v>0.21</v>
      </c>
      <c r="V334">
        <v>1.5496688741721854</v>
      </c>
      <c r="W334">
        <v>0.70198675496688745</v>
      </c>
      <c r="X334">
        <v>5.46</v>
      </c>
      <c r="Y334">
        <v>18.22</v>
      </c>
      <c r="Z334">
        <v>77.44</v>
      </c>
      <c r="AA334">
        <v>4.8499999999999996</v>
      </c>
      <c r="AB334">
        <v>1.55</v>
      </c>
      <c r="AC334">
        <v>14.16</v>
      </c>
      <c r="AD334">
        <v>0.15</v>
      </c>
      <c r="AE334">
        <v>0.75154958677685946</v>
      </c>
      <c r="AF334">
        <v>0.13713842975206611</v>
      </c>
      <c r="AG334">
        <v>1.85</v>
      </c>
      <c r="AH334">
        <v>31.24</v>
      </c>
      <c r="AI334">
        <v>28</v>
      </c>
    </row>
    <row r="335" spans="1:36" x14ac:dyDescent="0.5">
      <c r="A335">
        <v>15</v>
      </c>
      <c r="B335">
        <v>280</v>
      </c>
      <c r="C335">
        <v>0.1</v>
      </c>
      <c r="D335">
        <v>20</v>
      </c>
      <c r="E335">
        <v>250</v>
      </c>
      <c r="F335">
        <v>60</v>
      </c>
      <c r="G335">
        <v>3</v>
      </c>
      <c r="O335">
        <v>78.37</v>
      </c>
      <c r="P335">
        <v>16.170000000000002</v>
      </c>
      <c r="Q335">
        <v>45.3</v>
      </c>
      <c r="R335">
        <v>5.85</v>
      </c>
      <c r="S335">
        <v>0.78</v>
      </c>
      <c r="T335">
        <v>42.4</v>
      </c>
      <c r="U335">
        <v>0.21</v>
      </c>
      <c r="V335">
        <v>1.5496688741721854</v>
      </c>
      <c r="W335">
        <v>0.70198675496688745</v>
      </c>
      <c r="X335">
        <v>5.46</v>
      </c>
      <c r="Y335">
        <v>18.22</v>
      </c>
      <c r="Z335">
        <v>71.36</v>
      </c>
      <c r="AA335">
        <v>5.37</v>
      </c>
      <c r="AB335">
        <v>1.59</v>
      </c>
      <c r="AC335">
        <v>10.37</v>
      </c>
      <c r="AD335">
        <v>0.18</v>
      </c>
      <c r="AE335">
        <v>0.90302690582959644</v>
      </c>
      <c r="AF335">
        <v>0.10898963004484305</v>
      </c>
      <c r="AG335">
        <v>2.13</v>
      </c>
      <c r="AH335">
        <v>29.19</v>
      </c>
      <c r="AI335">
        <v>44</v>
      </c>
    </row>
    <row r="336" spans="1:36" x14ac:dyDescent="0.5">
      <c r="A336">
        <v>30</v>
      </c>
      <c r="B336">
        <v>280</v>
      </c>
      <c r="C336">
        <v>0.1</v>
      </c>
      <c r="D336">
        <v>20</v>
      </c>
      <c r="E336">
        <v>250</v>
      </c>
      <c r="F336">
        <v>60</v>
      </c>
      <c r="G336">
        <v>3</v>
      </c>
      <c r="O336">
        <v>78.37</v>
      </c>
      <c r="P336">
        <v>16.170000000000002</v>
      </c>
      <c r="Q336">
        <v>45.3</v>
      </c>
      <c r="R336">
        <v>5.85</v>
      </c>
      <c r="S336">
        <v>0.78</v>
      </c>
      <c r="T336">
        <v>42.4</v>
      </c>
      <c r="U336">
        <v>0.21</v>
      </c>
      <c r="V336">
        <v>1.5496688741721854</v>
      </c>
      <c r="W336">
        <v>0.70198675496688745</v>
      </c>
      <c r="X336">
        <v>5.46</v>
      </c>
      <c r="Y336">
        <v>18.22</v>
      </c>
      <c r="Z336">
        <v>72.459999999999994</v>
      </c>
      <c r="AA336">
        <v>5.38</v>
      </c>
      <c r="AB336">
        <v>1.1599999999999999</v>
      </c>
      <c r="AC336">
        <v>19.16</v>
      </c>
      <c r="AD336">
        <v>0.16</v>
      </c>
      <c r="AE336">
        <v>0.8909743306651946</v>
      </c>
      <c r="AF336">
        <v>0.19831631244824732</v>
      </c>
      <c r="AG336">
        <v>1.68</v>
      </c>
      <c r="AH336">
        <v>29.62</v>
      </c>
      <c r="AI336">
        <v>37</v>
      </c>
    </row>
    <row r="337" spans="1:36" x14ac:dyDescent="0.5">
      <c r="A337">
        <v>90</v>
      </c>
      <c r="B337">
        <v>280</v>
      </c>
      <c r="C337">
        <v>0.1</v>
      </c>
      <c r="D337">
        <v>20</v>
      </c>
      <c r="E337">
        <v>250</v>
      </c>
      <c r="F337">
        <v>60</v>
      </c>
      <c r="G337">
        <v>3</v>
      </c>
      <c r="O337">
        <v>78.37</v>
      </c>
      <c r="P337">
        <v>16.170000000000002</v>
      </c>
      <c r="Q337">
        <v>45.3</v>
      </c>
      <c r="R337">
        <v>5.85</v>
      </c>
      <c r="S337">
        <v>0.78</v>
      </c>
      <c r="T337">
        <v>42.4</v>
      </c>
      <c r="U337">
        <v>0.21</v>
      </c>
      <c r="V337">
        <v>1.5496688741721854</v>
      </c>
      <c r="W337">
        <v>0.70198675496688745</v>
      </c>
      <c r="X337">
        <v>5.46</v>
      </c>
      <c r="Y337">
        <v>18.22</v>
      </c>
      <c r="Z337">
        <v>73.150000000000006</v>
      </c>
      <c r="AA337">
        <v>5.25</v>
      </c>
      <c r="AB337">
        <v>1.4</v>
      </c>
      <c r="AC337">
        <v>18.440000000000001</v>
      </c>
      <c r="AD337">
        <v>0.14000000000000001</v>
      </c>
      <c r="AE337">
        <v>0.86124401913875592</v>
      </c>
      <c r="AF337">
        <v>0.18906356801093643</v>
      </c>
      <c r="AG337">
        <v>1.62</v>
      </c>
      <c r="AH337">
        <v>29.77</v>
      </c>
      <c r="AI337">
        <v>36</v>
      </c>
    </row>
    <row r="338" spans="1:36" x14ac:dyDescent="0.5">
      <c r="A338">
        <v>120</v>
      </c>
      <c r="B338">
        <v>280</v>
      </c>
      <c r="C338">
        <v>0.1</v>
      </c>
      <c r="D338">
        <v>20</v>
      </c>
      <c r="E338">
        <v>250</v>
      </c>
      <c r="F338">
        <v>60</v>
      </c>
      <c r="G338">
        <v>3</v>
      </c>
      <c r="O338">
        <v>78.37</v>
      </c>
      <c r="P338">
        <v>16.170000000000002</v>
      </c>
      <c r="Q338">
        <v>45.3</v>
      </c>
      <c r="R338">
        <v>5.85</v>
      </c>
      <c r="S338">
        <v>0.78</v>
      </c>
      <c r="T338">
        <v>42.4</v>
      </c>
      <c r="U338">
        <v>0.21</v>
      </c>
      <c r="V338">
        <v>1.5496688741721854</v>
      </c>
      <c r="W338">
        <v>0.70198675496688745</v>
      </c>
      <c r="X338">
        <v>5.46</v>
      </c>
      <c r="Y338">
        <v>18.22</v>
      </c>
      <c r="Z338">
        <v>73.5</v>
      </c>
      <c r="AA338">
        <v>5.23</v>
      </c>
      <c r="AB338">
        <v>1.31</v>
      </c>
      <c r="AC338">
        <v>18.23</v>
      </c>
      <c r="AD338">
        <v>0.15</v>
      </c>
      <c r="AE338">
        <v>0.85387755102040819</v>
      </c>
      <c r="AF338">
        <v>0.18602040816326532</v>
      </c>
      <c r="AG338">
        <v>1.58</v>
      </c>
      <c r="AH338">
        <v>29.9</v>
      </c>
      <c r="AI338">
        <v>35</v>
      </c>
    </row>
    <row r="339" spans="1:36" x14ac:dyDescent="0.5">
      <c r="A339">
        <v>30</v>
      </c>
      <c r="B339">
        <v>220</v>
      </c>
      <c r="C339">
        <v>0.1</v>
      </c>
      <c r="D339">
        <v>10</v>
      </c>
      <c r="E339">
        <v>200</v>
      </c>
      <c r="F339">
        <v>100</v>
      </c>
      <c r="G339">
        <v>10</v>
      </c>
      <c r="N339">
        <v>1.59</v>
      </c>
      <c r="O339">
        <v>80.3</v>
      </c>
      <c r="P339">
        <v>5.0999999999999996</v>
      </c>
      <c r="Q339">
        <v>44.06</v>
      </c>
      <c r="R339">
        <v>6.25</v>
      </c>
      <c r="S339">
        <v>4.2</v>
      </c>
      <c r="T339">
        <v>32.18</v>
      </c>
      <c r="U339">
        <v>0.31</v>
      </c>
      <c r="V339">
        <v>1.7022242396731728</v>
      </c>
      <c r="W339">
        <v>0.54777576032682707</v>
      </c>
      <c r="X339">
        <v>13.01</v>
      </c>
      <c r="Y339">
        <v>19.18</v>
      </c>
      <c r="Z339">
        <v>47.11</v>
      </c>
      <c r="AA339">
        <v>6.12</v>
      </c>
      <c r="AB339">
        <v>2.78</v>
      </c>
      <c r="AC339">
        <v>19.079999999999998</v>
      </c>
      <c r="AD339">
        <v>0.12</v>
      </c>
      <c r="AE339">
        <v>1.5589046911483762</v>
      </c>
      <c r="AF339">
        <v>0.30375716408405856</v>
      </c>
      <c r="AG339">
        <v>24.79</v>
      </c>
      <c r="AH339">
        <v>20.89</v>
      </c>
      <c r="AI339">
        <v>44.67</v>
      </c>
      <c r="AJ339" t="s">
        <v>101</v>
      </c>
    </row>
    <row r="340" spans="1:36" x14ac:dyDescent="0.5">
      <c r="A340">
        <v>30</v>
      </c>
      <c r="B340">
        <v>275</v>
      </c>
      <c r="C340">
        <v>0.1</v>
      </c>
      <c r="D340">
        <v>10</v>
      </c>
      <c r="E340">
        <v>200</v>
      </c>
      <c r="F340">
        <v>100</v>
      </c>
      <c r="G340">
        <v>10</v>
      </c>
      <c r="N340">
        <v>1.59</v>
      </c>
      <c r="O340">
        <v>80.3</v>
      </c>
      <c r="P340">
        <v>5.0999999999999996</v>
      </c>
      <c r="Q340">
        <v>44.06</v>
      </c>
      <c r="R340">
        <v>6.25</v>
      </c>
      <c r="S340">
        <v>4.2</v>
      </c>
      <c r="T340">
        <v>32.18</v>
      </c>
      <c r="U340">
        <v>0.31</v>
      </c>
      <c r="V340">
        <v>1.7022242396731728</v>
      </c>
      <c r="W340">
        <v>0.54777576032682707</v>
      </c>
      <c r="X340">
        <v>13.01</v>
      </c>
      <c r="Y340">
        <v>19.18</v>
      </c>
      <c r="Z340">
        <v>49.68</v>
      </c>
      <c r="AA340">
        <v>5.99</v>
      </c>
      <c r="AB340">
        <v>2.13</v>
      </c>
      <c r="AC340">
        <v>12.83</v>
      </c>
      <c r="AD340">
        <v>0.14000000000000001</v>
      </c>
      <c r="AE340">
        <v>1.4468599033816427</v>
      </c>
      <c r="AF340">
        <v>0.19368961352657008</v>
      </c>
      <c r="AG340">
        <v>27.46</v>
      </c>
      <c r="AH340">
        <v>21.17</v>
      </c>
      <c r="AI340">
        <v>37.74</v>
      </c>
    </row>
    <row r="341" spans="1:36" x14ac:dyDescent="0.5">
      <c r="A341">
        <v>60</v>
      </c>
      <c r="B341">
        <v>275</v>
      </c>
      <c r="C341">
        <v>0.1</v>
      </c>
      <c r="D341">
        <v>10</v>
      </c>
      <c r="E341">
        <v>200</v>
      </c>
      <c r="F341">
        <v>100</v>
      </c>
      <c r="G341">
        <v>10</v>
      </c>
      <c r="N341">
        <v>1.59</v>
      </c>
      <c r="O341">
        <v>80.3</v>
      </c>
      <c r="P341">
        <v>5.0999999999999996</v>
      </c>
      <c r="Q341">
        <v>44.06</v>
      </c>
      <c r="R341">
        <v>6.25</v>
      </c>
      <c r="S341">
        <v>4.2</v>
      </c>
      <c r="T341">
        <v>32.18</v>
      </c>
      <c r="U341">
        <v>0.31</v>
      </c>
      <c r="V341">
        <v>1.7022242396731728</v>
      </c>
      <c r="W341">
        <v>0.54777576032682707</v>
      </c>
      <c r="X341">
        <v>13.01</v>
      </c>
      <c r="Y341">
        <v>19.18</v>
      </c>
      <c r="Z341">
        <v>52.32</v>
      </c>
      <c r="AA341">
        <v>7.282</v>
      </c>
      <c r="AB341">
        <v>1.94</v>
      </c>
      <c r="AC341">
        <v>9.4700000000000006</v>
      </c>
      <c r="AD341">
        <v>0.24</v>
      </c>
      <c r="AE341">
        <v>1.6701834862385321</v>
      </c>
      <c r="AF341">
        <v>0.13575114678899083</v>
      </c>
      <c r="AG341">
        <v>28.75</v>
      </c>
      <c r="AH341">
        <v>22.68</v>
      </c>
      <c r="AI341">
        <v>34.81</v>
      </c>
    </row>
    <row r="342" spans="1:36" x14ac:dyDescent="0.5">
      <c r="A342">
        <v>30</v>
      </c>
      <c r="B342">
        <v>250</v>
      </c>
      <c r="C342">
        <v>0.1</v>
      </c>
      <c r="D342">
        <v>5.5</v>
      </c>
      <c r="E342">
        <v>500</v>
      </c>
      <c r="F342">
        <v>220</v>
      </c>
      <c r="G342">
        <v>40</v>
      </c>
      <c r="N342">
        <v>2.1</v>
      </c>
      <c r="O342">
        <v>51.8</v>
      </c>
      <c r="P342">
        <v>9.34</v>
      </c>
      <c r="Q342">
        <v>33.299999999999997</v>
      </c>
      <c r="R342">
        <v>4.5999999999999996</v>
      </c>
      <c r="S342">
        <v>4</v>
      </c>
      <c r="T342">
        <v>20.3</v>
      </c>
      <c r="U342">
        <v>1.2</v>
      </c>
      <c r="V342">
        <v>1.6576576576576576</v>
      </c>
      <c r="W342">
        <v>0.45720720720720726</v>
      </c>
      <c r="X342">
        <v>36.700000000000003</v>
      </c>
      <c r="Y342">
        <v>14.4</v>
      </c>
      <c r="Z342">
        <v>32.1</v>
      </c>
      <c r="AA342">
        <v>4.2</v>
      </c>
      <c r="AB342">
        <v>1.9</v>
      </c>
      <c r="AC342">
        <v>9.4</v>
      </c>
      <c r="AD342">
        <v>1.2</v>
      </c>
      <c r="AE342">
        <v>1.5700934579439252</v>
      </c>
      <c r="AF342">
        <v>0.21962616822429906</v>
      </c>
      <c r="AG342">
        <v>51.2</v>
      </c>
      <c r="AH342">
        <v>15.4</v>
      </c>
      <c r="AI342">
        <v>68</v>
      </c>
      <c r="AJ342" t="s">
        <v>104</v>
      </c>
    </row>
    <row r="343" spans="1:36" x14ac:dyDescent="0.5">
      <c r="A343">
        <v>30</v>
      </c>
      <c r="B343">
        <v>250</v>
      </c>
      <c r="C343">
        <v>0.1</v>
      </c>
      <c r="D343">
        <v>11</v>
      </c>
      <c r="E343">
        <v>500</v>
      </c>
      <c r="F343">
        <v>220</v>
      </c>
      <c r="G343">
        <v>20</v>
      </c>
      <c r="N343">
        <v>2.1</v>
      </c>
      <c r="O343">
        <v>51.8</v>
      </c>
      <c r="P343">
        <v>9.34</v>
      </c>
      <c r="Q343">
        <v>33.299999999999997</v>
      </c>
      <c r="R343">
        <v>4.5999999999999996</v>
      </c>
      <c r="S343">
        <v>4</v>
      </c>
      <c r="T343">
        <v>20.3</v>
      </c>
      <c r="U343">
        <v>1.2</v>
      </c>
      <c r="V343">
        <v>1.6576576576576576</v>
      </c>
      <c r="W343">
        <v>0.45720720720720726</v>
      </c>
      <c r="X343">
        <v>36.700000000000003</v>
      </c>
      <c r="Y343">
        <v>14.4</v>
      </c>
      <c r="Z343">
        <v>32.299999999999997</v>
      </c>
      <c r="AA343">
        <v>4.2</v>
      </c>
      <c r="AB343">
        <v>2.1</v>
      </c>
      <c r="AC343">
        <v>10.3</v>
      </c>
      <c r="AD343">
        <v>0.8</v>
      </c>
      <c r="AE343">
        <v>1.560371517027864</v>
      </c>
      <c r="AF343">
        <v>0.23916408668730654</v>
      </c>
      <c r="AG343">
        <v>50</v>
      </c>
      <c r="AH343">
        <v>15.3</v>
      </c>
      <c r="AI343">
        <v>72</v>
      </c>
    </row>
    <row r="344" spans="1:36" x14ac:dyDescent="0.5">
      <c r="A344">
        <v>30</v>
      </c>
      <c r="B344">
        <v>250</v>
      </c>
      <c r="C344">
        <v>0.1</v>
      </c>
      <c r="D344">
        <v>22</v>
      </c>
      <c r="E344">
        <v>500</v>
      </c>
      <c r="F344">
        <v>220</v>
      </c>
      <c r="G344">
        <v>10</v>
      </c>
      <c r="N344">
        <v>2.1</v>
      </c>
      <c r="O344">
        <v>51.8</v>
      </c>
      <c r="P344">
        <v>9.34</v>
      </c>
      <c r="Q344">
        <v>33.299999999999997</v>
      </c>
      <c r="R344">
        <v>4.5999999999999996</v>
      </c>
      <c r="S344">
        <v>4</v>
      </c>
      <c r="T344">
        <v>20.3</v>
      </c>
      <c r="U344">
        <v>1.2</v>
      </c>
      <c r="V344">
        <v>1.6576576576576576</v>
      </c>
      <c r="W344">
        <v>0.45720720720720726</v>
      </c>
      <c r="X344">
        <v>36.700000000000003</v>
      </c>
      <c r="Y344">
        <v>14.4</v>
      </c>
      <c r="Z344">
        <v>33.1</v>
      </c>
      <c r="AA344">
        <v>4.4000000000000004</v>
      </c>
      <c r="AB344">
        <v>2.2999999999999998</v>
      </c>
      <c r="AC344">
        <v>10.5</v>
      </c>
      <c r="AD344">
        <v>1.2</v>
      </c>
      <c r="AE344">
        <v>1.595166163141994</v>
      </c>
      <c r="AF344">
        <v>0.23791540785498488</v>
      </c>
      <c r="AG344">
        <v>48.4</v>
      </c>
      <c r="AH344">
        <v>15.8</v>
      </c>
      <c r="AI344">
        <v>75</v>
      </c>
    </row>
    <row r="345" spans="1:36" x14ac:dyDescent="0.5">
      <c r="A345">
        <v>30</v>
      </c>
      <c r="B345">
        <v>250</v>
      </c>
      <c r="C345">
        <v>0.1</v>
      </c>
      <c r="D345">
        <v>33</v>
      </c>
      <c r="E345">
        <v>500</v>
      </c>
      <c r="F345">
        <v>220</v>
      </c>
      <c r="G345">
        <v>6.666666666666667</v>
      </c>
      <c r="N345">
        <v>2.1</v>
      </c>
      <c r="O345">
        <v>51.8</v>
      </c>
      <c r="P345">
        <v>9.34</v>
      </c>
      <c r="Q345">
        <v>33.299999999999997</v>
      </c>
      <c r="R345">
        <v>4.5999999999999996</v>
      </c>
      <c r="S345">
        <v>4</v>
      </c>
      <c r="T345">
        <v>20.3</v>
      </c>
      <c r="U345">
        <v>1.2</v>
      </c>
      <c r="V345">
        <v>1.6576576576576576</v>
      </c>
      <c r="W345">
        <v>0.45720720720720726</v>
      </c>
      <c r="X345">
        <v>36.700000000000003</v>
      </c>
      <c r="Y345">
        <v>14.4</v>
      </c>
      <c r="Z345">
        <v>33</v>
      </c>
      <c r="AA345">
        <v>4.3</v>
      </c>
      <c r="AB345">
        <v>2.2999999999999998</v>
      </c>
      <c r="AC345">
        <v>9.8000000000000007</v>
      </c>
      <c r="AD345">
        <v>1.3</v>
      </c>
      <c r="AE345">
        <v>1.5636363636363635</v>
      </c>
      <c r="AF345">
        <v>0.22272727272727275</v>
      </c>
      <c r="AG345">
        <v>49.4</v>
      </c>
      <c r="AH345">
        <v>15.7</v>
      </c>
      <c r="AI345">
        <v>74</v>
      </c>
    </row>
    <row r="346" spans="1:36" x14ac:dyDescent="0.5">
      <c r="A346">
        <v>30</v>
      </c>
      <c r="B346">
        <v>250</v>
      </c>
      <c r="C346">
        <v>0.1</v>
      </c>
      <c r="D346">
        <v>38.5</v>
      </c>
      <c r="E346">
        <v>500</v>
      </c>
      <c r="F346">
        <v>220</v>
      </c>
      <c r="G346">
        <v>5.7142857142857144</v>
      </c>
      <c r="N346">
        <v>2.1</v>
      </c>
      <c r="O346">
        <v>51.8</v>
      </c>
      <c r="P346">
        <v>9.34</v>
      </c>
      <c r="Q346">
        <v>33.299999999999997</v>
      </c>
      <c r="R346">
        <v>4.5999999999999996</v>
      </c>
      <c r="S346">
        <v>4</v>
      </c>
      <c r="T346">
        <v>20.3</v>
      </c>
      <c r="U346">
        <v>1.2</v>
      </c>
      <c r="V346">
        <v>1.6576576576576576</v>
      </c>
      <c r="W346">
        <v>0.45720720720720726</v>
      </c>
      <c r="X346">
        <v>36.700000000000003</v>
      </c>
      <c r="Y346">
        <v>14.4</v>
      </c>
      <c r="Z346">
        <v>33.1</v>
      </c>
      <c r="AA346">
        <v>4.2</v>
      </c>
      <c r="AB346">
        <v>2.2999999999999998</v>
      </c>
      <c r="AC346">
        <v>9.4</v>
      </c>
      <c r="AD346">
        <v>1.3</v>
      </c>
      <c r="AE346">
        <v>1.5226586102719033</v>
      </c>
      <c r="AF346">
        <v>0.21299093655589124</v>
      </c>
      <c r="AG346">
        <v>49.7</v>
      </c>
      <c r="AH346">
        <v>15.6</v>
      </c>
      <c r="AI346">
        <v>75</v>
      </c>
    </row>
    <row r="347" spans="1:36" x14ac:dyDescent="0.5">
      <c r="A347">
        <v>30</v>
      </c>
      <c r="B347">
        <v>250</v>
      </c>
      <c r="C347">
        <v>0.1</v>
      </c>
      <c r="D347">
        <v>44</v>
      </c>
      <c r="E347">
        <v>500</v>
      </c>
      <c r="F347">
        <v>220</v>
      </c>
      <c r="G347">
        <v>5</v>
      </c>
      <c r="N347">
        <v>2.1</v>
      </c>
      <c r="O347">
        <v>51.8</v>
      </c>
      <c r="P347">
        <v>9.34</v>
      </c>
      <c r="Q347">
        <v>33.299999999999997</v>
      </c>
      <c r="R347">
        <v>4.5999999999999996</v>
      </c>
      <c r="S347">
        <v>4</v>
      </c>
      <c r="T347">
        <v>20.3</v>
      </c>
      <c r="U347">
        <v>1.2</v>
      </c>
      <c r="V347">
        <v>1.6576576576576576</v>
      </c>
      <c r="W347">
        <v>0.45720720720720726</v>
      </c>
      <c r="X347">
        <v>36.700000000000003</v>
      </c>
      <c r="Y347">
        <v>14.4</v>
      </c>
      <c r="Z347">
        <v>33.799999999999997</v>
      </c>
      <c r="AA347">
        <v>4.3</v>
      </c>
      <c r="AB347">
        <v>2.4</v>
      </c>
      <c r="AC347">
        <v>9.6999999999999993</v>
      </c>
      <c r="AD347">
        <v>1.3</v>
      </c>
      <c r="AE347">
        <v>1.5266272189349113</v>
      </c>
      <c r="AF347">
        <v>0.21523668639053253</v>
      </c>
      <c r="AG347">
        <v>48.6</v>
      </c>
      <c r="AH347">
        <v>15.9</v>
      </c>
      <c r="AI347">
        <v>76</v>
      </c>
    </row>
    <row r="348" spans="1:36" x14ac:dyDescent="0.5">
      <c r="A348">
        <v>30</v>
      </c>
      <c r="B348">
        <v>250</v>
      </c>
      <c r="C348">
        <v>0.1</v>
      </c>
      <c r="D348">
        <v>55</v>
      </c>
      <c r="E348">
        <v>500</v>
      </c>
      <c r="F348">
        <v>220</v>
      </c>
      <c r="G348">
        <v>4</v>
      </c>
      <c r="N348">
        <v>2.1</v>
      </c>
      <c r="O348">
        <v>51.8</v>
      </c>
      <c r="P348">
        <v>9.34</v>
      </c>
      <c r="Q348">
        <v>33.299999999999997</v>
      </c>
      <c r="R348">
        <v>4.5999999999999996</v>
      </c>
      <c r="S348">
        <v>4</v>
      </c>
      <c r="T348">
        <v>20.3</v>
      </c>
      <c r="U348">
        <v>1.2</v>
      </c>
      <c r="V348">
        <v>1.6576576576576576</v>
      </c>
      <c r="W348">
        <v>0.45720720720720726</v>
      </c>
      <c r="X348">
        <v>36.700000000000003</v>
      </c>
      <c r="Y348">
        <v>14.4</v>
      </c>
      <c r="Z348">
        <v>33.799999999999997</v>
      </c>
      <c r="AA348">
        <v>4.3</v>
      </c>
      <c r="AB348">
        <v>2.6</v>
      </c>
      <c r="AC348">
        <v>9.9</v>
      </c>
      <c r="AD348">
        <v>1.3</v>
      </c>
      <c r="AE348">
        <v>1.5266272189349113</v>
      </c>
      <c r="AF348">
        <v>0.21967455621301779</v>
      </c>
      <c r="AG348">
        <v>48</v>
      </c>
      <c r="AH348">
        <v>16</v>
      </c>
      <c r="AI348">
        <v>76</v>
      </c>
    </row>
    <row r="349" spans="1:36" x14ac:dyDescent="0.5">
      <c r="A349">
        <v>30</v>
      </c>
      <c r="B349">
        <v>250</v>
      </c>
      <c r="C349">
        <v>0.1</v>
      </c>
      <c r="D349">
        <v>66</v>
      </c>
      <c r="E349">
        <v>500</v>
      </c>
      <c r="F349">
        <v>220</v>
      </c>
      <c r="G349">
        <v>3.3333333333333335</v>
      </c>
      <c r="N349">
        <v>2.1</v>
      </c>
      <c r="O349">
        <v>51.8</v>
      </c>
      <c r="P349">
        <v>9.34</v>
      </c>
      <c r="Q349">
        <v>33.299999999999997</v>
      </c>
      <c r="R349">
        <v>4.5999999999999996</v>
      </c>
      <c r="S349">
        <v>4</v>
      </c>
      <c r="T349">
        <v>20.3</v>
      </c>
      <c r="U349">
        <v>1.2</v>
      </c>
      <c r="V349">
        <v>1.6576576576576576</v>
      </c>
      <c r="W349">
        <v>0.45720720720720726</v>
      </c>
      <c r="X349">
        <v>36.700000000000003</v>
      </c>
      <c r="Y349">
        <v>14.4</v>
      </c>
      <c r="Z349">
        <v>34.4</v>
      </c>
      <c r="AA349">
        <v>4.4000000000000004</v>
      </c>
      <c r="AB349">
        <v>2.8</v>
      </c>
      <c r="AC349">
        <v>8.6999999999999993</v>
      </c>
      <c r="AD349">
        <v>1.2</v>
      </c>
      <c r="AE349">
        <v>1.5348837209302326</v>
      </c>
      <c r="AF349">
        <v>0.18968023255813951</v>
      </c>
      <c r="AG349">
        <v>48.5</v>
      </c>
      <c r="AH349">
        <v>16.5</v>
      </c>
      <c r="AI349">
        <v>75</v>
      </c>
    </row>
    <row r="350" spans="1:36" x14ac:dyDescent="0.5">
      <c r="A350">
        <v>60</v>
      </c>
      <c r="B350">
        <v>220</v>
      </c>
      <c r="C350">
        <v>0.1</v>
      </c>
      <c r="D350">
        <v>30</v>
      </c>
      <c r="E350">
        <v>500</v>
      </c>
      <c r="F350">
        <v>150</v>
      </c>
      <c r="G350">
        <v>5</v>
      </c>
      <c r="O350">
        <v>82.67</v>
      </c>
      <c r="P350">
        <v>10.95</v>
      </c>
      <c r="Q350">
        <v>49.7</v>
      </c>
      <c r="R350">
        <v>7.67</v>
      </c>
      <c r="S350">
        <v>8.23</v>
      </c>
      <c r="T350">
        <v>27.16</v>
      </c>
      <c r="U350">
        <v>0.86</v>
      </c>
      <c r="V350">
        <v>1.8519114688128773</v>
      </c>
      <c r="W350">
        <v>0.40985915492957747</v>
      </c>
      <c r="X350">
        <v>6.38</v>
      </c>
      <c r="Y350">
        <v>22.903300000000002</v>
      </c>
      <c r="Z350">
        <v>53.29</v>
      </c>
      <c r="AA350">
        <v>7.56</v>
      </c>
      <c r="AB350">
        <v>7.96</v>
      </c>
      <c r="AC350">
        <v>22.31</v>
      </c>
      <c r="AD350">
        <v>0.84</v>
      </c>
      <c r="AE350">
        <v>1.7023831863389005</v>
      </c>
      <c r="AF350">
        <v>0.31398949146181271</v>
      </c>
      <c r="AG350">
        <v>8.0399999999999991</v>
      </c>
      <c r="AH350">
        <v>24.825364999999998</v>
      </c>
      <c r="AI350">
        <v>72.430000000000007</v>
      </c>
      <c r="AJ350" t="s">
        <v>105</v>
      </c>
    </row>
    <row r="351" spans="1:36" x14ac:dyDescent="0.5">
      <c r="A351">
        <v>60</v>
      </c>
      <c r="B351">
        <v>250</v>
      </c>
      <c r="C351">
        <v>0.1</v>
      </c>
      <c r="D351">
        <v>30</v>
      </c>
      <c r="E351">
        <v>500</v>
      </c>
      <c r="F351">
        <v>150</v>
      </c>
      <c r="G351">
        <v>5</v>
      </c>
      <c r="O351">
        <v>82.67</v>
      </c>
      <c r="P351">
        <v>10.95</v>
      </c>
      <c r="Q351">
        <v>49.7</v>
      </c>
      <c r="R351">
        <v>7.67</v>
      </c>
      <c r="S351">
        <v>8.23</v>
      </c>
      <c r="T351">
        <v>27.16</v>
      </c>
      <c r="U351">
        <v>0.86</v>
      </c>
      <c r="V351">
        <v>1.8519114688128773</v>
      </c>
      <c r="W351">
        <v>0.40985915492957747</v>
      </c>
      <c r="X351">
        <v>6.38</v>
      </c>
      <c r="Y351">
        <v>22.903300000000002</v>
      </c>
      <c r="Z351">
        <v>55.83</v>
      </c>
      <c r="AA351">
        <v>7.18</v>
      </c>
      <c r="AB351">
        <v>7.66</v>
      </c>
      <c r="AC351">
        <v>19.2</v>
      </c>
      <c r="AD351">
        <v>0.81</v>
      </c>
      <c r="AE351">
        <v>1.5432563138097797</v>
      </c>
      <c r="AF351">
        <v>0.25792584631918325</v>
      </c>
      <c r="AG351">
        <v>9.32</v>
      </c>
      <c r="AH351">
        <v>25.696380000000001</v>
      </c>
      <c r="AI351">
        <v>67.569999999999993</v>
      </c>
    </row>
    <row r="352" spans="1:36" x14ac:dyDescent="0.5">
      <c r="A352">
        <v>60</v>
      </c>
      <c r="B352">
        <v>280</v>
      </c>
      <c r="C352">
        <v>0.1</v>
      </c>
      <c r="D352">
        <v>30</v>
      </c>
      <c r="E352">
        <v>500</v>
      </c>
      <c r="F352">
        <v>150</v>
      </c>
      <c r="G352">
        <v>5</v>
      </c>
      <c r="O352">
        <v>82.67</v>
      </c>
      <c r="P352">
        <v>10.95</v>
      </c>
      <c r="Q352">
        <v>49.7</v>
      </c>
      <c r="R352">
        <v>7.67</v>
      </c>
      <c r="S352">
        <v>8.23</v>
      </c>
      <c r="T352">
        <v>27.16</v>
      </c>
      <c r="U352">
        <v>0.86</v>
      </c>
      <c r="V352">
        <v>1.8519114688128773</v>
      </c>
      <c r="W352">
        <v>0.40985915492957747</v>
      </c>
      <c r="X352">
        <v>6.38</v>
      </c>
      <c r="Y352">
        <v>22.903300000000002</v>
      </c>
      <c r="Z352">
        <v>59.52</v>
      </c>
      <c r="AA352">
        <v>6.84</v>
      </c>
      <c r="AB352">
        <v>6.82</v>
      </c>
      <c r="AC352">
        <v>15.63</v>
      </c>
      <c r="AD352">
        <v>0.82</v>
      </c>
      <c r="AE352">
        <v>1.379032258064516</v>
      </c>
      <c r="AF352">
        <v>0.19695060483870969</v>
      </c>
      <c r="AG352">
        <v>10.37</v>
      </c>
      <c r="AH352">
        <v>27.095325000000003</v>
      </c>
      <c r="AI352">
        <v>58.61</v>
      </c>
    </row>
    <row r="353" spans="1:36" x14ac:dyDescent="0.5">
      <c r="A353">
        <v>60</v>
      </c>
      <c r="B353">
        <v>220</v>
      </c>
      <c r="C353">
        <v>0.1</v>
      </c>
      <c r="D353">
        <v>20</v>
      </c>
      <c r="E353">
        <v>750</v>
      </c>
      <c r="F353">
        <v>400</v>
      </c>
      <c r="G353">
        <v>20</v>
      </c>
      <c r="O353">
        <v>77.56</v>
      </c>
      <c r="P353">
        <v>16.760000000000002</v>
      </c>
      <c r="Q353">
        <v>38.99</v>
      </c>
      <c r="R353">
        <v>5.01</v>
      </c>
      <c r="S353">
        <v>1.03</v>
      </c>
      <c r="T353">
        <v>54.97</v>
      </c>
      <c r="U353">
        <v>0</v>
      </c>
      <c r="V353">
        <v>1.5419338291869709</v>
      </c>
      <c r="W353">
        <v>1.0573865093613746</v>
      </c>
      <c r="X353">
        <v>5.68</v>
      </c>
      <c r="Y353">
        <v>10.54</v>
      </c>
      <c r="Z353">
        <v>55.2</v>
      </c>
      <c r="AA353">
        <v>5.41</v>
      </c>
      <c r="AB353">
        <v>1.01</v>
      </c>
      <c r="AC353">
        <v>38.380000000000003</v>
      </c>
      <c r="AD353">
        <v>0</v>
      </c>
      <c r="AE353">
        <v>1.1760869565217391</v>
      </c>
      <c r="AF353">
        <v>0.52146739130434783</v>
      </c>
      <c r="AG353">
        <v>4.6399999999999997</v>
      </c>
      <c r="AH353">
        <v>19.55</v>
      </c>
      <c r="AI353">
        <v>14.54</v>
      </c>
      <c r="AJ353" t="s">
        <v>107</v>
      </c>
    </row>
    <row r="354" spans="1:36" x14ac:dyDescent="0.5">
      <c r="A354">
        <v>60</v>
      </c>
      <c r="B354">
        <v>240</v>
      </c>
      <c r="C354">
        <v>0.1</v>
      </c>
      <c r="D354">
        <v>20</v>
      </c>
      <c r="E354">
        <v>750</v>
      </c>
      <c r="F354">
        <v>400</v>
      </c>
      <c r="G354">
        <v>20</v>
      </c>
      <c r="O354">
        <v>77.56</v>
      </c>
      <c r="P354">
        <v>16.760000000000002</v>
      </c>
      <c r="Q354">
        <v>38.99</v>
      </c>
      <c r="R354">
        <v>5.01</v>
      </c>
      <c r="S354">
        <v>1.03</v>
      </c>
      <c r="T354">
        <v>54.97</v>
      </c>
      <c r="U354">
        <v>0</v>
      </c>
      <c r="V354">
        <v>1.5419338291869709</v>
      </c>
      <c r="W354">
        <v>1.0573865093613746</v>
      </c>
      <c r="X354">
        <v>5.68</v>
      </c>
      <c r="Y354">
        <v>10.54</v>
      </c>
      <c r="Z354">
        <v>59</v>
      </c>
      <c r="AA354">
        <v>5.51</v>
      </c>
      <c r="AB354">
        <v>1.74</v>
      </c>
      <c r="AC354">
        <v>33.75</v>
      </c>
      <c r="AD354">
        <v>0</v>
      </c>
      <c r="AE354">
        <v>1.1206779661016948</v>
      </c>
      <c r="AF354">
        <v>0.42902542372881353</v>
      </c>
      <c r="AG354">
        <v>4.32</v>
      </c>
      <c r="AH354">
        <v>21.8</v>
      </c>
      <c r="AI354">
        <v>13.21</v>
      </c>
    </row>
    <row r="355" spans="1:36" x14ac:dyDescent="0.5">
      <c r="A355">
        <v>240</v>
      </c>
      <c r="B355">
        <v>220</v>
      </c>
      <c r="C355">
        <v>0.1</v>
      </c>
      <c r="D355">
        <v>20</v>
      </c>
      <c r="E355">
        <v>750</v>
      </c>
      <c r="F355">
        <v>400</v>
      </c>
      <c r="G355">
        <v>20</v>
      </c>
      <c r="O355">
        <v>77.56</v>
      </c>
      <c r="P355">
        <v>16.760000000000002</v>
      </c>
      <c r="Q355">
        <v>38.99</v>
      </c>
      <c r="R355">
        <v>5.01</v>
      </c>
      <c r="S355">
        <v>1.03</v>
      </c>
      <c r="T355">
        <v>54.97</v>
      </c>
      <c r="U355">
        <v>0</v>
      </c>
      <c r="V355">
        <v>1.5419338291869709</v>
      </c>
      <c r="W355">
        <v>1.0573865093613746</v>
      </c>
      <c r="X355">
        <v>5.68</v>
      </c>
      <c r="Y355">
        <v>10.54</v>
      </c>
      <c r="Z355">
        <v>59.81</v>
      </c>
      <c r="AA355">
        <v>5.74</v>
      </c>
      <c r="AB355">
        <v>1.7</v>
      </c>
      <c r="AC355">
        <v>32.75</v>
      </c>
      <c r="AD355">
        <v>0</v>
      </c>
      <c r="AE355">
        <v>1.1516468817923424</v>
      </c>
      <c r="AF355">
        <v>0.41067547232904195</v>
      </c>
      <c r="AG355">
        <v>4.28</v>
      </c>
      <c r="AH355">
        <v>22.57</v>
      </c>
      <c r="AI355">
        <v>12.21</v>
      </c>
    </row>
    <row r="356" spans="1:36" x14ac:dyDescent="0.5">
      <c r="A356">
        <v>150</v>
      </c>
      <c r="B356">
        <v>240</v>
      </c>
      <c r="C356">
        <v>0.1</v>
      </c>
      <c r="D356">
        <v>20</v>
      </c>
      <c r="E356">
        <v>750</v>
      </c>
      <c r="F356">
        <v>400</v>
      </c>
      <c r="G356">
        <v>20</v>
      </c>
      <c r="O356">
        <v>77.56</v>
      </c>
      <c r="P356">
        <v>16.760000000000002</v>
      </c>
      <c r="Q356">
        <v>38.99</v>
      </c>
      <c r="R356">
        <v>5.01</v>
      </c>
      <c r="S356">
        <v>1.03</v>
      </c>
      <c r="T356">
        <v>54.97</v>
      </c>
      <c r="U356">
        <v>0</v>
      </c>
      <c r="V356">
        <v>1.5419338291869709</v>
      </c>
      <c r="W356">
        <v>1.0573865093613746</v>
      </c>
      <c r="X356">
        <v>5.68</v>
      </c>
      <c r="Y356">
        <v>10.54</v>
      </c>
      <c r="Z356">
        <v>63.33</v>
      </c>
      <c r="AA356">
        <v>6.66</v>
      </c>
      <c r="AB356">
        <v>1.1299999999999999</v>
      </c>
      <c r="AC356">
        <v>28.88</v>
      </c>
      <c r="AD356">
        <v>0</v>
      </c>
      <c r="AE356">
        <v>1.2619611558503079</v>
      </c>
      <c r="AF356">
        <v>0.3420180009474183</v>
      </c>
      <c r="AG356">
        <v>3.45</v>
      </c>
      <c r="AH356">
        <v>25.76</v>
      </c>
      <c r="AI356">
        <v>11.01</v>
      </c>
    </row>
    <row r="357" spans="1:36" x14ac:dyDescent="0.5">
      <c r="A357">
        <v>60</v>
      </c>
      <c r="B357">
        <v>260</v>
      </c>
      <c r="C357">
        <v>0.1</v>
      </c>
      <c r="D357">
        <v>20</v>
      </c>
      <c r="E357">
        <v>750</v>
      </c>
      <c r="F357">
        <v>400</v>
      </c>
      <c r="G357">
        <v>20</v>
      </c>
      <c r="O357">
        <v>77.56</v>
      </c>
      <c r="P357">
        <v>16.760000000000002</v>
      </c>
      <c r="Q357">
        <v>38.99</v>
      </c>
      <c r="R357">
        <v>5.01</v>
      </c>
      <c r="S357">
        <v>1.03</v>
      </c>
      <c r="T357">
        <v>54.97</v>
      </c>
      <c r="U357">
        <v>0</v>
      </c>
      <c r="V357">
        <v>1.5419338291869709</v>
      </c>
      <c r="W357">
        <v>1.0573865093613746</v>
      </c>
      <c r="X357">
        <v>5.68</v>
      </c>
      <c r="Y357">
        <v>10.54</v>
      </c>
      <c r="Z357">
        <v>63.26</v>
      </c>
      <c r="AA357">
        <v>6.7</v>
      </c>
      <c r="AB357">
        <v>1.1399999999999999</v>
      </c>
      <c r="AC357">
        <v>26.9</v>
      </c>
      <c r="AD357">
        <v>0</v>
      </c>
      <c r="AE357">
        <v>1.2709453050901045</v>
      </c>
      <c r="AF357">
        <v>0.31892190957951311</v>
      </c>
      <c r="AG357">
        <v>3.25</v>
      </c>
      <c r="AH357">
        <v>26.82</v>
      </c>
      <c r="AI357">
        <v>10.119999999999999</v>
      </c>
    </row>
    <row r="358" spans="1:36" x14ac:dyDescent="0.5">
      <c r="A358">
        <v>240</v>
      </c>
      <c r="B358">
        <v>240</v>
      </c>
      <c r="C358">
        <v>0.1</v>
      </c>
      <c r="D358">
        <v>20</v>
      </c>
      <c r="E358">
        <v>750</v>
      </c>
      <c r="F358">
        <v>400</v>
      </c>
      <c r="G358">
        <v>20</v>
      </c>
      <c r="O358">
        <v>77.56</v>
      </c>
      <c r="P358">
        <v>16.760000000000002</v>
      </c>
      <c r="Q358">
        <v>38.99</v>
      </c>
      <c r="R358">
        <v>5.01</v>
      </c>
      <c r="S358">
        <v>1.03</v>
      </c>
      <c r="T358">
        <v>54.97</v>
      </c>
      <c r="U358">
        <v>0</v>
      </c>
      <c r="V358">
        <v>1.5419338291869709</v>
      </c>
      <c r="W358">
        <v>1.0573865093613746</v>
      </c>
      <c r="X358">
        <v>5.68</v>
      </c>
      <c r="Y358">
        <v>10.54</v>
      </c>
      <c r="Z358">
        <v>65.849999999999994</v>
      </c>
      <c r="AA358">
        <v>6.78</v>
      </c>
      <c r="AB358">
        <v>1.32</v>
      </c>
      <c r="AC358">
        <v>26.05</v>
      </c>
      <c r="AD358">
        <v>0</v>
      </c>
      <c r="AE358">
        <v>1.2355353075170843</v>
      </c>
      <c r="AF358">
        <v>0.29669703872437359</v>
      </c>
      <c r="AG358">
        <v>3.24</v>
      </c>
      <c r="AH358">
        <v>27.29</v>
      </c>
      <c r="AI358">
        <v>9.08</v>
      </c>
    </row>
    <row r="359" spans="1:36" x14ac:dyDescent="0.5">
      <c r="A359">
        <v>150</v>
      </c>
      <c r="B359">
        <v>260</v>
      </c>
      <c r="C359">
        <v>0.1</v>
      </c>
      <c r="D359">
        <v>20</v>
      </c>
      <c r="E359">
        <v>750</v>
      </c>
      <c r="F359">
        <v>400</v>
      </c>
      <c r="G359">
        <v>20</v>
      </c>
      <c r="O359">
        <v>77.56</v>
      </c>
      <c r="P359">
        <v>16.760000000000002</v>
      </c>
      <c r="Q359">
        <v>38.99</v>
      </c>
      <c r="R359">
        <v>5.01</v>
      </c>
      <c r="S359">
        <v>1.03</v>
      </c>
      <c r="T359">
        <v>54.97</v>
      </c>
      <c r="U359">
        <v>0</v>
      </c>
      <c r="V359">
        <v>1.5419338291869709</v>
      </c>
      <c r="W359">
        <v>1.0573865093613746</v>
      </c>
      <c r="X359">
        <v>5.68</v>
      </c>
      <c r="Y359">
        <v>10.54</v>
      </c>
      <c r="Z359">
        <v>66.67</v>
      </c>
      <c r="AA359">
        <v>6.28</v>
      </c>
      <c r="AB359">
        <v>1.2</v>
      </c>
      <c r="AC359">
        <v>25.85</v>
      </c>
      <c r="AD359">
        <v>0</v>
      </c>
      <c r="AE359">
        <v>1.1303434828258587</v>
      </c>
      <c r="AF359">
        <v>0.29079796010199493</v>
      </c>
      <c r="AG359">
        <v>3.25</v>
      </c>
      <c r="AH359">
        <v>26.89</v>
      </c>
      <c r="AI359">
        <v>9.43</v>
      </c>
    </row>
    <row r="360" spans="1:36" x14ac:dyDescent="0.5">
      <c r="A360">
        <v>240</v>
      </c>
      <c r="B360">
        <v>260</v>
      </c>
      <c r="C360">
        <v>0.1</v>
      </c>
      <c r="D360">
        <v>20</v>
      </c>
      <c r="E360">
        <v>750</v>
      </c>
      <c r="F360">
        <v>400</v>
      </c>
      <c r="G360">
        <v>20</v>
      </c>
      <c r="O360">
        <v>77.56</v>
      </c>
      <c r="P360">
        <v>16.760000000000002</v>
      </c>
      <c r="Q360">
        <v>38.99</v>
      </c>
      <c r="R360">
        <v>5.01</v>
      </c>
      <c r="S360">
        <v>1.03</v>
      </c>
      <c r="T360">
        <v>54.97</v>
      </c>
      <c r="U360">
        <v>0</v>
      </c>
      <c r="V360">
        <v>1.5419338291869709</v>
      </c>
      <c r="W360">
        <v>1.0573865093613746</v>
      </c>
      <c r="X360">
        <v>5.68</v>
      </c>
      <c r="Y360">
        <v>10.54</v>
      </c>
      <c r="Z360">
        <v>69.239999999999995</v>
      </c>
      <c r="AA360">
        <v>7.26</v>
      </c>
      <c r="AB360">
        <v>1.1299999999999999</v>
      </c>
      <c r="AC360">
        <v>22.37</v>
      </c>
      <c r="AD360">
        <v>0</v>
      </c>
      <c r="AE360">
        <v>1.2582322357019065</v>
      </c>
      <c r="AF360">
        <v>0.24230935875216641</v>
      </c>
      <c r="AG360">
        <v>2.4500000000000002</v>
      </c>
      <c r="AH360">
        <v>29.77</v>
      </c>
      <c r="AI360">
        <v>8.35</v>
      </c>
    </row>
    <row r="361" spans="1:36" x14ac:dyDescent="0.5">
      <c r="A361">
        <v>150</v>
      </c>
      <c r="B361">
        <v>220</v>
      </c>
      <c r="C361">
        <v>0.1</v>
      </c>
      <c r="D361">
        <v>20</v>
      </c>
      <c r="E361">
        <v>750</v>
      </c>
      <c r="F361">
        <v>400</v>
      </c>
      <c r="G361">
        <v>20</v>
      </c>
      <c r="O361">
        <v>77.56</v>
      </c>
      <c r="P361">
        <v>16.760000000000002</v>
      </c>
      <c r="Q361">
        <v>38.99</v>
      </c>
      <c r="R361">
        <v>5.01</v>
      </c>
      <c r="S361">
        <v>1.03</v>
      </c>
      <c r="T361">
        <v>54.97</v>
      </c>
      <c r="U361">
        <v>0</v>
      </c>
      <c r="V361">
        <v>1.5419338291869709</v>
      </c>
      <c r="W361">
        <v>1.0573865093613746</v>
      </c>
      <c r="X361">
        <v>5.68</v>
      </c>
      <c r="Y361">
        <v>10.54</v>
      </c>
      <c r="Z361">
        <v>56.71</v>
      </c>
      <c r="AA361">
        <v>5.18</v>
      </c>
      <c r="AB361">
        <v>1.67</v>
      </c>
      <c r="AC361">
        <v>36.44</v>
      </c>
      <c r="AD361">
        <v>0</v>
      </c>
      <c r="AE361">
        <v>1.0961029800740609</v>
      </c>
      <c r="AF361">
        <v>0.4819255863163463</v>
      </c>
      <c r="AG361">
        <v>4.1500000000000004</v>
      </c>
      <c r="AH361">
        <v>33.4</v>
      </c>
      <c r="AI361">
        <v>5.57</v>
      </c>
    </row>
    <row r="362" spans="1:36" x14ac:dyDescent="0.5">
      <c r="A362">
        <v>15</v>
      </c>
      <c r="B362">
        <v>180</v>
      </c>
      <c r="C362">
        <v>0.1</v>
      </c>
      <c r="D362">
        <v>0.35599999999999998</v>
      </c>
      <c r="E362">
        <v>10</v>
      </c>
      <c r="F362">
        <v>3.5339999999999998</v>
      </c>
      <c r="G362">
        <v>9.9269662921348321</v>
      </c>
      <c r="H362">
        <v>27.5</v>
      </c>
      <c r="I362">
        <v>15.7</v>
      </c>
      <c r="J362">
        <v>51.4</v>
      </c>
      <c r="Q362">
        <v>47.8</v>
      </c>
      <c r="R362">
        <v>5.1100000000000003</v>
      </c>
      <c r="S362">
        <v>4.78</v>
      </c>
      <c r="T362">
        <v>42.1</v>
      </c>
      <c r="U362">
        <v>0.23</v>
      </c>
      <c r="V362">
        <v>1.2828451882845191</v>
      </c>
      <c r="W362">
        <v>0.66056485355648542</v>
      </c>
      <c r="X362">
        <v>4.28</v>
      </c>
      <c r="Y362">
        <v>15.4</v>
      </c>
      <c r="Z362">
        <v>53.3</v>
      </c>
      <c r="AA362">
        <v>7.82</v>
      </c>
      <c r="AB362">
        <v>9.85</v>
      </c>
      <c r="AC362">
        <v>27.7</v>
      </c>
      <c r="AD362">
        <v>1.32</v>
      </c>
      <c r="AE362">
        <v>1.7606003752345218</v>
      </c>
      <c r="AF362">
        <v>0.38977485928705441</v>
      </c>
      <c r="AH362">
        <v>23</v>
      </c>
      <c r="AI362">
        <v>46</v>
      </c>
      <c r="AJ362" t="s">
        <v>108</v>
      </c>
    </row>
    <row r="363" spans="1:36" x14ac:dyDescent="0.5">
      <c r="A363">
        <v>30</v>
      </c>
      <c r="B363">
        <v>180</v>
      </c>
      <c r="C363">
        <v>0.1</v>
      </c>
      <c r="D363">
        <v>0.35599999999999998</v>
      </c>
      <c r="E363">
        <v>10</v>
      </c>
      <c r="F363">
        <v>3.5339999999999998</v>
      </c>
      <c r="G363">
        <v>9.9269662921348321</v>
      </c>
      <c r="H363">
        <v>27.5</v>
      </c>
      <c r="I363">
        <v>15.7</v>
      </c>
      <c r="J363">
        <v>51.4</v>
      </c>
      <c r="Q363">
        <v>47.8</v>
      </c>
      <c r="R363">
        <v>5.1100000000000003</v>
      </c>
      <c r="S363">
        <v>4.78</v>
      </c>
      <c r="T363">
        <v>42.1</v>
      </c>
      <c r="U363">
        <v>0.23</v>
      </c>
      <c r="V363">
        <v>1.2828451882845191</v>
      </c>
      <c r="W363">
        <v>0.66056485355648542</v>
      </c>
      <c r="X363">
        <v>4.28</v>
      </c>
      <c r="Y363">
        <v>15.4</v>
      </c>
      <c r="Z363">
        <v>54.8</v>
      </c>
      <c r="AA363">
        <v>7.6</v>
      </c>
      <c r="AB363">
        <v>9.7899999999999991</v>
      </c>
      <c r="AC363">
        <v>26.9</v>
      </c>
      <c r="AD363">
        <v>1.01</v>
      </c>
      <c r="AE363">
        <v>1.7124087591240877</v>
      </c>
      <c r="AF363">
        <v>0.36815693430656932</v>
      </c>
      <c r="AH363">
        <v>23.3</v>
      </c>
      <c r="AI363">
        <v>44</v>
      </c>
    </row>
    <row r="364" spans="1:36" x14ac:dyDescent="0.5">
      <c r="A364">
        <v>15</v>
      </c>
      <c r="B364">
        <v>190</v>
      </c>
      <c r="C364">
        <v>0.1</v>
      </c>
      <c r="D364">
        <v>0.35599999999999998</v>
      </c>
      <c r="E364">
        <v>10</v>
      </c>
      <c r="F364">
        <v>3.5339999999999998</v>
      </c>
      <c r="G364">
        <v>9.9269662921348321</v>
      </c>
      <c r="H364">
        <v>27.5</v>
      </c>
      <c r="I364">
        <v>15.7</v>
      </c>
      <c r="J364">
        <v>51.4</v>
      </c>
      <c r="Q364">
        <v>47.8</v>
      </c>
      <c r="R364">
        <v>5.1100000000000003</v>
      </c>
      <c r="S364">
        <v>4.78</v>
      </c>
      <c r="T364">
        <v>42.1</v>
      </c>
      <c r="U364">
        <v>0.23</v>
      </c>
      <c r="V364">
        <v>1.2828451882845191</v>
      </c>
      <c r="W364">
        <v>0.66056485355648542</v>
      </c>
      <c r="X364">
        <v>4.28</v>
      </c>
      <c r="Y364">
        <v>15.4</v>
      </c>
      <c r="Z364">
        <v>54</v>
      </c>
      <c r="AA364">
        <v>7.65</v>
      </c>
      <c r="AB364">
        <v>9.57</v>
      </c>
      <c r="AC364">
        <v>27.6</v>
      </c>
      <c r="AD364">
        <v>1.19</v>
      </c>
      <c r="AE364">
        <v>1.6888888888888889</v>
      </c>
      <c r="AF364">
        <v>0.38333333333333336</v>
      </c>
      <c r="AH364">
        <v>23.1</v>
      </c>
      <c r="AI364">
        <v>37</v>
      </c>
    </row>
    <row r="365" spans="1:36" x14ac:dyDescent="0.5">
      <c r="A365">
        <v>30</v>
      </c>
      <c r="B365">
        <v>190</v>
      </c>
      <c r="C365">
        <v>0.1</v>
      </c>
      <c r="D365">
        <v>0.35599999999999998</v>
      </c>
      <c r="E365">
        <v>10</v>
      </c>
      <c r="F365">
        <v>3.5339999999999998</v>
      </c>
      <c r="G365">
        <v>9.9269662921348321</v>
      </c>
      <c r="H365">
        <v>27.5</v>
      </c>
      <c r="I365">
        <v>15.7</v>
      </c>
      <c r="J365">
        <v>51.4</v>
      </c>
      <c r="Q365">
        <v>47.8</v>
      </c>
      <c r="R365">
        <v>5.1100000000000003</v>
      </c>
      <c r="S365">
        <v>4.78</v>
      </c>
      <c r="T365">
        <v>42.1</v>
      </c>
      <c r="U365">
        <v>0.23</v>
      </c>
      <c r="V365">
        <v>1.2828451882845191</v>
      </c>
      <c r="W365">
        <v>0.66056485355648542</v>
      </c>
      <c r="X365">
        <v>4.28</v>
      </c>
      <c r="Y365">
        <v>15.4</v>
      </c>
      <c r="Z365">
        <v>59</v>
      </c>
      <c r="AA365">
        <v>8.6199999999999992</v>
      </c>
      <c r="AB365">
        <v>5.93</v>
      </c>
      <c r="AC365">
        <v>25.3</v>
      </c>
      <c r="AD365">
        <v>1.1200000000000001</v>
      </c>
      <c r="AE365">
        <v>1.5559322033898304</v>
      </c>
      <c r="AF365">
        <v>0.32161016949152543</v>
      </c>
      <c r="AH365">
        <v>27.2</v>
      </c>
      <c r="AI365">
        <v>38</v>
      </c>
    </row>
    <row r="366" spans="1:36" x14ac:dyDescent="0.5">
      <c r="A366">
        <v>15</v>
      </c>
      <c r="B366">
        <v>200</v>
      </c>
      <c r="C366">
        <v>0.1</v>
      </c>
      <c r="D366">
        <v>0.35599999999999998</v>
      </c>
      <c r="E366">
        <v>10</v>
      </c>
      <c r="F366">
        <v>3.5339999999999998</v>
      </c>
      <c r="G366">
        <v>9.9269662921348321</v>
      </c>
      <c r="H366">
        <v>27.5</v>
      </c>
      <c r="I366">
        <v>15.7</v>
      </c>
      <c r="J366">
        <v>51.4</v>
      </c>
      <c r="Q366">
        <v>47.8</v>
      </c>
      <c r="R366">
        <v>5.1100000000000003</v>
      </c>
      <c r="S366">
        <v>4.78</v>
      </c>
      <c r="T366">
        <v>42.1</v>
      </c>
      <c r="U366">
        <v>0.23</v>
      </c>
      <c r="V366">
        <v>1.2828451882845191</v>
      </c>
      <c r="W366">
        <v>0.66056485355648542</v>
      </c>
      <c r="X366">
        <v>4.28</v>
      </c>
      <c r="Y366">
        <v>15.4</v>
      </c>
      <c r="Z366">
        <v>50.6</v>
      </c>
      <c r="AA366">
        <v>7.09</v>
      </c>
      <c r="AB366">
        <v>6.08</v>
      </c>
      <c r="AC366">
        <v>35.200000000000003</v>
      </c>
      <c r="AD366">
        <v>1</v>
      </c>
      <c r="AE366">
        <v>2.0442687747035571</v>
      </c>
      <c r="AF366">
        <v>0.52173913043478259</v>
      </c>
      <c r="AH366">
        <v>20.3</v>
      </c>
      <c r="AI366">
        <v>38.5</v>
      </c>
    </row>
    <row r="367" spans="1:36" x14ac:dyDescent="0.5">
      <c r="A367">
        <v>30</v>
      </c>
      <c r="B367">
        <v>200</v>
      </c>
      <c r="C367">
        <v>0.1</v>
      </c>
      <c r="D367">
        <v>0.35599999999999998</v>
      </c>
      <c r="E367">
        <v>10</v>
      </c>
      <c r="F367">
        <v>3.5339999999999998</v>
      </c>
      <c r="G367">
        <v>9.9269662921348321</v>
      </c>
      <c r="H367">
        <v>27.5</v>
      </c>
      <c r="I367">
        <v>15.7</v>
      </c>
      <c r="J367">
        <v>51.4</v>
      </c>
      <c r="Q367">
        <v>47.8</v>
      </c>
      <c r="R367">
        <v>5.1100000000000003</v>
      </c>
      <c r="S367">
        <v>4.78</v>
      </c>
      <c r="T367">
        <v>42.1</v>
      </c>
      <c r="U367">
        <v>0.23</v>
      </c>
      <c r="V367">
        <v>1.2828451882845191</v>
      </c>
      <c r="W367">
        <v>0.66056485355648542</v>
      </c>
      <c r="X367">
        <v>4.28</v>
      </c>
      <c r="Y367">
        <v>15.4</v>
      </c>
      <c r="Z367">
        <v>58.3</v>
      </c>
      <c r="AA367">
        <v>7.61</v>
      </c>
      <c r="AB367">
        <v>6.25</v>
      </c>
      <c r="AC367">
        <v>26.8</v>
      </c>
      <c r="AD367">
        <v>1.1200000000000001</v>
      </c>
      <c r="AE367">
        <v>1.4593481989708403</v>
      </c>
      <c r="AF367">
        <v>0.34476843910806176</v>
      </c>
      <c r="AH367">
        <v>25.2</v>
      </c>
      <c r="AI367">
        <v>47</v>
      </c>
    </row>
    <row r="368" spans="1:36" x14ac:dyDescent="0.5">
      <c r="A368">
        <v>15</v>
      </c>
      <c r="B368">
        <v>210</v>
      </c>
      <c r="C368">
        <v>0.1</v>
      </c>
      <c r="D368">
        <v>0.35599999999999998</v>
      </c>
      <c r="E368">
        <v>10</v>
      </c>
      <c r="F368">
        <v>3.5339999999999998</v>
      </c>
      <c r="G368">
        <v>9.9269662921348321</v>
      </c>
      <c r="H368">
        <v>27.5</v>
      </c>
      <c r="I368">
        <v>15.7</v>
      </c>
      <c r="J368">
        <v>51.4</v>
      </c>
      <c r="Q368">
        <v>47.8</v>
      </c>
      <c r="R368">
        <v>5.1100000000000003</v>
      </c>
      <c r="S368">
        <v>4.78</v>
      </c>
      <c r="T368">
        <v>42.1</v>
      </c>
      <c r="U368">
        <v>0.23</v>
      </c>
      <c r="V368">
        <v>1.2828451882845191</v>
      </c>
      <c r="W368">
        <v>0.66056485355648542</v>
      </c>
      <c r="X368">
        <v>4.28</v>
      </c>
      <c r="Y368">
        <v>15.4</v>
      </c>
      <c r="Z368">
        <v>58.3</v>
      </c>
      <c r="AA368">
        <v>8.1</v>
      </c>
      <c r="AB368">
        <v>6.58</v>
      </c>
      <c r="AC368">
        <v>26.1</v>
      </c>
      <c r="AD368">
        <v>0.94</v>
      </c>
      <c r="AE368">
        <v>1.5663807890222985</v>
      </c>
      <c r="AF368">
        <v>0.33576329331046312</v>
      </c>
      <c r="AH368">
        <v>26</v>
      </c>
      <c r="AI368">
        <v>43</v>
      </c>
    </row>
    <row r="369" spans="1:36" x14ac:dyDescent="0.5">
      <c r="A369">
        <v>30</v>
      </c>
      <c r="B369">
        <v>210</v>
      </c>
      <c r="C369">
        <v>0.1</v>
      </c>
      <c r="D369">
        <v>0.35599999999999998</v>
      </c>
      <c r="E369">
        <v>10</v>
      </c>
      <c r="F369">
        <v>3.5339999999999998</v>
      </c>
      <c r="G369">
        <v>9.9269662921348321</v>
      </c>
      <c r="H369">
        <v>27.5</v>
      </c>
      <c r="I369">
        <v>15.7</v>
      </c>
      <c r="J369">
        <v>51.4</v>
      </c>
      <c r="Q369">
        <v>47.8</v>
      </c>
      <c r="R369">
        <v>5.1100000000000003</v>
      </c>
      <c r="S369">
        <v>4.78</v>
      </c>
      <c r="T369">
        <v>42.1</v>
      </c>
      <c r="U369">
        <v>0.23</v>
      </c>
      <c r="V369">
        <v>1.2828451882845191</v>
      </c>
      <c r="W369">
        <v>0.66056485355648542</v>
      </c>
      <c r="X369">
        <v>4.28</v>
      </c>
      <c r="Y369">
        <v>15.4</v>
      </c>
      <c r="Z369">
        <v>57.9</v>
      </c>
      <c r="AA369">
        <v>7.31</v>
      </c>
      <c r="AB369">
        <v>4.3899999999999997</v>
      </c>
      <c r="AC369">
        <v>29.3</v>
      </c>
      <c r="AD369">
        <v>1.1100000000000001</v>
      </c>
      <c r="AE369">
        <v>1.5150259067357512</v>
      </c>
      <c r="AF369">
        <v>0.3795336787564767</v>
      </c>
      <c r="AH369">
        <v>24.5</v>
      </c>
      <c r="AI369">
        <v>48</v>
      </c>
    </row>
    <row r="370" spans="1:36" x14ac:dyDescent="0.5">
      <c r="A370">
        <v>15</v>
      </c>
      <c r="B370">
        <v>220</v>
      </c>
      <c r="C370">
        <v>0.1</v>
      </c>
      <c r="D370">
        <v>0.35599999999999998</v>
      </c>
      <c r="E370">
        <v>10</v>
      </c>
      <c r="F370">
        <v>3.5339999999999998</v>
      </c>
      <c r="G370">
        <v>9.9269662921348321</v>
      </c>
      <c r="H370">
        <v>27.5</v>
      </c>
      <c r="I370">
        <v>15.7</v>
      </c>
      <c r="J370">
        <v>51.4</v>
      </c>
      <c r="Q370">
        <v>47.8</v>
      </c>
      <c r="R370">
        <v>5.1100000000000003</v>
      </c>
      <c r="S370">
        <v>4.78</v>
      </c>
      <c r="T370">
        <v>42.1</v>
      </c>
      <c r="U370">
        <v>0.23</v>
      </c>
      <c r="V370">
        <v>1.2828451882845191</v>
      </c>
      <c r="W370">
        <v>0.66056485355648542</v>
      </c>
      <c r="X370">
        <v>4.28</v>
      </c>
      <c r="Y370">
        <v>15.4</v>
      </c>
      <c r="Z370">
        <v>62.9</v>
      </c>
      <c r="AA370">
        <v>7.95</v>
      </c>
      <c r="AB370">
        <v>5.8</v>
      </c>
      <c r="AC370">
        <v>22.6</v>
      </c>
      <c r="AD370">
        <v>0.83</v>
      </c>
      <c r="AE370">
        <v>1.5166931637519874</v>
      </c>
      <c r="AF370">
        <v>0.26947535771065184</v>
      </c>
      <c r="AH370">
        <v>28.1</v>
      </c>
      <c r="AI370">
        <v>45</v>
      </c>
    </row>
    <row r="371" spans="1:36" x14ac:dyDescent="0.5">
      <c r="A371">
        <v>30</v>
      </c>
      <c r="B371">
        <v>220</v>
      </c>
      <c r="C371">
        <v>0.1</v>
      </c>
      <c r="D371">
        <v>0.35599999999999998</v>
      </c>
      <c r="E371">
        <v>10</v>
      </c>
      <c r="F371">
        <v>3.5339999999999998</v>
      </c>
      <c r="G371">
        <v>9.9269662921348321</v>
      </c>
      <c r="H371">
        <v>27.5</v>
      </c>
      <c r="I371">
        <v>15.7</v>
      </c>
      <c r="J371">
        <v>51.4</v>
      </c>
      <c r="Q371">
        <v>47.8</v>
      </c>
      <c r="R371">
        <v>5.1100000000000003</v>
      </c>
      <c r="S371">
        <v>4.78</v>
      </c>
      <c r="T371">
        <v>42.1</v>
      </c>
      <c r="U371">
        <v>0.23</v>
      </c>
      <c r="V371">
        <v>1.2828451882845191</v>
      </c>
      <c r="W371">
        <v>0.66056485355648542</v>
      </c>
      <c r="X371">
        <v>4.28</v>
      </c>
      <c r="Y371">
        <v>15.4</v>
      </c>
      <c r="Z371">
        <v>64.400000000000006</v>
      </c>
      <c r="AA371">
        <v>7.92</v>
      </c>
      <c r="AB371">
        <v>5.05</v>
      </c>
      <c r="AC371">
        <v>21.5</v>
      </c>
      <c r="AD371">
        <v>1.1000000000000001</v>
      </c>
      <c r="AE371">
        <v>1.4757763975155278</v>
      </c>
      <c r="AF371">
        <v>0.25038819875776397</v>
      </c>
      <c r="AH371">
        <v>28.9</v>
      </c>
      <c r="AI371">
        <v>45.5</v>
      </c>
    </row>
    <row r="372" spans="1:36" x14ac:dyDescent="0.5">
      <c r="A372">
        <v>90</v>
      </c>
      <c r="B372">
        <v>180</v>
      </c>
      <c r="C372">
        <v>0.1</v>
      </c>
      <c r="D372">
        <v>10</v>
      </c>
      <c r="E372">
        <v>100</v>
      </c>
      <c r="F372">
        <v>30</v>
      </c>
      <c r="G372">
        <v>3</v>
      </c>
      <c r="Q372">
        <v>36.49</v>
      </c>
      <c r="R372">
        <v>6.89</v>
      </c>
      <c r="S372">
        <v>2.08</v>
      </c>
      <c r="T372">
        <v>36.47</v>
      </c>
      <c r="U372">
        <v>0</v>
      </c>
      <c r="V372">
        <v>2.2658262537681555</v>
      </c>
      <c r="W372">
        <v>0.74958892847355429</v>
      </c>
      <c r="X372">
        <v>18.07</v>
      </c>
      <c r="Y372">
        <v>15.662645000000001</v>
      </c>
      <c r="Z372">
        <v>46.36</v>
      </c>
      <c r="AA372">
        <v>5.43</v>
      </c>
      <c r="AB372">
        <v>1.85</v>
      </c>
      <c r="AC372">
        <v>34</v>
      </c>
      <c r="AE372">
        <v>1.4055220017256256</v>
      </c>
      <c r="AF372">
        <v>0.55004314063848148</v>
      </c>
      <c r="AG372">
        <v>12.36</v>
      </c>
      <c r="AH372">
        <v>17.35472</v>
      </c>
      <c r="AI372">
        <v>57</v>
      </c>
      <c r="AJ372" t="s">
        <v>109</v>
      </c>
    </row>
    <row r="373" spans="1:36" x14ac:dyDescent="0.5">
      <c r="A373">
        <v>120</v>
      </c>
      <c r="B373">
        <v>180</v>
      </c>
      <c r="C373">
        <v>0.1</v>
      </c>
      <c r="D373">
        <v>10</v>
      </c>
      <c r="E373">
        <v>100</v>
      </c>
      <c r="F373">
        <v>30</v>
      </c>
      <c r="G373">
        <v>3</v>
      </c>
      <c r="Q373">
        <v>36.49</v>
      </c>
      <c r="R373">
        <v>6.89</v>
      </c>
      <c r="S373">
        <v>2.08</v>
      </c>
      <c r="T373">
        <v>36.47</v>
      </c>
      <c r="U373">
        <v>0</v>
      </c>
      <c r="V373">
        <v>2.2658262537681555</v>
      </c>
      <c r="W373">
        <v>0.74958892847355429</v>
      </c>
      <c r="X373">
        <v>18.07</v>
      </c>
      <c r="Y373">
        <v>15.662645000000001</v>
      </c>
      <c r="Z373">
        <v>48.72</v>
      </c>
      <c r="AA373">
        <v>5.01</v>
      </c>
      <c r="AB373">
        <v>2.7</v>
      </c>
      <c r="AC373">
        <v>32.020000000000003</v>
      </c>
      <c r="AE373">
        <v>1.2339901477832513</v>
      </c>
      <c r="AF373">
        <v>0.49291871921182273</v>
      </c>
      <c r="AG373">
        <v>11.56</v>
      </c>
      <c r="AH373">
        <v>17.90607</v>
      </c>
      <c r="AI373">
        <v>56</v>
      </c>
    </row>
    <row r="374" spans="1:36" x14ac:dyDescent="0.5">
      <c r="A374">
        <v>90</v>
      </c>
      <c r="B374">
        <v>220</v>
      </c>
      <c r="C374">
        <v>0.1</v>
      </c>
      <c r="D374">
        <v>10</v>
      </c>
      <c r="E374">
        <v>100</v>
      </c>
      <c r="F374">
        <v>30</v>
      </c>
      <c r="G374">
        <v>3</v>
      </c>
      <c r="Q374">
        <v>36.49</v>
      </c>
      <c r="R374">
        <v>6.89</v>
      </c>
      <c r="S374">
        <v>2.08</v>
      </c>
      <c r="T374">
        <v>36.47</v>
      </c>
      <c r="U374">
        <v>0</v>
      </c>
      <c r="V374">
        <v>2.2658262537681555</v>
      </c>
      <c r="W374">
        <v>0.74958892847355429</v>
      </c>
      <c r="X374">
        <v>18.07</v>
      </c>
      <c r="Y374">
        <v>15.662645000000001</v>
      </c>
      <c r="Z374">
        <v>49.84</v>
      </c>
      <c r="AA374">
        <v>5.07</v>
      </c>
      <c r="AB374">
        <v>2.81</v>
      </c>
      <c r="AC374">
        <v>31.14</v>
      </c>
      <c r="AE374">
        <v>1.2207062600321028</v>
      </c>
      <c r="AF374">
        <v>0.46859951845906905</v>
      </c>
      <c r="AG374">
        <v>11.13</v>
      </c>
      <c r="AH374">
        <v>18.527390000000004</v>
      </c>
      <c r="AI374">
        <v>52</v>
      </c>
    </row>
    <row r="375" spans="1:36" x14ac:dyDescent="0.5">
      <c r="A375">
        <v>120</v>
      </c>
      <c r="B375">
        <v>220</v>
      </c>
      <c r="C375">
        <v>0.1</v>
      </c>
      <c r="D375">
        <v>10</v>
      </c>
      <c r="E375">
        <v>100</v>
      </c>
      <c r="F375">
        <v>30</v>
      </c>
      <c r="G375">
        <v>3</v>
      </c>
      <c r="Q375">
        <v>36.49</v>
      </c>
      <c r="R375">
        <v>6.89</v>
      </c>
      <c r="S375">
        <v>2.08</v>
      </c>
      <c r="T375">
        <v>36.47</v>
      </c>
      <c r="U375">
        <v>0</v>
      </c>
      <c r="V375">
        <v>2.2658262537681555</v>
      </c>
      <c r="W375">
        <v>0.74958892847355429</v>
      </c>
      <c r="X375">
        <v>18.07</v>
      </c>
      <c r="Y375">
        <v>15.662645000000001</v>
      </c>
      <c r="Z375">
        <v>50.71</v>
      </c>
      <c r="AA375">
        <v>4.91</v>
      </c>
      <c r="AB375">
        <v>3</v>
      </c>
      <c r="AC375">
        <v>30.04</v>
      </c>
      <c r="AE375">
        <v>1.1619010057187933</v>
      </c>
      <c r="AF375">
        <v>0.44429106685071978</v>
      </c>
      <c r="AG375">
        <v>10.97</v>
      </c>
      <c r="AH375">
        <v>18.78932</v>
      </c>
      <c r="AI375">
        <v>51</v>
      </c>
    </row>
    <row r="376" spans="1:36" x14ac:dyDescent="0.5">
      <c r="A376">
        <v>90</v>
      </c>
      <c r="B376">
        <v>250</v>
      </c>
      <c r="C376">
        <v>0.1</v>
      </c>
      <c r="D376">
        <v>10</v>
      </c>
      <c r="E376">
        <v>100</v>
      </c>
      <c r="F376">
        <v>30</v>
      </c>
      <c r="G376">
        <v>3</v>
      </c>
      <c r="Q376">
        <v>36.49</v>
      </c>
      <c r="R376">
        <v>6.89</v>
      </c>
      <c r="S376">
        <v>2.08</v>
      </c>
      <c r="T376">
        <v>36.47</v>
      </c>
      <c r="U376">
        <v>0</v>
      </c>
      <c r="V376">
        <v>2.2658262537681555</v>
      </c>
      <c r="W376">
        <v>0.74958892847355429</v>
      </c>
      <c r="X376">
        <v>18.07</v>
      </c>
      <c r="Y376">
        <v>15.662645000000001</v>
      </c>
      <c r="Z376">
        <v>51.73</v>
      </c>
      <c r="AA376">
        <v>4.79</v>
      </c>
      <c r="AB376">
        <v>4.24</v>
      </c>
      <c r="AC376">
        <v>29.62</v>
      </c>
      <c r="AE376">
        <v>1.1111540692054902</v>
      </c>
      <c r="AF376">
        <v>0.42944132998260204</v>
      </c>
      <c r="AG376">
        <v>9.6300000000000008</v>
      </c>
      <c r="AH376">
        <v>19.037689999999998</v>
      </c>
      <c r="AI376">
        <v>45</v>
      </c>
    </row>
    <row r="377" spans="1:36" x14ac:dyDescent="0.5">
      <c r="A377">
        <v>120</v>
      </c>
      <c r="B377">
        <v>250</v>
      </c>
      <c r="C377">
        <v>0.1</v>
      </c>
      <c r="D377">
        <v>10</v>
      </c>
      <c r="E377">
        <v>100</v>
      </c>
      <c r="F377">
        <v>30</v>
      </c>
      <c r="G377">
        <v>3</v>
      </c>
      <c r="Q377">
        <v>36.49</v>
      </c>
      <c r="R377">
        <v>6.89</v>
      </c>
      <c r="S377">
        <v>2.08</v>
      </c>
      <c r="T377">
        <v>36.47</v>
      </c>
      <c r="U377">
        <v>0</v>
      </c>
      <c r="V377">
        <v>2.2658262537681555</v>
      </c>
      <c r="W377">
        <v>0.74958892847355429</v>
      </c>
      <c r="X377">
        <v>18.07</v>
      </c>
      <c r="Y377">
        <v>15.662645000000001</v>
      </c>
      <c r="Z377">
        <v>53.84</v>
      </c>
      <c r="AA377">
        <v>4.74</v>
      </c>
      <c r="AB377">
        <v>3.55</v>
      </c>
      <c r="AC377">
        <v>28.84</v>
      </c>
      <c r="AE377">
        <v>1.0564635958395245</v>
      </c>
      <c r="AF377">
        <v>0.4017459138187221</v>
      </c>
      <c r="AG377">
        <v>9.0399999999999991</v>
      </c>
      <c r="AH377">
        <v>19.818700000000003</v>
      </c>
      <c r="AI377">
        <v>44</v>
      </c>
    </row>
    <row r="378" spans="1:36" x14ac:dyDescent="0.5">
      <c r="A378">
        <v>120</v>
      </c>
      <c r="B378">
        <v>250</v>
      </c>
      <c r="C378">
        <v>0.1</v>
      </c>
      <c r="D378">
        <v>10</v>
      </c>
      <c r="E378">
        <v>100</v>
      </c>
      <c r="F378">
        <v>30</v>
      </c>
      <c r="G378">
        <v>3</v>
      </c>
      <c r="Q378">
        <v>42.55</v>
      </c>
      <c r="R378">
        <v>6.01</v>
      </c>
      <c r="S378">
        <v>1.46</v>
      </c>
      <c r="T378">
        <v>43.01</v>
      </c>
      <c r="U378">
        <v>0</v>
      </c>
      <c r="V378">
        <v>1.6949471210340776</v>
      </c>
      <c r="W378">
        <v>0.75810810810810814</v>
      </c>
      <c r="X378">
        <v>6.97</v>
      </c>
      <c r="Y378">
        <v>15.286894999999999</v>
      </c>
      <c r="Z378">
        <v>53.25</v>
      </c>
      <c r="AA378">
        <v>5.46</v>
      </c>
      <c r="AB378">
        <v>1.8</v>
      </c>
      <c r="AC378">
        <v>33.340000000000003</v>
      </c>
      <c r="AE378">
        <v>1.2304225352112677</v>
      </c>
      <c r="AF378">
        <v>0.46957746478873247</v>
      </c>
      <c r="AG378">
        <v>6.16</v>
      </c>
      <c r="AH378">
        <v>19.844189999999998</v>
      </c>
      <c r="AI378">
        <v>69.09</v>
      </c>
    </row>
    <row r="379" spans="1:36" x14ac:dyDescent="0.5">
      <c r="A379">
        <v>120</v>
      </c>
      <c r="B379">
        <v>250</v>
      </c>
      <c r="C379">
        <v>0.1</v>
      </c>
      <c r="D379">
        <v>10</v>
      </c>
      <c r="E379">
        <v>100</v>
      </c>
      <c r="F379">
        <v>30</v>
      </c>
      <c r="G379">
        <v>3</v>
      </c>
      <c r="Q379">
        <v>32.18</v>
      </c>
      <c r="R379">
        <v>6.56</v>
      </c>
      <c r="S379">
        <v>2.1</v>
      </c>
      <c r="T379">
        <v>43.53</v>
      </c>
      <c r="U379">
        <v>0</v>
      </c>
      <c r="V379">
        <v>2.4462399005593536</v>
      </c>
      <c r="W379">
        <v>1.0145276569297701</v>
      </c>
      <c r="X379">
        <v>15.63</v>
      </c>
      <c r="Y379">
        <v>12.474415</v>
      </c>
      <c r="Z379">
        <v>44.78</v>
      </c>
      <c r="AA379">
        <v>4.2699999999999996</v>
      </c>
      <c r="AB379">
        <v>2.12</v>
      </c>
      <c r="AC379">
        <v>34.24</v>
      </c>
      <c r="AE379">
        <v>1.1442608307280033</v>
      </c>
      <c r="AF379">
        <v>0.57347029924073245</v>
      </c>
      <c r="AG379">
        <v>14.58</v>
      </c>
      <c r="AH379">
        <v>15.121360000000001</v>
      </c>
      <c r="AI379">
        <v>24.59</v>
      </c>
    </row>
    <row r="380" spans="1:36" x14ac:dyDescent="0.5">
      <c r="A380">
        <v>120</v>
      </c>
      <c r="B380">
        <v>180</v>
      </c>
      <c r="C380">
        <v>0.1</v>
      </c>
      <c r="D380">
        <v>3</v>
      </c>
      <c r="E380">
        <v>50</v>
      </c>
      <c r="F380">
        <v>30</v>
      </c>
      <c r="G380">
        <v>10</v>
      </c>
      <c r="N380">
        <v>7.33</v>
      </c>
      <c r="O380">
        <v>78.84</v>
      </c>
      <c r="P380">
        <v>13.44</v>
      </c>
      <c r="Q380">
        <v>55.64</v>
      </c>
      <c r="R380">
        <v>7.28</v>
      </c>
      <c r="S380">
        <v>4.91</v>
      </c>
      <c r="T380">
        <v>32.15</v>
      </c>
      <c r="U380">
        <v>0.02</v>
      </c>
      <c r="V380">
        <v>1.5700934579439252</v>
      </c>
      <c r="W380">
        <v>0.4333662832494608</v>
      </c>
      <c r="X380">
        <v>0.36</v>
      </c>
      <c r="Y380">
        <v>19.41</v>
      </c>
      <c r="Z380">
        <v>56.72</v>
      </c>
      <c r="AA380">
        <v>8</v>
      </c>
      <c r="AB380">
        <v>1.33</v>
      </c>
      <c r="AC380">
        <v>33.869999999999997</v>
      </c>
      <c r="AD380">
        <v>0.08</v>
      </c>
      <c r="AE380">
        <v>1.692524682651622</v>
      </c>
      <c r="AF380">
        <v>0.44785789844851903</v>
      </c>
      <c r="AG380">
        <v>0.16</v>
      </c>
      <c r="AH380">
        <v>20.059999999999999</v>
      </c>
      <c r="AI380">
        <v>74</v>
      </c>
      <c r="AJ380" t="s">
        <v>111</v>
      </c>
    </row>
    <row r="381" spans="1:36" x14ac:dyDescent="0.5">
      <c r="A381">
        <v>120</v>
      </c>
      <c r="B381">
        <v>200</v>
      </c>
      <c r="C381">
        <v>0.1</v>
      </c>
      <c r="D381">
        <v>3</v>
      </c>
      <c r="E381">
        <v>50</v>
      </c>
      <c r="F381">
        <v>30</v>
      </c>
      <c r="G381">
        <v>10</v>
      </c>
      <c r="N381">
        <v>7.33</v>
      </c>
      <c r="O381">
        <v>78.84</v>
      </c>
      <c r="P381">
        <v>13.44</v>
      </c>
      <c r="Q381">
        <v>55.64</v>
      </c>
      <c r="R381">
        <v>7.28</v>
      </c>
      <c r="S381">
        <v>4.91</v>
      </c>
      <c r="T381">
        <v>32.15</v>
      </c>
      <c r="U381">
        <v>0.02</v>
      </c>
      <c r="V381">
        <v>1.5700934579439252</v>
      </c>
      <c r="W381">
        <v>0.4333662832494608</v>
      </c>
      <c r="X381">
        <v>0.36</v>
      </c>
      <c r="Y381">
        <v>19.41</v>
      </c>
      <c r="Z381">
        <v>60.69</v>
      </c>
      <c r="AA381">
        <v>7.69</v>
      </c>
      <c r="AB381">
        <v>1.31</v>
      </c>
      <c r="AC381">
        <v>30.26</v>
      </c>
      <c r="AD381">
        <v>0.05</v>
      </c>
      <c r="AE381">
        <v>1.5205140879881365</v>
      </c>
      <c r="AF381">
        <v>0.37394957983193278</v>
      </c>
      <c r="AG381">
        <v>0.17</v>
      </c>
      <c r="AH381">
        <v>21.53</v>
      </c>
      <c r="AI381">
        <v>70</v>
      </c>
    </row>
    <row r="382" spans="1:36" x14ac:dyDescent="0.5">
      <c r="A382">
        <v>120</v>
      </c>
      <c r="B382">
        <v>220</v>
      </c>
      <c r="C382">
        <v>0.1</v>
      </c>
      <c r="D382">
        <v>3</v>
      </c>
      <c r="E382">
        <v>50</v>
      </c>
      <c r="F382">
        <v>30</v>
      </c>
      <c r="G382">
        <v>10</v>
      </c>
      <c r="N382">
        <v>7.33</v>
      </c>
      <c r="O382">
        <v>78.84</v>
      </c>
      <c r="P382">
        <v>13.44</v>
      </c>
      <c r="Q382">
        <v>55.64</v>
      </c>
      <c r="R382">
        <v>7.28</v>
      </c>
      <c r="S382">
        <v>4.91</v>
      </c>
      <c r="T382">
        <v>32.15</v>
      </c>
      <c r="U382">
        <v>0.02</v>
      </c>
      <c r="V382">
        <v>1.5700934579439252</v>
      </c>
      <c r="W382">
        <v>0.4333662832494608</v>
      </c>
      <c r="X382">
        <v>0.36</v>
      </c>
      <c r="Y382">
        <v>19.41</v>
      </c>
      <c r="Z382">
        <v>65.34</v>
      </c>
      <c r="AA382">
        <v>7.57</v>
      </c>
      <c r="AB382">
        <v>0.88</v>
      </c>
      <c r="AC382">
        <v>26.17</v>
      </c>
      <c r="AD382">
        <v>0.04</v>
      </c>
      <c r="AE382">
        <v>1.3902662993572084</v>
      </c>
      <c r="AF382">
        <v>0.30039026629935722</v>
      </c>
      <c r="AG382">
        <v>0.17</v>
      </c>
      <c r="AH382">
        <v>23.21</v>
      </c>
      <c r="AI382">
        <v>65</v>
      </c>
    </row>
    <row r="383" spans="1:36" x14ac:dyDescent="0.5">
      <c r="A383">
        <v>120</v>
      </c>
      <c r="B383">
        <v>240</v>
      </c>
      <c r="C383">
        <v>0.1</v>
      </c>
      <c r="D383">
        <v>3</v>
      </c>
      <c r="E383">
        <v>50</v>
      </c>
      <c r="F383">
        <v>30</v>
      </c>
      <c r="G383">
        <v>10</v>
      </c>
      <c r="N383">
        <v>7.33</v>
      </c>
      <c r="O383">
        <v>78.84</v>
      </c>
      <c r="P383">
        <v>13.44</v>
      </c>
      <c r="Q383">
        <v>55.64</v>
      </c>
      <c r="R383">
        <v>7.28</v>
      </c>
      <c r="S383">
        <v>4.91</v>
      </c>
      <c r="T383">
        <v>32.15</v>
      </c>
      <c r="U383">
        <v>0.02</v>
      </c>
      <c r="V383">
        <v>1.5700934579439252</v>
      </c>
      <c r="W383">
        <v>0.4333662832494608</v>
      </c>
      <c r="X383">
        <v>0.36</v>
      </c>
      <c r="Y383">
        <v>19.41</v>
      </c>
      <c r="Z383">
        <v>74.58</v>
      </c>
      <c r="AA383">
        <v>6.27</v>
      </c>
      <c r="AB383">
        <v>5.01</v>
      </c>
      <c r="AC383">
        <v>14.13</v>
      </c>
      <c r="AD383">
        <v>0.01</v>
      </c>
      <c r="AE383">
        <v>1.0088495575221239</v>
      </c>
      <c r="AF383">
        <v>0.14209573612228479</v>
      </c>
      <c r="AG383">
        <v>0.25</v>
      </c>
      <c r="AH383">
        <v>26.85</v>
      </c>
      <c r="AI383">
        <v>54</v>
      </c>
    </row>
    <row r="384" spans="1:36" x14ac:dyDescent="0.5">
      <c r="A384">
        <v>60</v>
      </c>
      <c r="B384">
        <v>180</v>
      </c>
      <c r="C384">
        <v>0.1</v>
      </c>
      <c r="D384">
        <v>12</v>
      </c>
      <c r="E384">
        <v>50</v>
      </c>
      <c r="F384">
        <v>36</v>
      </c>
      <c r="G384">
        <v>3</v>
      </c>
      <c r="Q384">
        <v>35.799999999999997</v>
      </c>
      <c r="R384">
        <v>4.8</v>
      </c>
      <c r="S384">
        <v>2.1</v>
      </c>
      <c r="T384">
        <v>24.6</v>
      </c>
      <c r="U384">
        <v>0.5</v>
      </c>
      <c r="V384">
        <v>1.6089385474860336</v>
      </c>
      <c r="W384">
        <v>0.51536312849162025</v>
      </c>
      <c r="X384">
        <v>32.1</v>
      </c>
      <c r="Y384">
        <v>14.563700000000001</v>
      </c>
      <c r="Z384">
        <v>36.299999999999997</v>
      </c>
      <c r="AA384">
        <v>4.3</v>
      </c>
      <c r="AB384">
        <v>2.4</v>
      </c>
      <c r="AC384">
        <v>16.600000000000001</v>
      </c>
      <c r="AD384">
        <v>0.6</v>
      </c>
      <c r="AE384">
        <v>1.4214876033057851</v>
      </c>
      <c r="AF384">
        <v>0.34297520661157027</v>
      </c>
      <c r="AG384">
        <v>39.799999999999997</v>
      </c>
      <c r="AH384">
        <v>15.446699999999998</v>
      </c>
      <c r="AI384">
        <v>70</v>
      </c>
      <c r="AJ384" t="s">
        <v>79</v>
      </c>
    </row>
    <row r="385" spans="1:36" x14ac:dyDescent="0.5">
      <c r="A385">
        <v>60</v>
      </c>
      <c r="B385">
        <v>210</v>
      </c>
      <c r="C385">
        <v>0.1</v>
      </c>
      <c r="D385">
        <v>12</v>
      </c>
      <c r="E385">
        <v>50</v>
      </c>
      <c r="F385">
        <v>36</v>
      </c>
      <c r="G385">
        <v>3</v>
      </c>
      <c r="Q385">
        <v>35.799999999999997</v>
      </c>
      <c r="R385">
        <v>4.8</v>
      </c>
      <c r="S385">
        <v>2.1</v>
      </c>
      <c r="T385">
        <v>24.6</v>
      </c>
      <c r="U385">
        <v>0.5</v>
      </c>
      <c r="V385">
        <v>1.6089385474860336</v>
      </c>
      <c r="W385">
        <v>0.51536312849162025</v>
      </c>
      <c r="X385">
        <v>32.1</v>
      </c>
      <c r="Y385">
        <v>14.563700000000001</v>
      </c>
      <c r="Z385">
        <v>40.5</v>
      </c>
      <c r="AA385">
        <v>4.4000000000000004</v>
      </c>
      <c r="AB385">
        <v>2.5</v>
      </c>
      <c r="AC385">
        <v>13.7</v>
      </c>
      <c r="AD385">
        <v>0.6</v>
      </c>
      <c r="AE385">
        <v>1.3037037037037038</v>
      </c>
      <c r="AF385">
        <v>0.25370370370370371</v>
      </c>
      <c r="AG385">
        <v>38.200000000000003</v>
      </c>
      <c r="AH385">
        <v>17.52675</v>
      </c>
      <c r="AI385">
        <v>63</v>
      </c>
    </row>
    <row r="386" spans="1:36" x14ac:dyDescent="0.5">
      <c r="A386">
        <v>60</v>
      </c>
      <c r="B386">
        <v>240</v>
      </c>
      <c r="C386">
        <v>0.1</v>
      </c>
      <c r="D386">
        <v>12</v>
      </c>
      <c r="E386">
        <v>50</v>
      </c>
      <c r="F386">
        <v>36</v>
      </c>
      <c r="G386">
        <v>3</v>
      </c>
      <c r="Q386">
        <v>35.799999999999997</v>
      </c>
      <c r="R386">
        <v>4.8</v>
      </c>
      <c r="S386">
        <v>2.1</v>
      </c>
      <c r="T386">
        <v>24.6</v>
      </c>
      <c r="U386">
        <v>0.5</v>
      </c>
      <c r="V386">
        <v>1.6089385474860336</v>
      </c>
      <c r="W386">
        <v>0.51536312849162025</v>
      </c>
      <c r="X386">
        <v>32.1</v>
      </c>
      <c r="Y386">
        <v>14.563700000000001</v>
      </c>
      <c r="Z386">
        <v>41</v>
      </c>
      <c r="AA386">
        <v>4</v>
      </c>
      <c r="AB386">
        <v>2.6</v>
      </c>
      <c r="AC386">
        <v>8.1999999999999993</v>
      </c>
      <c r="AD386">
        <v>0.7</v>
      </c>
      <c r="AE386">
        <v>1.1707317073170733</v>
      </c>
      <c r="AF386">
        <v>0.15</v>
      </c>
      <c r="AG386">
        <v>43.5</v>
      </c>
      <c r="AH386">
        <v>18.106300000000001</v>
      </c>
      <c r="AI386">
        <v>51</v>
      </c>
    </row>
    <row r="387" spans="1:36" x14ac:dyDescent="0.5">
      <c r="A387">
        <v>60</v>
      </c>
      <c r="B387">
        <v>180</v>
      </c>
      <c r="C387">
        <v>0.1</v>
      </c>
      <c r="D387">
        <v>12</v>
      </c>
      <c r="E387">
        <v>50</v>
      </c>
      <c r="F387">
        <v>36</v>
      </c>
      <c r="G387">
        <v>3</v>
      </c>
      <c r="Q387">
        <v>37.700000000000003</v>
      </c>
      <c r="R387">
        <v>5</v>
      </c>
      <c r="S387">
        <v>2.2999999999999998</v>
      </c>
      <c r="T387">
        <v>26.1</v>
      </c>
      <c r="U387">
        <v>0.4</v>
      </c>
      <c r="V387">
        <v>1.5915119363395223</v>
      </c>
      <c r="W387">
        <v>0.51923076923076916</v>
      </c>
      <c r="X387">
        <v>28.5</v>
      </c>
      <c r="Y387">
        <v>15.223750000000001</v>
      </c>
      <c r="Z387">
        <v>40.9</v>
      </c>
      <c r="AA387">
        <v>4.5999999999999996</v>
      </c>
      <c r="AB387">
        <v>2.8</v>
      </c>
      <c r="AC387">
        <v>18.8</v>
      </c>
      <c r="AD387">
        <v>0.6</v>
      </c>
      <c r="AE387">
        <v>1.3496332518337408</v>
      </c>
      <c r="AF387">
        <v>0.34474327628361862</v>
      </c>
      <c r="AG387">
        <v>32.5</v>
      </c>
      <c r="AH387">
        <v>17.037199999999999</v>
      </c>
      <c r="AI387">
        <v>74</v>
      </c>
    </row>
    <row r="388" spans="1:36" x14ac:dyDescent="0.5">
      <c r="A388">
        <v>60</v>
      </c>
      <c r="B388">
        <v>210</v>
      </c>
      <c r="C388">
        <v>0.1</v>
      </c>
      <c r="D388">
        <v>12</v>
      </c>
      <c r="E388">
        <v>50</v>
      </c>
      <c r="F388">
        <v>36</v>
      </c>
      <c r="G388">
        <v>3</v>
      </c>
      <c r="Q388">
        <v>37.700000000000003</v>
      </c>
      <c r="R388">
        <v>5</v>
      </c>
      <c r="S388">
        <v>2.2999999999999998</v>
      </c>
      <c r="T388">
        <v>26.1</v>
      </c>
      <c r="U388">
        <v>0.4</v>
      </c>
      <c r="V388">
        <v>1.5915119363395223</v>
      </c>
      <c r="W388">
        <v>0.51923076923076916</v>
      </c>
      <c r="X388">
        <v>28.5</v>
      </c>
      <c r="Y388">
        <v>15.223750000000001</v>
      </c>
      <c r="Z388">
        <v>45.2</v>
      </c>
      <c r="AA388">
        <v>4.8</v>
      </c>
      <c r="AB388">
        <v>2.9</v>
      </c>
      <c r="AC388">
        <v>11.4</v>
      </c>
      <c r="AD388">
        <v>0.6</v>
      </c>
      <c r="AE388">
        <v>1.2743362831858405</v>
      </c>
      <c r="AF388">
        <v>0.18915929203539822</v>
      </c>
      <c r="AG388">
        <v>35</v>
      </c>
      <c r="AH388">
        <v>20.097100000000001</v>
      </c>
      <c r="AI388">
        <v>66</v>
      </c>
    </row>
    <row r="389" spans="1:36" x14ac:dyDescent="0.5">
      <c r="A389">
        <v>60</v>
      </c>
      <c r="B389">
        <v>240</v>
      </c>
      <c r="C389">
        <v>0.1</v>
      </c>
      <c r="D389">
        <v>12</v>
      </c>
      <c r="E389">
        <v>50</v>
      </c>
      <c r="F389">
        <v>36</v>
      </c>
      <c r="G389">
        <v>3</v>
      </c>
      <c r="Q389">
        <v>37.700000000000003</v>
      </c>
      <c r="R389">
        <v>5</v>
      </c>
      <c r="S389">
        <v>2.2999999999999998</v>
      </c>
      <c r="T389">
        <v>26.1</v>
      </c>
      <c r="U389">
        <v>0.4</v>
      </c>
      <c r="V389">
        <v>1.5915119363395223</v>
      </c>
      <c r="W389">
        <v>0.51923076923076916</v>
      </c>
      <c r="X389">
        <v>28.5</v>
      </c>
      <c r="Y389">
        <v>15.223750000000001</v>
      </c>
      <c r="Z389">
        <v>45</v>
      </c>
      <c r="AA389">
        <v>4.5999999999999996</v>
      </c>
      <c r="AB389">
        <v>2.9</v>
      </c>
      <c r="AC389">
        <v>8.6999999999999993</v>
      </c>
      <c r="AD389">
        <v>0.6</v>
      </c>
      <c r="AE389">
        <v>1.2266666666666666</v>
      </c>
      <c r="AF389">
        <v>0.14499999999999999</v>
      </c>
      <c r="AG389">
        <v>38.299999999999997</v>
      </c>
      <c r="AH389">
        <v>20.225850000000001</v>
      </c>
      <c r="AI389">
        <v>59</v>
      </c>
    </row>
    <row r="390" spans="1:36" x14ac:dyDescent="0.5">
      <c r="A390">
        <v>60</v>
      </c>
      <c r="B390">
        <v>180</v>
      </c>
      <c r="C390">
        <v>0.1</v>
      </c>
      <c r="D390">
        <v>12</v>
      </c>
      <c r="E390">
        <v>50</v>
      </c>
      <c r="F390">
        <v>36</v>
      </c>
      <c r="G390">
        <v>3</v>
      </c>
      <c r="Q390">
        <v>26.8</v>
      </c>
      <c r="R390">
        <v>3.4</v>
      </c>
      <c r="S390">
        <v>1.7</v>
      </c>
      <c r="T390">
        <v>22.8</v>
      </c>
      <c r="U390">
        <v>0.4</v>
      </c>
      <c r="V390">
        <v>1.5223880597014925</v>
      </c>
      <c r="W390">
        <v>0.63805970149253732</v>
      </c>
      <c r="X390">
        <v>44.8</v>
      </c>
      <c r="Y390">
        <v>9.8437999999999999</v>
      </c>
      <c r="Z390">
        <v>28.9</v>
      </c>
      <c r="AA390">
        <v>3.4</v>
      </c>
      <c r="AB390">
        <v>1.8</v>
      </c>
      <c r="AC390">
        <v>16.2</v>
      </c>
      <c r="AD390">
        <v>0.2</v>
      </c>
      <c r="AE390">
        <v>1.411764705882353</v>
      </c>
      <c r="AF390">
        <v>0.42041522491349481</v>
      </c>
      <c r="AG390">
        <v>49.5</v>
      </c>
      <c r="AH390">
        <v>11.7317</v>
      </c>
      <c r="AI390">
        <v>80</v>
      </c>
    </row>
    <row r="391" spans="1:36" x14ac:dyDescent="0.5">
      <c r="A391">
        <v>60</v>
      </c>
      <c r="B391">
        <v>210</v>
      </c>
      <c r="C391">
        <v>0.1</v>
      </c>
      <c r="D391">
        <v>12</v>
      </c>
      <c r="E391">
        <v>50</v>
      </c>
      <c r="F391">
        <v>36</v>
      </c>
      <c r="G391">
        <v>3</v>
      </c>
      <c r="Q391">
        <v>26.8</v>
      </c>
      <c r="R391">
        <v>3.4</v>
      </c>
      <c r="S391">
        <v>1.7</v>
      </c>
      <c r="T391">
        <v>22.8</v>
      </c>
      <c r="U391">
        <v>0.4</v>
      </c>
      <c r="V391">
        <v>1.5223880597014925</v>
      </c>
      <c r="W391">
        <v>0.63805970149253732</v>
      </c>
      <c r="X391">
        <v>44.8</v>
      </c>
      <c r="Y391">
        <v>9.8437999999999999</v>
      </c>
      <c r="Z391">
        <v>31.4</v>
      </c>
      <c r="AA391">
        <v>3.5</v>
      </c>
      <c r="AB391">
        <v>1.9</v>
      </c>
      <c r="AC391">
        <v>9.1</v>
      </c>
      <c r="AD391">
        <v>0.4</v>
      </c>
      <c r="AE391">
        <v>1.3375796178343948</v>
      </c>
      <c r="AF391">
        <v>0.21735668789808915</v>
      </c>
      <c r="AG391">
        <v>53.7</v>
      </c>
      <c r="AH391">
        <v>13.98685</v>
      </c>
      <c r="AI391">
        <v>77</v>
      </c>
    </row>
    <row r="392" spans="1:36" x14ac:dyDescent="0.5">
      <c r="A392">
        <v>60</v>
      </c>
      <c r="B392">
        <v>240</v>
      </c>
      <c r="C392">
        <v>0.1</v>
      </c>
      <c r="D392">
        <v>12</v>
      </c>
      <c r="E392">
        <v>50</v>
      </c>
      <c r="F392">
        <v>36</v>
      </c>
      <c r="G392">
        <v>3</v>
      </c>
      <c r="Q392">
        <v>26.8</v>
      </c>
      <c r="R392">
        <v>3.4</v>
      </c>
      <c r="S392">
        <v>1.7</v>
      </c>
      <c r="T392">
        <v>22.8</v>
      </c>
      <c r="U392">
        <v>0.4</v>
      </c>
      <c r="V392">
        <v>1.5223880597014925</v>
      </c>
      <c r="W392">
        <v>0.63805970149253732</v>
      </c>
      <c r="X392">
        <v>44.8</v>
      </c>
      <c r="Y392">
        <v>9.8437999999999999</v>
      </c>
      <c r="Z392">
        <v>32.5</v>
      </c>
      <c r="AA392">
        <v>3.3</v>
      </c>
      <c r="AB392">
        <v>1.9</v>
      </c>
      <c r="AC392">
        <v>3.2</v>
      </c>
      <c r="AD392">
        <v>0.5</v>
      </c>
      <c r="AE392">
        <v>1.2184615384615383</v>
      </c>
      <c r="AF392">
        <v>7.3846153846153853E-2</v>
      </c>
      <c r="AG392">
        <v>58.6</v>
      </c>
      <c r="AH392">
        <v>15.126200000000001</v>
      </c>
      <c r="AI392">
        <v>68</v>
      </c>
    </row>
    <row r="393" spans="1:36" x14ac:dyDescent="0.5">
      <c r="A393">
        <v>60</v>
      </c>
      <c r="B393">
        <v>180</v>
      </c>
      <c r="C393">
        <v>0.1</v>
      </c>
      <c r="D393">
        <v>12</v>
      </c>
      <c r="E393">
        <v>50</v>
      </c>
      <c r="F393">
        <v>36</v>
      </c>
      <c r="G393">
        <v>3</v>
      </c>
      <c r="Q393">
        <v>28.2</v>
      </c>
      <c r="R393">
        <v>3.6</v>
      </c>
      <c r="S393">
        <v>1.7</v>
      </c>
      <c r="T393">
        <v>20.3</v>
      </c>
      <c r="U393">
        <v>0.4</v>
      </c>
      <c r="V393">
        <v>1.5319148936170213</v>
      </c>
      <c r="W393">
        <v>0.53989361702127658</v>
      </c>
      <c r="X393">
        <v>45.7</v>
      </c>
      <c r="Y393">
        <v>11.048850000000002</v>
      </c>
      <c r="Z393">
        <v>36.700000000000003</v>
      </c>
      <c r="AA393">
        <v>4.2</v>
      </c>
      <c r="AB393">
        <v>2.2999999999999998</v>
      </c>
      <c r="AC393">
        <v>12.9</v>
      </c>
      <c r="AD393">
        <v>0.5</v>
      </c>
      <c r="AE393">
        <v>1.3732970027247955</v>
      </c>
      <c r="AF393">
        <v>0.26362397820163486</v>
      </c>
      <c r="AG393">
        <v>43.4</v>
      </c>
      <c r="AH393">
        <v>16.099550000000001</v>
      </c>
      <c r="AI393">
        <v>88</v>
      </c>
    </row>
    <row r="394" spans="1:36" x14ac:dyDescent="0.5">
      <c r="A394">
        <v>60</v>
      </c>
      <c r="B394">
        <v>210</v>
      </c>
      <c r="C394">
        <v>0.1</v>
      </c>
      <c r="D394">
        <v>12</v>
      </c>
      <c r="E394">
        <v>50</v>
      </c>
      <c r="F394">
        <v>36</v>
      </c>
      <c r="G394">
        <v>3</v>
      </c>
      <c r="Q394">
        <v>28.2</v>
      </c>
      <c r="R394">
        <v>3.6</v>
      </c>
      <c r="S394">
        <v>1.7</v>
      </c>
      <c r="T394">
        <v>20.3</v>
      </c>
      <c r="U394">
        <v>0.4</v>
      </c>
      <c r="V394">
        <v>1.5319148936170213</v>
      </c>
      <c r="W394">
        <v>0.53989361702127658</v>
      </c>
      <c r="X394">
        <v>45.7</v>
      </c>
      <c r="Y394">
        <v>11.048850000000002</v>
      </c>
      <c r="Z394">
        <v>35.5</v>
      </c>
      <c r="AA394">
        <v>3.8</v>
      </c>
      <c r="AB394">
        <v>2.1</v>
      </c>
      <c r="AC394">
        <v>13.6</v>
      </c>
      <c r="AD394">
        <v>0.4</v>
      </c>
      <c r="AE394">
        <v>1.284507042253521</v>
      </c>
      <c r="AF394">
        <v>0.28732394366197184</v>
      </c>
      <c r="AG394">
        <v>44.6</v>
      </c>
      <c r="AH394">
        <v>14.9978</v>
      </c>
      <c r="AI394">
        <v>84</v>
      </c>
    </row>
    <row r="395" spans="1:36" x14ac:dyDescent="0.5">
      <c r="A395">
        <v>60</v>
      </c>
      <c r="B395">
        <v>240</v>
      </c>
      <c r="C395">
        <v>0.1</v>
      </c>
      <c r="D395">
        <v>12</v>
      </c>
      <c r="E395">
        <v>50</v>
      </c>
      <c r="F395">
        <v>36</v>
      </c>
      <c r="G395">
        <v>3</v>
      </c>
      <c r="Q395">
        <v>28.2</v>
      </c>
      <c r="R395">
        <v>3.6</v>
      </c>
      <c r="S395">
        <v>1.7</v>
      </c>
      <c r="T395">
        <v>20.3</v>
      </c>
      <c r="U395">
        <v>0.4</v>
      </c>
      <c r="V395">
        <v>1.5319148936170213</v>
      </c>
      <c r="W395">
        <v>0.53989361702127658</v>
      </c>
      <c r="X395">
        <v>45.7</v>
      </c>
      <c r="Y395">
        <v>11.048850000000002</v>
      </c>
      <c r="Z395">
        <v>37.700000000000003</v>
      </c>
      <c r="AA395">
        <v>3.9</v>
      </c>
      <c r="AB395">
        <v>2.2000000000000002</v>
      </c>
      <c r="AC395">
        <v>6</v>
      </c>
      <c r="AD395">
        <v>0.3</v>
      </c>
      <c r="AE395">
        <v>1.2413793103448274</v>
      </c>
      <c r="AF395">
        <v>0.11936339522546417</v>
      </c>
      <c r="AG395">
        <v>49.9</v>
      </c>
      <c r="AH395">
        <v>17.2408</v>
      </c>
      <c r="AI395">
        <v>71</v>
      </c>
    </row>
    <row r="396" spans="1:36" x14ac:dyDescent="0.5">
      <c r="A396">
        <v>120</v>
      </c>
      <c r="B396">
        <v>160</v>
      </c>
      <c r="C396">
        <v>0.1</v>
      </c>
      <c r="D396">
        <v>15</v>
      </c>
      <c r="E396">
        <v>200</v>
      </c>
      <c r="F396">
        <v>135</v>
      </c>
      <c r="G396">
        <v>9</v>
      </c>
      <c r="O396">
        <v>87.69</v>
      </c>
      <c r="P396">
        <v>3.66</v>
      </c>
      <c r="Q396">
        <v>46.59</v>
      </c>
      <c r="R396">
        <v>6.91</v>
      </c>
      <c r="S396">
        <v>10.53</v>
      </c>
      <c r="T396">
        <v>35.4</v>
      </c>
      <c r="U396">
        <v>0.56999999999999995</v>
      </c>
      <c r="V396">
        <v>1.7797810688989053</v>
      </c>
      <c r="W396">
        <v>0.56986477784932388</v>
      </c>
      <c r="X396">
        <v>8.65</v>
      </c>
      <c r="Y396">
        <v>18.100000000000001</v>
      </c>
      <c r="Z396">
        <v>47.33</v>
      </c>
      <c r="AA396">
        <v>7.01</v>
      </c>
      <c r="AB396">
        <v>9.6</v>
      </c>
      <c r="AC396">
        <v>35.299999999999997</v>
      </c>
      <c r="AD396">
        <v>0.76</v>
      </c>
      <c r="AE396">
        <v>1.7773082611451512</v>
      </c>
      <c r="AF396">
        <v>0.55937037819564761</v>
      </c>
      <c r="AG396">
        <v>5.6</v>
      </c>
      <c r="AH396">
        <v>18.399999999999999</v>
      </c>
      <c r="AI396">
        <v>57.69</v>
      </c>
      <c r="AJ396" t="s">
        <v>114</v>
      </c>
    </row>
    <row r="397" spans="1:36" x14ac:dyDescent="0.5">
      <c r="A397">
        <v>120</v>
      </c>
      <c r="B397">
        <v>160</v>
      </c>
      <c r="C397">
        <v>0.1</v>
      </c>
      <c r="D397">
        <v>15</v>
      </c>
      <c r="E397">
        <v>200</v>
      </c>
      <c r="F397">
        <v>135</v>
      </c>
      <c r="G397">
        <v>9</v>
      </c>
      <c r="O397">
        <v>87.69</v>
      </c>
      <c r="P397">
        <v>3.66</v>
      </c>
      <c r="Q397">
        <v>46.59</v>
      </c>
      <c r="R397">
        <v>6.91</v>
      </c>
      <c r="S397">
        <v>10.53</v>
      </c>
      <c r="T397">
        <v>35.4</v>
      </c>
      <c r="U397">
        <v>0.56999999999999995</v>
      </c>
      <c r="V397">
        <v>1.7797810688989053</v>
      </c>
      <c r="W397">
        <v>0.56986477784932388</v>
      </c>
      <c r="X397">
        <v>8.65</v>
      </c>
      <c r="Y397">
        <v>18.100000000000001</v>
      </c>
      <c r="Z397">
        <v>47.25</v>
      </c>
      <c r="AA397">
        <v>7.04</v>
      </c>
      <c r="AB397">
        <v>9.5500000000000007</v>
      </c>
      <c r="AC397">
        <v>35.44</v>
      </c>
      <c r="AD397">
        <v>0.72</v>
      </c>
      <c r="AE397">
        <v>1.7879365079365079</v>
      </c>
      <c r="AF397">
        <v>0.56253968253968245</v>
      </c>
      <c r="AG397">
        <v>6.32</v>
      </c>
      <c r="AH397">
        <v>18.39</v>
      </c>
      <c r="AI397">
        <v>60.18</v>
      </c>
    </row>
    <row r="398" spans="1:36" x14ac:dyDescent="0.5">
      <c r="A398">
        <v>120</v>
      </c>
      <c r="B398">
        <v>160</v>
      </c>
      <c r="C398">
        <v>0.1</v>
      </c>
      <c r="D398">
        <v>15</v>
      </c>
      <c r="E398">
        <v>200</v>
      </c>
      <c r="F398">
        <v>135</v>
      </c>
      <c r="G398">
        <v>9</v>
      </c>
      <c r="O398">
        <v>87.69</v>
      </c>
      <c r="P398">
        <v>3.66</v>
      </c>
      <c r="Q398">
        <v>46.59</v>
      </c>
      <c r="R398">
        <v>6.91</v>
      </c>
      <c r="S398">
        <v>10.53</v>
      </c>
      <c r="T398">
        <v>35.4</v>
      </c>
      <c r="U398">
        <v>0.56999999999999995</v>
      </c>
      <c r="V398">
        <v>1.7797810688989053</v>
      </c>
      <c r="W398">
        <v>0.56986477784932388</v>
      </c>
      <c r="X398">
        <v>8.65</v>
      </c>
      <c r="Y398">
        <v>18.100000000000001</v>
      </c>
      <c r="Z398">
        <v>47.69</v>
      </c>
      <c r="AA398">
        <v>7.03</v>
      </c>
      <c r="AB398">
        <v>9.59</v>
      </c>
      <c r="AC398">
        <v>34.85</v>
      </c>
      <c r="AD398">
        <v>0.84</v>
      </c>
      <c r="AE398">
        <v>1.7689243027888446</v>
      </c>
      <c r="AF398">
        <v>0.5480708743971483</v>
      </c>
      <c r="AG398">
        <v>5.67</v>
      </c>
      <c r="AH398">
        <v>18.63</v>
      </c>
      <c r="AI398">
        <v>58.99</v>
      </c>
    </row>
    <row r="399" spans="1:36" x14ac:dyDescent="0.5">
      <c r="A399">
        <v>120</v>
      </c>
      <c r="B399">
        <v>160</v>
      </c>
      <c r="C399">
        <v>0.1</v>
      </c>
      <c r="D399">
        <v>15</v>
      </c>
      <c r="E399">
        <v>200</v>
      </c>
      <c r="F399">
        <v>135</v>
      </c>
      <c r="G399">
        <v>9</v>
      </c>
      <c r="O399">
        <v>87.69</v>
      </c>
      <c r="P399">
        <v>3.66</v>
      </c>
      <c r="Q399">
        <v>46.59</v>
      </c>
      <c r="R399">
        <v>6.91</v>
      </c>
      <c r="S399">
        <v>10.53</v>
      </c>
      <c r="T399">
        <v>35.4</v>
      </c>
      <c r="U399">
        <v>0.56999999999999995</v>
      </c>
      <c r="V399">
        <v>1.7797810688989053</v>
      </c>
      <c r="W399">
        <v>0.56986477784932388</v>
      </c>
      <c r="X399">
        <v>8.65</v>
      </c>
      <c r="Y399">
        <v>18.100000000000001</v>
      </c>
      <c r="Z399">
        <v>47.15</v>
      </c>
      <c r="AA399">
        <v>7.05</v>
      </c>
      <c r="AB399">
        <v>9.7200000000000006</v>
      </c>
      <c r="AC399">
        <v>35.11</v>
      </c>
      <c r="AD399">
        <v>0.97</v>
      </c>
      <c r="AE399">
        <v>1.794273594909862</v>
      </c>
      <c r="AF399">
        <v>0.55848356309650049</v>
      </c>
      <c r="AG399">
        <v>6.28</v>
      </c>
      <c r="AH399">
        <v>18.43</v>
      </c>
      <c r="AI399">
        <v>63.09</v>
      </c>
    </row>
    <row r="400" spans="1:36" x14ac:dyDescent="0.5">
      <c r="A400">
        <v>120</v>
      </c>
      <c r="B400">
        <v>160</v>
      </c>
      <c r="C400">
        <v>0.1</v>
      </c>
      <c r="D400">
        <v>15</v>
      </c>
      <c r="E400">
        <v>200</v>
      </c>
      <c r="F400">
        <v>135</v>
      </c>
      <c r="G400">
        <v>9</v>
      </c>
      <c r="O400">
        <v>87.69</v>
      </c>
      <c r="P400">
        <v>3.66</v>
      </c>
      <c r="Q400">
        <v>46.59</v>
      </c>
      <c r="R400">
        <v>6.91</v>
      </c>
      <c r="S400">
        <v>10.53</v>
      </c>
      <c r="T400">
        <v>35.4</v>
      </c>
      <c r="U400">
        <v>0.56999999999999995</v>
      </c>
      <c r="V400">
        <v>1.7797810688989053</v>
      </c>
      <c r="W400">
        <v>0.56986477784932388</v>
      </c>
      <c r="X400">
        <v>8.65</v>
      </c>
      <c r="Y400">
        <v>18.100000000000001</v>
      </c>
      <c r="Z400">
        <v>46.96</v>
      </c>
      <c r="AA400">
        <v>6.97</v>
      </c>
      <c r="AB400">
        <v>9.82</v>
      </c>
      <c r="AC400">
        <v>34.770000000000003</v>
      </c>
      <c r="AD400">
        <v>1.48</v>
      </c>
      <c r="AE400">
        <v>1.7810902896081771</v>
      </c>
      <c r="AF400">
        <v>0.5553130323679728</v>
      </c>
      <c r="AG400">
        <v>6.37</v>
      </c>
      <c r="AH400">
        <v>18.329999999999998</v>
      </c>
      <c r="AI400">
        <v>59.97</v>
      </c>
    </row>
    <row r="401" spans="1:36" x14ac:dyDescent="0.5">
      <c r="A401">
        <v>120</v>
      </c>
      <c r="B401">
        <v>180</v>
      </c>
      <c r="C401">
        <v>0.1</v>
      </c>
      <c r="D401">
        <v>15</v>
      </c>
      <c r="E401">
        <v>200</v>
      </c>
      <c r="F401">
        <v>135</v>
      </c>
      <c r="G401">
        <v>9</v>
      </c>
      <c r="O401">
        <v>87.69</v>
      </c>
      <c r="P401">
        <v>3.66</v>
      </c>
      <c r="Q401">
        <v>46.59</v>
      </c>
      <c r="R401">
        <v>6.91</v>
      </c>
      <c r="S401">
        <v>10.53</v>
      </c>
      <c r="T401">
        <v>35.4</v>
      </c>
      <c r="U401">
        <v>0.56999999999999995</v>
      </c>
      <c r="V401">
        <v>1.7797810688989053</v>
      </c>
      <c r="W401">
        <v>0.56986477784932388</v>
      </c>
      <c r="X401">
        <v>8.65</v>
      </c>
      <c r="Y401">
        <v>18.100000000000001</v>
      </c>
      <c r="Z401">
        <v>49.08</v>
      </c>
      <c r="AA401">
        <v>7.14</v>
      </c>
      <c r="AB401">
        <v>9.2100000000000009</v>
      </c>
      <c r="AC401">
        <v>33.869999999999997</v>
      </c>
      <c r="AD401">
        <v>0.7</v>
      </c>
      <c r="AE401">
        <v>1.745721271393643</v>
      </c>
      <c r="AF401">
        <v>0.51757334963325186</v>
      </c>
      <c r="AG401">
        <v>6.1</v>
      </c>
      <c r="AH401">
        <v>19.41</v>
      </c>
      <c r="AI401">
        <v>47.26</v>
      </c>
    </row>
    <row r="402" spans="1:36" x14ac:dyDescent="0.5">
      <c r="A402">
        <v>120</v>
      </c>
      <c r="B402">
        <v>180</v>
      </c>
      <c r="C402">
        <v>0.1</v>
      </c>
      <c r="D402">
        <v>15</v>
      </c>
      <c r="E402">
        <v>200</v>
      </c>
      <c r="F402">
        <v>135</v>
      </c>
      <c r="G402">
        <v>9</v>
      </c>
      <c r="O402">
        <v>87.69</v>
      </c>
      <c r="P402">
        <v>3.66</v>
      </c>
      <c r="Q402">
        <v>46.59</v>
      </c>
      <c r="R402">
        <v>6.91</v>
      </c>
      <c r="S402">
        <v>10.53</v>
      </c>
      <c r="T402">
        <v>35.4</v>
      </c>
      <c r="U402">
        <v>0.56999999999999995</v>
      </c>
      <c r="V402">
        <v>1.7797810688989053</v>
      </c>
      <c r="W402">
        <v>0.56986477784932388</v>
      </c>
      <c r="X402">
        <v>8.65</v>
      </c>
      <c r="Y402">
        <v>18.100000000000001</v>
      </c>
      <c r="Z402">
        <v>49.18</v>
      </c>
      <c r="AA402">
        <v>7.16</v>
      </c>
      <c r="AB402">
        <v>9.2200000000000006</v>
      </c>
      <c r="AC402">
        <v>33.69</v>
      </c>
      <c r="AD402">
        <v>0.75</v>
      </c>
      <c r="AE402">
        <v>1.74705164701098</v>
      </c>
      <c r="AF402">
        <v>0.51377592517283444</v>
      </c>
      <c r="AG402">
        <v>5.34</v>
      </c>
      <c r="AH402">
        <v>19.5</v>
      </c>
      <c r="AI402">
        <v>46.48</v>
      </c>
    </row>
    <row r="403" spans="1:36" x14ac:dyDescent="0.5">
      <c r="A403">
        <v>120</v>
      </c>
      <c r="B403">
        <v>180</v>
      </c>
      <c r="C403">
        <v>0.1</v>
      </c>
      <c r="D403">
        <v>15</v>
      </c>
      <c r="E403">
        <v>200</v>
      </c>
      <c r="F403">
        <v>135</v>
      </c>
      <c r="G403">
        <v>9</v>
      </c>
      <c r="O403">
        <v>87.69</v>
      </c>
      <c r="P403">
        <v>3.66</v>
      </c>
      <c r="Q403">
        <v>46.59</v>
      </c>
      <c r="R403">
        <v>6.91</v>
      </c>
      <c r="S403">
        <v>10.53</v>
      </c>
      <c r="T403">
        <v>35.4</v>
      </c>
      <c r="U403">
        <v>0.56999999999999995</v>
      </c>
      <c r="V403">
        <v>1.7797810688989053</v>
      </c>
      <c r="W403">
        <v>0.56986477784932388</v>
      </c>
      <c r="X403">
        <v>8.65</v>
      </c>
      <c r="Y403">
        <v>18.100000000000001</v>
      </c>
      <c r="Z403">
        <v>49.28</v>
      </c>
      <c r="AA403">
        <v>7.12</v>
      </c>
      <c r="AB403">
        <v>9.19</v>
      </c>
      <c r="AC403">
        <v>33.58</v>
      </c>
      <c r="AD403">
        <v>0.83</v>
      </c>
      <c r="AE403">
        <v>1.7337662337662338</v>
      </c>
      <c r="AF403">
        <v>0.51105925324675328</v>
      </c>
      <c r="AG403">
        <v>5.82</v>
      </c>
      <c r="AH403">
        <v>19.510000000000002</v>
      </c>
      <c r="AI403">
        <v>47.31</v>
      </c>
    </row>
    <row r="404" spans="1:36" x14ac:dyDescent="0.5">
      <c r="A404">
        <v>120</v>
      </c>
      <c r="B404">
        <v>180</v>
      </c>
      <c r="C404">
        <v>0.1</v>
      </c>
      <c r="D404">
        <v>15</v>
      </c>
      <c r="E404">
        <v>200</v>
      </c>
      <c r="F404">
        <v>135</v>
      </c>
      <c r="G404">
        <v>9</v>
      </c>
      <c r="O404">
        <v>87.69</v>
      </c>
      <c r="P404">
        <v>3.66</v>
      </c>
      <c r="Q404">
        <v>46.59</v>
      </c>
      <c r="R404">
        <v>6.91</v>
      </c>
      <c r="S404">
        <v>10.53</v>
      </c>
      <c r="T404">
        <v>35.4</v>
      </c>
      <c r="U404">
        <v>0.56999999999999995</v>
      </c>
      <c r="V404">
        <v>1.7797810688989053</v>
      </c>
      <c r="W404">
        <v>0.56986477784932388</v>
      </c>
      <c r="X404">
        <v>8.65</v>
      </c>
      <c r="Y404">
        <v>18.100000000000001</v>
      </c>
      <c r="Z404">
        <v>50.06</v>
      </c>
      <c r="AA404">
        <v>7.06</v>
      </c>
      <c r="AB404">
        <v>9.31</v>
      </c>
      <c r="AC404">
        <v>32.619999999999997</v>
      </c>
      <c r="AD404">
        <v>0.95</v>
      </c>
      <c r="AE404">
        <v>1.692369157011586</v>
      </c>
      <c r="AF404">
        <v>0.48871354374750292</v>
      </c>
      <c r="AG404">
        <v>6.27</v>
      </c>
      <c r="AH404">
        <v>19.87</v>
      </c>
      <c r="AI404">
        <v>44.27</v>
      </c>
    </row>
    <row r="405" spans="1:36" x14ac:dyDescent="0.5">
      <c r="A405">
        <v>120</v>
      </c>
      <c r="B405">
        <v>180</v>
      </c>
      <c r="C405">
        <v>0.1</v>
      </c>
      <c r="D405">
        <v>15</v>
      </c>
      <c r="E405">
        <v>200</v>
      </c>
      <c r="F405">
        <v>135</v>
      </c>
      <c r="G405">
        <v>9</v>
      </c>
      <c r="O405">
        <v>87.69</v>
      </c>
      <c r="P405">
        <v>3.66</v>
      </c>
      <c r="Q405">
        <v>46.59</v>
      </c>
      <c r="R405">
        <v>6.91</v>
      </c>
      <c r="S405">
        <v>10.53</v>
      </c>
      <c r="T405">
        <v>35.4</v>
      </c>
      <c r="U405">
        <v>0.56999999999999995</v>
      </c>
      <c r="V405">
        <v>1.7797810688989053</v>
      </c>
      <c r="W405">
        <v>0.56986477784932388</v>
      </c>
      <c r="X405">
        <v>8.65</v>
      </c>
      <c r="Y405">
        <v>18.100000000000001</v>
      </c>
      <c r="Z405">
        <v>50.55</v>
      </c>
      <c r="AA405">
        <v>7.08</v>
      </c>
      <c r="AB405">
        <v>9.42</v>
      </c>
      <c r="AC405">
        <v>31.76</v>
      </c>
      <c r="AD405">
        <v>1.19</v>
      </c>
      <c r="AE405">
        <v>1.6807121661721069</v>
      </c>
      <c r="AF405">
        <v>0.47121661721068259</v>
      </c>
      <c r="AG405">
        <v>5.59</v>
      </c>
      <c r="AH405">
        <v>20.22</v>
      </c>
      <c r="AI405">
        <v>46.12</v>
      </c>
    </row>
    <row r="406" spans="1:36" x14ac:dyDescent="0.5">
      <c r="A406">
        <v>120</v>
      </c>
      <c r="B406">
        <v>200</v>
      </c>
      <c r="C406">
        <v>0.1</v>
      </c>
      <c r="D406">
        <v>15</v>
      </c>
      <c r="E406">
        <v>200</v>
      </c>
      <c r="F406">
        <v>135</v>
      </c>
      <c r="G406">
        <v>9</v>
      </c>
      <c r="O406">
        <v>87.69</v>
      </c>
      <c r="P406">
        <v>3.66</v>
      </c>
      <c r="Q406">
        <v>46.59</v>
      </c>
      <c r="R406">
        <v>6.91</v>
      </c>
      <c r="S406">
        <v>10.53</v>
      </c>
      <c r="T406">
        <v>35.4</v>
      </c>
      <c r="U406">
        <v>0.56999999999999995</v>
      </c>
      <c r="V406">
        <v>1.7797810688989053</v>
      </c>
      <c r="W406">
        <v>0.56986477784932388</v>
      </c>
      <c r="X406">
        <v>8.65</v>
      </c>
      <c r="Y406">
        <v>18.100000000000001</v>
      </c>
      <c r="Z406">
        <v>52.32</v>
      </c>
      <c r="AA406">
        <v>7.12</v>
      </c>
      <c r="AB406">
        <v>8.2799999999999994</v>
      </c>
      <c r="AC406">
        <v>31.6</v>
      </c>
      <c r="AD406">
        <v>0.68</v>
      </c>
      <c r="AE406">
        <v>1.6330275229357798</v>
      </c>
      <c r="AF406">
        <v>0.45298165137614677</v>
      </c>
      <c r="AG406">
        <v>6.4</v>
      </c>
      <c r="AH406">
        <v>20.89</v>
      </c>
      <c r="AI406">
        <v>32.68</v>
      </c>
    </row>
    <row r="407" spans="1:36" x14ac:dyDescent="0.5">
      <c r="A407">
        <v>120</v>
      </c>
      <c r="B407">
        <v>200</v>
      </c>
      <c r="C407">
        <v>0.1</v>
      </c>
      <c r="D407">
        <v>15</v>
      </c>
      <c r="E407">
        <v>200</v>
      </c>
      <c r="F407">
        <v>135</v>
      </c>
      <c r="G407">
        <v>9</v>
      </c>
      <c r="O407">
        <v>87.69</v>
      </c>
      <c r="P407">
        <v>3.66</v>
      </c>
      <c r="Q407">
        <v>46.59</v>
      </c>
      <c r="R407">
        <v>6.91</v>
      </c>
      <c r="S407">
        <v>10.53</v>
      </c>
      <c r="T407">
        <v>35.4</v>
      </c>
      <c r="U407">
        <v>0.56999999999999995</v>
      </c>
      <c r="V407">
        <v>1.7797810688989053</v>
      </c>
      <c r="W407">
        <v>0.56986477784932388</v>
      </c>
      <c r="X407">
        <v>8.65</v>
      </c>
      <c r="Y407">
        <v>18.100000000000001</v>
      </c>
      <c r="Z407">
        <v>52.8</v>
      </c>
      <c r="AA407">
        <v>7.15</v>
      </c>
      <c r="AB407">
        <v>8.3699999999999992</v>
      </c>
      <c r="AC407">
        <v>30.96</v>
      </c>
      <c r="AD407">
        <v>0.72</v>
      </c>
      <c r="AE407">
        <v>1.6250000000000002</v>
      </c>
      <c r="AF407">
        <v>0.43977272727272732</v>
      </c>
      <c r="AG407">
        <v>6.87</v>
      </c>
      <c r="AH407">
        <v>21.21</v>
      </c>
      <c r="AI407">
        <v>32.11</v>
      </c>
    </row>
    <row r="408" spans="1:36" x14ac:dyDescent="0.5">
      <c r="A408">
        <v>120</v>
      </c>
      <c r="B408">
        <v>200</v>
      </c>
      <c r="C408">
        <v>0.1</v>
      </c>
      <c r="D408">
        <v>15</v>
      </c>
      <c r="E408">
        <v>200</v>
      </c>
      <c r="F408">
        <v>135</v>
      </c>
      <c r="G408">
        <v>9</v>
      </c>
      <c r="O408">
        <v>87.69</v>
      </c>
      <c r="P408">
        <v>3.66</v>
      </c>
      <c r="Q408">
        <v>46.59</v>
      </c>
      <c r="R408">
        <v>6.91</v>
      </c>
      <c r="S408">
        <v>10.53</v>
      </c>
      <c r="T408">
        <v>35.4</v>
      </c>
      <c r="U408">
        <v>0.56999999999999995</v>
      </c>
      <c r="V408">
        <v>1.7797810688989053</v>
      </c>
      <c r="W408">
        <v>0.56986477784932388</v>
      </c>
      <c r="X408">
        <v>8.65</v>
      </c>
      <c r="Y408">
        <v>18.100000000000001</v>
      </c>
      <c r="Z408">
        <v>53.07</v>
      </c>
      <c r="AA408">
        <v>7.25</v>
      </c>
      <c r="AB408">
        <v>8.27</v>
      </c>
      <c r="AC408">
        <v>30.68</v>
      </c>
      <c r="AD408">
        <v>0.74</v>
      </c>
      <c r="AE408">
        <v>1.6393442622950818</v>
      </c>
      <c r="AF408">
        <v>0.43357829282080268</v>
      </c>
      <c r="AG408">
        <v>9.2799999999999994</v>
      </c>
      <c r="AH408">
        <v>21.46</v>
      </c>
      <c r="AI408">
        <v>32.15</v>
      </c>
    </row>
    <row r="409" spans="1:36" x14ac:dyDescent="0.5">
      <c r="A409">
        <v>120</v>
      </c>
      <c r="B409">
        <v>200</v>
      </c>
      <c r="C409">
        <v>0.1</v>
      </c>
      <c r="D409">
        <v>15</v>
      </c>
      <c r="E409">
        <v>200</v>
      </c>
      <c r="F409">
        <v>135</v>
      </c>
      <c r="G409">
        <v>9</v>
      </c>
      <c r="O409">
        <v>87.69</v>
      </c>
      <c r="P409">
        <v>3.66</v>
      </c>
      <c r="Q409">
        <v>46.59</v>
      </c>
      <c r="R409">
        <v>6.91</v>
      </c>
      <c r="S409">
        <v>10.53</v>
      </c>
      <c r="T409">
        <v>35.4</v>
      </c>
      <c r="U409">
        <v>0.56999999999999995</v>
      </c>
      <c r="V409">
        <v>1.7797810688989053</v>
      </c>
      <c r="W409">
        <v>0.56986477784932388</v>
      </c>
      <c r="X409">
        <v>8.65</v>
      </c>
      <c r="Y409">
        <v>18.100000000000001</v>
      </c>
      <c r="Z409">
        <v>53.28</v>
      </c>
      <c r="AA409">
        <v>7.16</v>
      </c>
      <c r="AB409">
        <v>8.2799999999999994</v>
      </c>
      <c r="AC409">
        <v>30.4</v>
      </c>
      <c r="AD409">
        <v>0.88</v>
      </c>
      <c r="AE409">
        <v>1.6126126126126126</v>
      </c>
      <c r="AF409">
        <v>0.42792792792792789</v>
      </c>
      <c r="AG409">
        <v>9.15</v>
      </c>
      <c r="AH409">
        <v>21.49</v>
      </c>
      <c r="AI409">
        <v>33.76</v>
      </c>
    </row>
    <row r="410" spans="1:36" x14ac:dyDescent="0.5">
      <c r="A410">
        <v>120</v>
      </c>
      <c r="B410">
        <v>200</v>
      </c>
      <c r="C410">
        <v>0.1</v>
      </c>
      <c r="D410">
        <v>15</v>
      </c>
      <c r="E410">
        <v>200</v>
      </c>
      <c r="F410">
        <v>135</v>
      </c>
      <c r="G410">
        <v>9</v>
      </c>
      <c r="O410">
        <v>87.69</v>
      </c>
      <c r="P410">
        <v>3.66</v>
      </c>
      <c r="Q410">
        <v>46.59</v>
      </c>
      <c r="R410">
        <v>6.91</v>
      </c>
      <c r="S410">
        <v>10.53</v>
      </c>
      <c r="T410">
        <v>35.4</v>
      </c>
      <c r="U410">
        <v>0.56999999999999995</v>
      </c>
      <c r="V410">
        <v>1.7797810688989053</v>
      </c>
      <c r="W410">
        <v>0.56986477784932388</v>
      </c>
      <c r="X410">
        <v>8.65</v>
      </c>
      <c r="Y410">
        <v>18.100000000000001</v>
      </c>
      <c r="Z410">
        <v>53.84</v>
      </c>
      <c r="AA410">
        <v>6.99</v>
      </c>
      <c r="AB410">
        <v>8.25</v>
      </c>
      <c r="AC410">
        <v>29.93</v>
      </c>
      <c r="AD410">
        <v>0.99</v>
      </c>
      <c r="AE410">
        <v>1.5579494799405644</v>
      </c>
      <c r="AF410">
        <v>0.41692979197622582</v>
      </c>
      <c r="AG410">
        <v>9.26</v>
      </c>
      <c r="AH410">
        <v>21.55</v>
      </c>
      <c r="AI410">
        <v>29.51</v>
      </c>
    </row>
    <row r="411" spans="1:36" x14ac:dyDescent="0.5">
      <c r="A411">
        <v>120</v>
      </c>
      <c r="B411">
        <v>220</v>
      </c>
      <c r="C411">
        <v>0.1</v>
      </c>
      <c r="D411">
        <v>15</v>
      </c>
      <c r="E411">
        <v>200</v>
      </c>
      <c r="F411">
        <v>135</v>
      </c>
      <c r="G411">
        <v>9</v>
      </c>
      <c r="O411">
        <v>87.69</v>
      </c>
      <c r="P411">
        <v>3.66</v>
      </c>
      <c r="Q411">
        <v>46.59</v>
      </c>
      <c r="R411">
        <v>6.91</v>
      </c>
      <c r="S411">
        <v>10.53</v>
      </c>
      <c r="T411">
        <v>35.4</v>
      </c>
      <c r="U411">
        <v>0.56999999999999995</v>
      </c>
      <c r="V411">
        <v>1.7797810688989053</v>
      </c>
      <c r="W411">
        <v>0.56986477784932388</v>
      </c>
      <c r="X411">
        <v>8.65</v>
      </c>
      <c r="Y411">
        <v>18.100000000000001</v>
      </c>
      <c r="Z411">
        <v>54.21</v>
      </c>
      <c r="AA411">
        <v>7.02</v>
      </c>
      <c r="AB411">
        <v>6.81</v>
      </c>
      <c r="AC411">
        <v>31.24</v>
      </c>
      <c r="AD411">
        <v>0.72</v>
      </c>
      <c r="AE411">
        <v>1.553956834532374</v>
      </c>
      <c r="AF411">
        <v>0.43220807969009406</v>
      </c>
      <c r="AG411">
        <v>13.24</v>
      </c>
      <c r="AH411">
        <v>21.47</v>
      </c>
      <c r="AI411">
        <v>26.86</v>
      </c>
    </row>
    <row r="412" spans="1:36" x14ac:dyDescent="0.5">
      <c r="A412">
        <v>120</v>
      </c>
      <c r="B412">
        <v>220</v>
      </c>
      <c r="C412">
        <v>0.1</v>
      </c>
      <c r="D412">
        <v>15</v>
      </c>
      <c r="E412">
        <v>200</v>
      </c>
      <c r="F412">
        <v>135</v>
      </c>
      <c r="G412">
        <v>9</v>
      </c>
      <c r="O412">
        <v>87.69</v>
      </c>
      <c r="P412">
        <v>3.66</v>
      </c>
      <c r="Q412">
        <v>46.59</v>
      </c>
      <c r="R412">
        <v>6.91</v>
      </c>
      <c r="S412">
        <v>10.53</v>
      </c>
      <c r="T412">
        <v>35.4</v>
      </c>
      <c r="U412">
        <v>0.56999999999999995</v>
      </c>
      <c r="V412">
        <v>1.7797810688989053</v>
      </c>
      <c r="W412">
        <v>0.56986477784932388</v>
      </c>
      <c r="X412">
        <v>8.65</v>
      </c>
      <c r="Y412">
        <v>18.100000000000001</v>
      </c>
      <c r="Z412">
        <v>54.45</v>
      </c>
      <c r="AA412">
        <v>7.02</v>
      </c>
      <c r="AB412">
        <v>6.75</v>
      </c>
      <c r="AC412">
        <v>31.08</v>
      </c>
      <c r="AD412">
        <v>0.7</v>
      </c>
      <c r="AE412">
        <v>1.5471074380165286</v>
      </c>
      <c r="AF412">
        <v>0.42809917355371896</v>
      </c>
      <c r="AG412">
        <v>13.71</v>
      </c>
      <c r="AH412">
        <v>21.58</v>
      </c>
      <c r="AI412">
        <v>24.3</v>
      </c>
    </row>
    <row r="413" spans="1:36" x14ac:dyDescent="0.5">
      <c r="A413">
        <v>120</v>
      </c>
      <c r="B413">
        <v>220</v>
      </c>
      <c r="C413">
        <v>0.1</v>
      </c>
      <c r="D413">
        <v>15</v>
      </c>
      <c r="E413">
        <v>200</v>
      </c>
      <c r="F413">
        <v>135</v>
      </c>
      <c r="G413">
        <v>9</v>
      </c>
      <c r="O413">
        <v>87.69</v>
      </c>
      <c r="P413">
        <v>3.66</v>
      </c>
      <c r="Q413">
        <v>46.59</v>
      </c>
      <c r="R413">
        <v>6.91</v>
      </c>
      <c r="S413">
        <v>10.53</v>
      </c>
      <c r="T413">
        <v>35.4</v>
      </c>
      <c r="U413">
        <v>0.56999999999999995</v>
      </c>
      <c r="V413">
        <v>1.7797810688989053</v>
      </c>
      <c r="W413">
        <v>0.56986477784932388</v>
      </c>
      <c r="X413">
        <v>8.65</v>
      </c>
      <c r="Y413">
        <v>18.100000000000001</v>
      </c>
      <c r="Z413">
        <v>55.4</v>
      </c>
      <c r="AA413">
        <v>7.16</v>
      </c>
      <c r="AB413">
        <v>6.82</v>
      </c>
      <c r="AC413">
        <v>29.9</v>
      </c>
      <c r="AD413">
        <v>0.72</v>
      </c>
      <c r="AE413">
        <v>1.5509025270758126</v>
      </c>
      <c r="AF413">
        <v>0.40478339350180509</v>
      </c>
      <c r="AG413">
        <v>13.27</v>
      </c>
      <c r="AH413">
        <v>22.29</v>
      </c>
      <c r="AI413">
        <v>24.54</v>
      </c>
    </row>
    <row r="414" spans="1:36" x14ac:dyDescent="0.5">
      <c r="A414">
        <v>120</v>
      </c>
      <c r="B414">
        <v>220</v>
      </c>
      <c r="C414">
        <v>0.1</v>
      </c>
      <c r="D414">
        <v>15</v>
      </c>
      <c r="E414">
        <v>200</v>
      </c>
      <c r="F414">
        <v>135</v>
      </c>
      <c r="G414">
        <v>9</v>
      </c>
      <c r="O414">
        <v>87.69</v>
      </c>
      <c r="P414">
        <v>3.66</v>
      </c>
      <c r="Q414">
        <v>46.59</v>
      </c>
      <c r="R414">
        <v>6.91</v>
      </c>
      <c r="S414">
        <v>10.53</v>
      </c>
      <c r="T414">
        <v>35.4</v>
      </c>
      <c r="U414">
        <v>0.56999999999999995</v>
      </c>
      <c r="V414">
        <v>1.7797810688989053</v>
      </c>
      <c r="W414">
        <v>0.56986477784932388</v>
      </c>
      <c r="X414">
        <v>8.65</v>
      </c>
      <c r="Y414">
        <v>18.100000000000001</v>
      </c>
      <c r="Z414">
        <v>56.14</v>
      </c>
      <c r="AA414">
        <v>7.08</v>
      </c>
      <c r="AB414">
        <v>6.76</v>
      </c>
      <c r="AC414">
        <v>29.29</v>
      </c>
      <c r="AD414">
        <v>0.73</v>
      </c>
      <c r="AE414">
        <v>1.5133594584966155</v>
      </c>
      <c r="AF414">
        <v>0.391298539365871</v>
      </c>
      <c r="AG414">
        <v>13.68</v>
      </c>
      <c r="AH414">
        <v>22.55</v>
      </c>
      <c r="AI414">
        <v>24.49</v>
      </c>
    </row>
    <row r="415" spans="1:36" x14ac:dyDescent="0.5">
      <c r="A415">
        <v>120</v>
      </c>
      <c r="B415">
        <v>220</v>
      </c>
      <c r="C415">
        <v>0.1</v>
      </c>
      <c r="D415">
        <v>15</v>
      </c>
      <c r="E415">
        <v>200</v>
      </c>
      <c r="F415">
        <v>135</v>
      </c>
      <c r="G415">
        <v>9</v>
      </c>
      <c r="O415">
        <v>87.69</v>
      </c>
      <c r="P415">
        <v>3.66</v>
      </c>
      <c r="Q415">
        <v>46.59</v>
      </c>
      <c r="R415">
        <v>6.91</v>
      </c>
      <c r="S415">
        <v>10.53</v>
      </c>
      <c r="T415">
        <v>35.4</v>
      </c>
      <c r="U415">
        <v>0.56999999999999995</v>
      </c>
      <c r="V415">
        <v>1.7797810688989053</v>
      </c>
      <c r="W415">
        <v>0.56986477784932388</v>
      </c>
      <c r="X415">
        <v>8.65</v>
      </c>
      <c r="Y415">
        <v>18.100000000000001</v>
      </c>
      <c r="Z415">
        <v>56.74</v>
      </c>
      <c r="AA415">
        <v>7.05</v>
      </c>
      <c r="AB415">
        <v>6.82</v>
      </c>
      <c r="AC415">
        <v>28.5</v>
      </c>
      <c r="AD415">
        <v>0.89</v>
      </c>
      <c r="AE415">
        <v>1.4910116320056397</v>
      </c>
      <c r="AF415">
        <v>0.37671836446951001</v>
      </c>
      <c r="AG415">
        <v>13.32</v>
      </c>
      <c r="AH415">
        <v>22.86</v>
      </c>
      <c r="AI415">
        <v>25.41</v>
      </c>
    </row>
    <row r="416" spans="1:36" x14ac:dyDescent="0.5">
      <c r="A416">
        <v>120</v>
      </c>
      <c r="B416">
        <v>230</v>
      </c>
      <c r="C416">
        <v>0.1</v>
      </c>
      <c r="D416">
        <v>3</v>
      </c>
      <c r="E416">
        <v>100</v>
      </c>
      <c r="F416">
        <v>60</v>
      </c>
      <c r="G416">
        <v>20</v>
      </c>
      <c r="O416">
        <v>92.42</v>
      </c>
      <c r="P416">
        <v>6.18</v>
      </c>
      <c r="Q416">
        <v>43.92</v>
      </c>
      <c r="R416">
        <v>5.81</v>
      </c>
      <c r="S416">
        <v>0.59</v>
      </c>
      <c r="T416">
        <v>47.73</v>
      </c>
      <c r="U416">
        <v>0.55000000000000004</v>
      </c>
      <c r="V416">
        <v>1.5874316939890709</v>
      </c>
      <c r="W416">
        <v>0.81506147540983598</v>
      </c>
      <c r="X416">
        <v>1.4</v>
      </c>
      <c r="Y416">
        <v>18.63</v>
      </c>
      <c r="Z416">
        <v>61.66</v>
      </c>
      <c r="AA416">
        <v>4.2699999999999996</v>
      </c>
      <c r="AB416">
        <v>0.18</v>
      </c>
      <c r="AC416">
        <v>30.31</v>
      </c>
      <c r="AD416">
        <v>0.68</v>
      </c>
      <c r="AE416">
        <v>0.83100875770353555</v>
      </c>
      <c r="AF416">
        <v>0.36867499189101527</v>
      </c>
      <c r="AG416">
        <v>2.9</v>
      </c>
      <c r="AH416">
        <v>24.79</v>
      </c>
      <c r="AI416">
        <v>43.36</v>
      </c>
      <c r="AJ416" t="s">
        <v>116</v>
      </c>
    </row>
    <row r="417" spans="1:36" x14ac:dyDescent="0.5">
      <c r="A417">
        <v>30</v>
      </c>
      <c r="B417">
        <v>250</v>
      </c>
      <c r="C417">
        <v>0.1</v>
      </c>
      <c r="D417">
        <v>20</v>
      </c>
      <c r="E417">
        <v>1000</v>
      </c>
      <c r="F417">
        <v>300</v>
      </c>
      <c r="G417">
        <v>15</v>
      </c>
      <c r="N417">
        <v>6</v>
      </c>
      <c r="O417">
        <v>85.1</v>
      </c>
      <c r="P417">
        <v>4.2</v>
      </c>
      <c r="Q417">
        <v>53.7</v>
      </c>
      <c r="R417">
        <v>8.6999999999999993</v>
      </c>
      <c r="S417">
        <v>1.5</v>
      </c>
      <c r="T417">
        <v>36.1</v>
      </c>
      <c r="U417">
        <v>0</v>
      </c>
      <c r="V417">
        <v>1.94413407821229</v>
      </c>
      <c r="W417">
        <v>0.50418994413407814</v>
      </c>
      <c r="X417">
        <v>10.7</v>
      </c>
      <c r="Y417">
        <v>21.2</v>
      </c>
      <c r="Z417">
        <v>61.9</v>
      </c>
      <c r="AA417">
        <v>7.9</v>
      </c>
      <c r="AB417">
        <v>1.8</v>
      </c>
      <c r="AC417">
        <v>28.4</v>
      </c>
      <c r="AD417">
        <v>0</v>
      </c>
      <c r="AE417">
        <v>1.5315024232633281</v>
      </c>
      <c r="AF417">
        <v>0.34410339256865913</v>
      </c>
      <c r="AG417">
        <v>4.8</v>
      </c>
      <c r="AH417">
        <v>26.1</v>
      </c>
      <c r="AI417">
        <v>49.2</v>
      </c>
      <c r="AJ417" t="s">
        <v>118</v>
      </c>
    </row>
    <row r="418" spans="1:36" x14ac:dyDescent="0.5">
      <c r="A418">
        <v>30</v>
      </c>
      <c r="B418">
        <v>275</v>
      </c>
      <c r="C418">
        <v>0.1</v>
      </c>
      <c r="D418">
        <v>20</v>
      </c>
      <c r="E418">
        <v>1000</v>
      </c>
      <c r="F418">
        <v>300</v>
      </c>
      <c r="G418">
        <v>15</v>
      </c>
      <c r="N418">
        <v>6</v>
      </c>
      <c r="O418">
        <v>85.1</v>
      </c>
      <c r="P418">
        <v>4.2</v>
      </c>
      <c r="Q418">
        <v>53.7</v>
      </c>
      <c r="R418">
        <v>8.6999999999999993</v>
      </c>
      <c r="S418">
        <v>1.5</v>
      </c>
      <c r="T418">
        <v>36.1</v>
      </c>
      <c r="U418">
        <v>0</v>
      </c>
      <c r="V418">
        <v>1.94413407821229</v>
      </c>
      <c r="W418">
        <v>0.50418994413407814</v>
      </c>
      <c r="X418">
        <v>10.7</v>
      </c>
      <c r="Y418">
        <v>21.2</v>
      </c>
      <c r="Z418">
        <v>62.6</v>
      </c>
      <c r="AA418">
        <v>7.2</v>
      </c>
      <c r="AB418">
        <v>1.7</v>
      </c>
      <c r="AC418">
        <v>28.5</v>
      </c>
      <c r="AD418">
        <v>0</v>
      </c>
      <c r="AE418">
        <v>1.3801916932907348</v>
      </c>
      <c r="AF418">
        <v>0.34145367412140576</v>
      </c>
      <c r="AG418">
        <v>4.7</v>
      </c>
      <c r="AH418">
        <v>25.2</v>
      </c>
      <c r="AI418">
        <v>49.3</v>
      </c>
    </row>
    <row r="419" spans="1:36" x14ac:dyDescent="0.5">
      <c r="A419">
        <v>30</v>
      </c>
      <c r="B419">
        <v>275</v>
      </c>
      <c r="C419">
        <v>0.1</v>
      </c>
      <c r="D419">
        <v>20</v>
      </c>
      <c r="E419">
        <v>1000</v>
      </c>
      <c r="F419">
        <v>100</v>
      </c>
      <c r="G419">
        <v>5</v>
      </c>
      <c r="N419">
        <v>6</v>
      </c>
      <c r="O419">
        <v>85.1</v>
      </c>
      <c r="P419">
        <v>4.2</v>
      </c>
      <c r="Q419">
        <v>53.7</v>
      </c>
      <c r="R419">
        <v>8.6999999999999993</v>
      </c>
      <c r="S419">
        <v>1.5</v>
      </c>
      <c r="T419">
        <v>36.1</v>
      </c>
      <c r="U419">
        <v>0</v>
      </c>
      <c r="V419">
        <v>1.94413407821229</v>
      </c>
      <c r="W419">
        <v>0.50418994413407814</v>
      </c>
      <c r="X419">
        <v>10.7</v>
      </c>
      <c r="Y419">
        <v>21.2</v>
      </c>
      <c r="Z419">
        <v>64.099999999999994</v>
      </c>
      <c r="AA419">
        <v>7.3</v>
      </c>
      <c r="AB419">
        <v>2.1</v>
      </c>
      <c r="AC419">
        <v>26.5</v>
      </c>
      <c r="AD419">
        <v>0</v>
      </c>
      <c r="AE419">
        <v>1.3666146645865835</v>
      </c>
      <c r="AF419">
        <v>0.3100624024960999</v>
      </c>
      <c r="AG419">
        <v>5.3</v>
      </c>
      <c r="AH419">
        <v>26.3</v>
      </c>
      <c r="AI419">
        <v>53.7</v>
      </c>
    </row>
    <row r="420" spans="1:36" x14ac:dyDescent="0.5">
      <c r="A420">
        <v>30</v>
      </c>
      <c r="B420">
        <v>300</v>
      </c>
      <c r="C420">
        <v>0.1</v>
      </c>
      <c r="D420">
        <v>20</v>
      </c>
      <c r="E420">
        <v>1000</v>
      </c>
      <c r="F420">
        <v>300</v>
      </c>
      <c r="G420">
        <v>15</v>
      </c>
      <c r="N420">
        <v>6</v>
      </c>
      <c r="O420">
        <v>85.1</v>
      </c>
      <c r="P420">
        <v>4.2</v>
      </c>
      <c r="Q420">
        <v>53.7</v>
      </c>
      <c r="R420">
        <v>8.6999999999999993</v>
      </c>
      <c r="S420">
        <v>1.5</v>
      </c>
      <c r="T420">
        <v>36.1</v>
      </c>
      <c r="U420">
        <v>0</v>
      </c>
      <c r="V420">
        <v>1.94413407821229</v>
      </c>
      <c r="W420">
        <v>0.50418994413407814</v>
      </c>
      <c r="X420">
        <v>10.7</v>
      </c>
      <c r="Y420">
        <v>21.2</v>
      </c>
      <c r="Z420">
        <v>64.5</v>
      </c>
      <c r="AA420">
        <v>8</v>
      </c>
      <c r="AB420">
        <v>1.9</v>
      </c>
      <c r="AC420">
        <v>25.6</v>
      </c>
      <c r="AD420">
        <v>0</v>
      </c>
      <c r="AE420">
        <v>1.4883720930232558</v>
      </c>
      <c r="AF420">
        <v>0.29767441860465116</v>
      </c>
      <c r="AG420">
        <v>3.8</v>
      </c>
      <c r="AH420">
        <v>27.7</v>
      </c>
      <c r="AI420">
        <v>45.2</v>
      </c>
    </row>
    <row r="421" spans="1:36" x14ac:dyDescent="0.5">
      <c r="A421">
        <v>120</v>
      </c>
      <c r="B421">
        <v>250</v>
      </c>
      <c r="C421">
        <v>0.1</v>
      </c>
      <c r="D421">
        <v>20</v>
      </c>
      <c r="E421">
        <v>1000</v>
      </c>
      <c r="F421">
        <v>300</v>
      </c>
      <c r="G421">
        <v>15</v>
      </c>
      <c r="N421">
        <v>6</v>
      </c>
      <c r="O421">
        <v>85.1</v>
      </c>
      <c r="P421">
        <v>4.2</v>
      </c>
      <c r="Q421">
        <v>53.7</v>
      </c>
      <c r="R421">
        <v>8.6999999999999993</v>
      </c>
      <c r="S421">
        <v>1.5</v>
      </c>
      <c r="T421">
        <v>36.1</v>
      </c>
      <c r="U421">
        <v>0</v>
      </c>
      <c r="V421">
        <v>1.94413407821229</v>
      </c>
      <c r="W421">
        <v>0.50418994413407814</v>
      </c>
      <c r="X421">
        <v>10.7</v>
      </c>
      <c r="Y421">
        <v>21.2</v>
      </c>
      <c r="Z421">
        <v>64.8</v>
      </c>
      <c r="AA421">
        <v>7.7</v>
      </c>
      <c r="AB421">
        <v>2.4</v>
      </c>
      <c r="AC421">
        <v>25</v>
      </c>
      <c r="AD421">
        <v>0</v>
      </c>
      <c r="AE421">
        <v>1.425925925925926</v>
      </c>
      <c r="AF421">
        <v>0.28935185185185186</v>
      </c>
      <c r="AG421">
        <v>4.0999999999999996</v>
      </c>
      <c r="AH421">
        <v>27.4</v>
      </c>
      <c r="AI421">
        <v>53.6</v>
      </c>
    </row>
    <row r="422" spans="1:36" x14ac:dyDescent="0.5">
      <c r="A422">
        <v>120</v>
      </c>
      <c r="B422">
        <v>275</v>
      </c>
      <c r="C422">
        <v>0.1</v>
      </c>
      <c r="D422">
        <v>20</v>
      </c>
      <c r="E422">
        <v>1000</v>
      </c>
      <c r="F422">
        <v>300</v>
      </c>
      <c r="G422">
        <v>15</v>
      </c>
      <c r="N422">
        <v>6</v>
      </c>
      <c r="O422">
        <v>85.1</v>
      </c>
      <c r="P422">
        <v>4.2</v>
      </c>
      <c r="Q422">
        <v>53.7</v>
      </c>
      <c r="R422">
        <v>8.6999999999999993</v>
      </c>
      <c r="S422">
        <v>1.5</v>
      </c>
      <c r="T422">
        <v>36.1</v>
      </c>
      <c r="U422">
        <v>0</v>
      </c>
      <c r="V422">
        <v>1.94413407821229</v>
      </c>
      <c r="W422">
        <v>0.50418994413407814</v>
      </c>
      <c r="X422">
        <v>10.7</v>
      </c>
      <c r="Y422">
        <v>21.2</v>
      </c>
      <c r="Z422">
        <v>66.7</v>
      </c>
      <c r="AA422">
        <v>7.7</v>
      </c>
      <c r="AB422">
        <v>1.7</v>
      </c>
      <c r="AC422">
        <v>23.8</v>
      </c>
      <c r="AD422">
        <v>0</v>
      </c>
      <c r="AE422">
        <v>1.3853073463268366</v>
      </c>
      <c r="AF422">
        <v>0.26761619190404795</v>
      </c>
      <c r="AG422">
        <v>4.3</v>
      </c>
      <c r="AH422">
        <v>28.1</v>
      </c>
      <c r="AI422">
        <v>51.6</v>
      </c>
    </row>
    <row r="423" spans="1:36" x14ac:dyDescent="0.5">
      <c r="A423">
        <v>120</v>
      </c>
      <c r="B423">
        <v>300</v>
      </c>
      <c r="C423">
        <v>0.1</v>
      </c>
      <c r="D423">
        <v>20</v>
      </c>
      <c r="E423">
        <v>1000</v>
      </c>
      <c r="F423">
        <v>300</v>
      </c>
      <c r="G423">
        <v>15</v>
      </c>
      <c r="N423">
        <v>6</v>
      </c>
      <c r="O423">
        <v>85.1</v>
      </c>
      <c r="P423">
        <v>4.2</v>
      </c>
      <c r="Q423">
        <v>53.7</v>
      </c>
      <c r="R423">
        <v>8.6999999999999993</v>
      </c>
      <c r="S423">
        <v>1.5</v>
      </c>
      <c r="T423">
        <v>36.1</v>
      </c>
      <c r="U423">
        <v>0</v>
      </c>
      <c r="V423">
        <v>1.94413407821229</v>
      </c>
      <c r="W423">
        <v>0.50418994413407814</v>
      </c>
      <c r="X423">
        <v>10.7</v>
      </c>
      <c r="Y423">
        <v>21.2</v>
      </c>
      <c r="Z423">
        <v>62.9</v>
      </c>
      <c r="AA423">
        <v>8</v>
      </c>
      <c r="AB423">
        <v>2.1</v>
      </c>
      <c r="AC423">
        <v>27.1</v>
      </c>
      <c r="AD423">
        <v>0</v>
      </c>
      <c r="AE423">
        <v>1.5262321144674087</v>
      </c>
      <c r="AF423">
        <v>0.3231319554848967</v>
      </c>
      <c r="AG423">
        <v>3.3</v>
      </c>
      <c r="AH423">
        <v>27.2</v>
      </c>
      <c r="AI423">
        <v>47.6</v>
      </c>
    </row>
    <row r="424" spans="1:36" x14ac:dyDescent="0.5">
      <c r="A424">
        <v>360</v>
      </c>
      <c r="B424">
        <v>220</v>
      </c>
      <c r="C424">
        <v>0.1</v>
      </c>
      <c r="D424">
        <v>50</v>
      </c>
      <c r="E424">
        <v>750</v>
      </c>
      <c r="F424">
        <v>500</v>
      </c>
      <c r="G424">
        <v>10</v>
      </c>
      <c r="N424">
        <v>5.9</v>
      </c>
      <c r="O424">
        <v>77.7</v>
      </c>
      <c r="P424">
        <v>4.8</v>
      </c>
      <c r="Q424">
        <v>46.2</v>
      </c>
      <c r="R424">
        <v>7.21</v>
      </c>
      <c r="S424">
        <v>9.6999999999999993</v>
      </c>
      <c r="T424">
        <v>25.3</v>
      </c>
      <c r="U424">
        <v>0</v>
      </c>
      <c r="V424">
        <v>1.8727272727272726</v>
      </c>
      <c r="W424">
        <v>0.4107142857142857</v>
      </c>
      <c r="X424">
        <v>11.6</v>
      </c>
      <c r="Y424">
        <v>15.7</v>
      </c>
      <c r="Z424">
        <v>58.3</v>
      </c>
      <c r="AA424">
        <v>7.19</v>
      </c>
      <c r="AB424">
        <v>9.1999999999999993</v>
      </c>
      <c r="AC424">
        <v>14.6</v>
      </c>
      <c r="AD424">
        <v>0</v>
      </c>
      <c r="AE424">
        <v>1.4799313893653516</v>
      </c>
      <c r="AF424">
        <v>0.18782161234991424</v>
      </c>
      <c r="AG424">
        <v>10.7</v>
      </c>
      <c r="AH424">
        <v>22.1</v>
      </c>
      <c r="AI424">
        <v>47.1</v>
      </c>
      <c r="AJ424" t="s">
        <v>120</v>
      </c>
    </row>
    <row r="425" spans="1:36" x14ac:dyDescent="0.5">
      <c r="A425">
        <v>360</v>
      </c>
      <c r="B425">
        <v>220</v>
      </c>
      <c r="C425">
        <v>0.1</v>
      </c>
      <c r="D425">
        <v>50</v>
      </c>
      <c r="E425">
        <v>750</v>
      </c>
      <c r="F425">
        <v>500</v>
      </c>
      <c r="G425">
        <v>10</v>
      </c>
      <c r="N425">
        <v>6.5</v>
      </c>
      <c r="O425">
        <v>82.8</v>
      </c>
      <c r="P425">
        <v>7.3</v>
      </c>
      <c r="Q425">
        <v>43.3</v>
      </c>
      <c r="R425">
        <v>6.9</v>
      </c>
      <c r="S425">
        <v>4.4000000000000004</v>
      </c>
      <c r="T425">
        <v>38.6</v>
      </c>
      <c r="U425">
        <v>0</v>
      </c>
      <c r="V425">
        <v>1.9122401847575061</v>
      </c>
      <c r="W425">
        <v>0.66859122401847582</v>
      </c>
      <c r="X425">
        <v>3.4</v>
      </c>
      <c r="Y425">
        <v>17.7</v>
      </c>
      <c r="Z425">
        <v>66.8</v>
      </c>
      <c r="AA425">
        <v>7.4</v>
      </c>
      <c r="AB425">
        <v>10.8</v>
      </c>
      <c r="AC425">
        <v>14.4</v>
      </c>
      <c r="AD425">
        <v>0</v>
      </c>
      <c r="AE425">
        <v>1.3293413173652695</v>
      </c>
      <c r="AF425">
        <v>0.16167664670658682</v>
      </c>
      <c r="AG425">
        <v>0.6</v>
      </c>
      <c r="AH425">
        <v>30.4</v>
      </c>
      <c r="AI425">
        <v>41.5</v>
      </c>
    </row>
    <row r="426" spans="1:36" x14ac:dyDescent="0.5">
      <c r="A426">
        <v>30</v>
      </c>
      <c r="B426">
        <v>180</v>
      </c>
      <c r="C426">
        <v>0.1</v>
      </c>
      <c r="D426">
        <v>10</v>
      </c>
      <c r="E426">
        <v>500</v>
      </c>
      <c r="F426">
        <v>100</v>
      </c>
      <c r="G426">
        <v>10</v>
      </c>
      <c r="Q426">
        <v>46.59</v>
      </c>
      <c r="R426">
        <v>6.91</v>
      </c>
      <c r="S426">
        <v>10.53</v>
      </c>
      <c r="T426">
        <v>35.4</v>
      </c>
      <c r="U426">
        <v>0.57099999999999995</v>
      </c>
      <c r="V426">
        <v>1.7797810688989053</v>
      </c>
      <c r="W426">
        <v>0.56986477784932388</v>
      </c>
      <c r="X426">
        <v>5</v>
      </c>
      <c r="Y426">
        <v>19.296000000000003</v>
      </c>
      <c r="Z426">
        <v>49.23</v>
      </c>
      <c r="AA426">
        <v>6.72</v>
      </c>
      <c r="AB426">
        <v>8.2899999999999991</v>
      </c>
      <c r="AC426">
        <v>35.200000000000003</v>
      </c>
      <c r="AD426">
        <v>0.56200000000000006</v>
      </c>
      <c r="AE426">
        <v>1.6380255941499084</v>
      </c>
      <c r="AF426">
        <v>0.53625837903717244</v>
      </c>
      <c r="AH426">
        <v>19.9527</v>
      </c>
      <c r="AI426">
        <v>45.7</v>
      </c>
      <c r="AJ426" t="s">
        <v>122</v>
      </c>
    </row>
    <row r="427" spans="1:36" x14ac:dyDescent="0.5">
      <c r="A427">
        <v>30</v>
      </c>
      <c r="B427">
        <v>200</v>
      </c>
      <c r="C427">
        <v>0.1</v>
      </c>
      <c r="D427">
        <v>10</v>
      </c>
      <c r="E427">
        <v>500</v>
      </c>
      <c r="F427">
        <v>100</v>
      </c>
      <c r="G427">
        <v>10</v>
      </c>
      <c r="Q427">
        <v>46.59</v>
      </c>
      <c r="R427">
        <v>6.91</v>
      </c>
      <c r="S427">
        <v>10.53</v>
      </c>
      <c r="T427">
        <v>35.4</v>
      </c>
      <c r="U427">
        <v>0.57099999999999995</v>
      </c>
      <c r="V427">
        <v>1.7797810688989053</v>
      </c>
      <c r="W427">
        <v>0.56986477784932388</v>
      </c>
      <c r="X427">
        <v>5</v>
      </c>
      <c r="Y427">
        <v>19.296000000000003</v>
      </c>
      <c r="Z427">
        <v>52.27</v>
      </c>
      <c r="AA427">
        <v>6.55</v>
      </c>
      <c r="AB427">
        <v>7.63</v>
      </c>
      <c r="AC427">
        <v>32.99</v>
      </c>
      <c r="AD427">
        <v>0.55900000000000005</v>
      </c>
      <c r="AE427">
        <v>1.5037306294241437</v>
      </c>
      <c r="AF427">
        <v>0.47335947962502389</v>
      </c>
      <c r="AH427">
        <v>21.131945000000002</v>
      </c>
      <c r="AI427">
        <v>30.6</v>
      </c>
    </row>
    <row r="428" spans="1:36" x14ac:dyDescent="0.5">
      <c r="A428">
        <v>30</v>
      </c>
      <c r="B428">
        <v>220</v>
      </c>
      <c r="C428">
        <v>0.1</v>
      </c>
      <c r="D428">
        <v>10</v>
      </c>
      <c r="E428">
        <v>500</v>
      </c>
      <c r="F428">
        <v>100</v>
      </c>
      <c r="G428">
        <v>10</v>
      </c>
      <c r="Q428">
        <v>46.59</v>
      </c>
      <c r="R428">
        <v>6.91</v>
      </c>
      <c r="S428">
        <v>10.53</v>
      </c>
      <c r="T428">
        <v>35.4</v>
      </c>
      <c r="U428">
        <v>0.57099999999999995</v>
      </c>
      <c r="V428">
        <v>1.7797810688989053</v>
      </c>
      <c r="W428">
        <v>0.56986477784932388</v>
      </c>
      <c r="X428">
        <v>5</v>
      </c>
      <c r="Y428">
        <v>19.296000000000003</v>
      </c>
      <c r="Z428">
        <v>58.08</v>
      </c>
      <c r="AA428">
        <v>7.09</v>
      </c>
      <c r="AB428">
        <v>7.6</v>
      </c>
      <c r="AC428">
        <v>26.84</v>
      </c>
      <c r="AD428">
        <v>0.39200000000000002</v>
      </c>
      <c r="AE428">
        <v>1.4648760330578512</v>
      </c>
      <c r="AF428">
        <v>0.34659090909090912</v>
      </c>
      <c r="AH428">
        <v>24.964620000000004</v>
      </c>
      <c r="AI428">
        <v>26.5</v>
      </c>
    </row>
    <row r="429" spans="1:36" x14ac:dyDescent="0.5">
      <c r="A429">
        <v>30</v>
      </c>
      <c r="B429">
        <v>240</v>
      </c>
      <c r="C429">
        <v>0.1</v>
      </c>
      <c r="D429">
        <v>10</v>
      </c>
      <c r="E429">
        <v>500</v>
      </c>
      <c r="F429">
        <v>100</v>
      </c>
      <c r="G429">
        <v>10</v>
      </c>
      <c r="Q429">
        <v>46.59</v>
      </c>
      <c r="R429">
        <v>6.91</v>
      </c>
      <c r="S429">
        <v>10.53</v>
      </c>
      <c r="T429">
        <v>35.4</v>
      </c>
      <c r="U429">
        <v>0.57099999999999995</v>
      </c>
      <c r="V429">
        <v>1.7797810688989053</v>
      </c>
      <c r="W429">
        <v>0.56986477784932388</v>
      </c>
      <c r="X429">
        <v>5</v>
      </c>
      <c r="Y429">
        <v>19.296000000000003</v>
      </c>
      <c r="Z429">
        <v>59.21</v>
      </c>
      <c r="AA429">
        <v>6.57</v>
      </c>
      <c r="AB429">
        <v>6.47</v>
      </c>
      <c r="AC429">
        <v>27.37</v>
      </c>
      <c r="AD429">
        <v>0.38100000000000001</v>
      </c>
      <c r="AE429">
        <v>1.3315318358385408</v>
      </c>
      <c r="AF429">
        <v>0.34668974835331867</v>
      </c>
      <c r="AH429">
        <v>24.509395000000001</v>
      </c>
      <c r="AI429">
        <v>24.3</v>
      </c>
    </row>
    <row r="430" spans="1:36" x14ac:dyDescent="0.5">
      <c r="A430">
        <v>30</v>
      </c>
      <c r="B430">
        <v>260</v>
      </c>
      <c r="C430">
        <v>0.1</v>
      </c>
      <c r="D430">
        <v>10</v>
      </c>
      <c r="E430">
        <v>500</v>
      </c>
      <c r="F430">
        <v>100</v>
      </c>
      <c r="G430">
        <v>10</v>
      </c>
      <c r="Q430">
        <v>46.59</v>
      </c>
      <c r="R430">
        <v>6.91</v>
      </c>
      <c r="S430">
        <v>10.53</v>
      </c>
      <c r="T430">
        <v>35.4</v>
      </c>
      <c r="U430">
        <v>0.57099999999999995</v>
      </c>
      <c r="V430">
        <v>1.7797810688989053</v>
      </c>
      <c r="W430">
        <v>0.56986477784932388</v>
      </c>
      <c r="X430">
        <v>5</v>
      </c>
      <c r="Y430">
        <v>19.296000000000003</v>
      </c>
      <c r="Z430">
        <v>61.02</v>
      </c>
      <c r="AA430">
        <v>7.25</v>
      </c>
      <c r="AB430">
        <v>6.65</v>
      </c>
      <c r="AC430">
        <v>24.73</v>
      </c>
      <c r="AD430">
        <v>0.34899999999999998</v>
      </c>
      <c r="AE430">
        <v>1.4257620452310718</v>
      </c>
      <c r="AF430">
        <v>0.30395771878072764</v>
      </c>
      <c r="AH430">
        <v>26.563455000000001</v>
      </c>
      <c r="AI430">
        <v>23.8</v>
      </c>
    </row>
    <row r="431" spans="1:36" x14ac:dyDescent="0.5">
      <c r="A431">
        <v>30</v>
      </c>
      <c r="B431">
        <v>280</v>
      </c>
      <c r="C431">
        <v>0.1</v>
      </c>
      <c r="D431">
        <v>10</v>
      </c>
      <c r="E431">
        <v>500</v>
      </c>
      <c r="F431">
        <v>100</v>
      </c>
      <c r="G431">
        <v>10</v>
      </c>
      <c r="Q431">
        <v>46.59</v>
      </c>
      <c r="R431">
        <v>6.91</v>
      </c>
      <c r="S431">
        <v>10.53</v>
      </c>
      <c r="T431">
        <v>35.4</v>
      </c>
      <c r="U431">
        <v>0.57099999999999995</v>
      </c>
      <c r="V431">
        <v>1.7797810688989053</v>
      </c>
      <c r="W431">
        <v>0.56986477784932388</v>
      </c>
      <c r="X431">
        <v>5</v>
      </c>
      <c r="Y431">
        <v>19.296000000000003</v>
      </c>
      <c r="Z431">
        <v>61.28</v>
      </c>
      <c r="AA431">
        <v>7.26</v>
      </c>
      <c r="AB431">
        <v>5.91</v>
      </c>
      <c r="AC431">
        <v>25.22</v>
      </c>
      <c r="AD431">
        <v>0.33</v>
      </c>
      <c r="AE431">
        <v>1.4216710182767625</v>
      </c>
      <c r="AF431">
        <v>0.30866514360313319</v>
      </c>
      <c r="AH431">
        <v>26.578150000000001</v>
      </c>
      <c r="AI431">
        <v>22.5</v>
      </c>
    </row>
    <row r="432" spans="1:36" x14ac:dyDescent="0.5">
      <c r="A432">
        <v>30</v>
      </c>
      <c r="B432">
        <v>300</v>
      </c>
      <c r="C432">
        <v>0.1</v>
      </c>
      <c r="D432">
        <v>10</v>
      </c>
      <c r="E432">
        <v>500</v>
      </c>
      <c r="F432">
        <v>100</v>
      </c>
      <c r="G432">
        <v>10</v>
      </c>
      <c r="Q432">
        <v>46.59</v>
      </c>
      <c r="R432">
        <v>6.91</v>
      </c>
      <c r="S432">
        <v>10.53</v>
      </c>
      <c r="T432">
        <v>35.4</v>
      </c>
      <c r="U432">
        <v>0.57099999999999995</v>
      </c>
      <c r="V432">
        <v>1.7797810688989053</v>
      </c>
      <c r="W432">
        <v>0.56986477784932388</v>
      </c>
      <c r="X432">
        <v>5</v>
      </c>
      <c r="Y432">
        <v>19.296000000000003</v>
      </c>
      <c r="Z432">
        <v>62.46</v>
      </c>
      <c r="AA432">
        <v>7.11</v>
      </c>
      <c r="AB432">
        <v>5.62</v>
      </c>
      <c r="AC432">
        <v>24.49</v>
      </c>
      <c r="AD432">
        <v>0.32300000000000001</v>
      </c>
      <c r="AE432">
        <v>1.3659942363112392</v>
      </c>
      <c r="AF432">
        <v>0.2940682036503362</v>
      </c>
      <c r="AH432">
        <v>26.893094999999999</v>
      </c>
      <c r="AI432">
        <v>21.5</v>
      </c>
    </row>
    <row r="433" spans="1:36" x14ac:dyDescent="0.5">
      <c r="A433">
        <v>60</v>
      </c>
      <c r="B433">
        <v>180</v>
      </c>
      <c r="C433">
        <v>0.1</v>
      </c>
      <c r="D433">
        <v>200</v>
      </c>
      <c r="E433">
        <v>4000</v>
      </c>
      <c r="F433">
        <v>1800</v>
      </c>
      <c r="G433">
        <v>9</v>
      </c>
      <c r="O433">
        <v>54.7</v>
      </c>
      <c r="P433">
        <v>4.4000000000000004</v>
      </c>
      <c r="Q433">
        <v>32.700000000000003</v>
      </c>
      <c r="R433">
        <v>4.9000000000000004</v>
      </c>
      <c r="S433">
        <v>5.0999999999999996</v>
      </c>
      <c r="T433">
        <v>15.4</v>
      </c>
      <c r="U433">
        <v>1</v>
      </c>
      <c r="V433">
        <v>1.798165137614679</v>
      </c>
      <c r="W433">
        <v>0.35321100917431192</v>
      </c>
      <c r="X433">
        <v>40.9</v>
      </c>
      <c r="Y433">
        <v>14.9</v>
      </c>
      <c r="Z433">
        <v>30.8</v>
      </c>
      <c r="AA433">
        <v>4.3</v>
      </c>
      <c r="AB433">
        <v>4.2</v>
      </c>
      <c r="AC433">
        <v>16.8</v>
      </c>
      <c r="AD433">
        <v>1</v>
      </c>
      <c r="AE433">
        <v>1.6753246753246751</v>
      </c>
      <c r="AF433">
        <v>0.40909090909090906</v>
      </c>
      <c r="AG433">
        <v>42.9</v>
      </c>
      <c r="AH433">
        <v>14.7</v>
      </c>
      <c r="AI433">
        <v>74.2</v>
      </c>
      <c r="AJ433" t="s">
        <v>124</v>
      </c>
    </row>
    <row r="434" spans="1:36" x14ac:dyDescent="0.5">
      <c r="A434">
        <v>60</v>
      </c>
      <c r="B434">
        <v>210</v>
      </c>
      <c r="C434">
        <v>0.1</v>
      </c>
      <c r="D434">
        <v>200</v>
      </c>
      <c r="E434">
        <v>4000</v>
      </c>
      <c r="F434">
        <v>1800</v>
      </c>
      <c r="G434">
        <v>9</v>
      </c>
      <c r="O434">
        <v>54.7</v>
      </c>
      <c r="P434">
        <v>4.4000000000000004</v>
      </c>
      <c r="Q434">
        <v>32.700000000000003</v>
      </c>
      <c r="R434">
        <v>4.9000000000000004</v>
      </c>
      <c r="S434">
        <v>5.0999999999999996</v>
      </c>
      <c r="T434">
        <v>15.4</v>
      </c>
      <c r="U434">
        <v>1</v>
      </c>
      <c r="V434">
        <v>1.798165137614679</v>
      </c>
      <c r="W434">
        <v>0.35321100917431192</v>
      </c>
      <c r="X434">
        <v>40.9</v>
      </c>
      <c r="Y434">
        <v>14.9</v>
      </c>
      <c r="Z434">
        <v>31.8</v>
      </c>
      <c r="AA434">
        <v>4.3</v>
      </c>
      <c r="AB434">
        <v>4.0999999999999996</v>
      </c>
      <c r="AC434">
        <v>14.9</v>
      </c>
      <c r="AD434">
        <v>1</v>
      </c>
      <c r="AE434">
        <v>1.6226415094339623</v>
      </c>
      <c r="AF434">
        <v>0.35141509433962265</v>
      </c>
      <c r="AG434">
        <v>43.9</v>
      </c>
      <c r="AH434">
        <v>14.9</v>
      </c>
      <c r="AI434">
        <v>67.8</v>
      </c>
    </row>
    <row r="435" spans="1:36" x14ac:dyDescent="0.5">
      <c r="A435">
        <v>60</v>
      </c>
      <c r="B435">
        <v>240</v>
      </c>
      <c r="C435">
        <v>0.1</v>
      </c>
      <c r="D435">
        <v>200</v>
      </c>
      <c r="E435">
        <v>4000</v>
      </c>
      <c r="F435">
        <v>1800</v>
      </c>
      <c r="G435">
        <v>9</v>
      </c>
      <c r="O435">
        <v>54.7</v>
      </c>
      <c r="P435">
        <v>4.4000000000000004</v>
      </c>
      <c r="Q435">
        <v>32.700000000000003</v>
      </c>
      <c r="R435">
        <v>4.9000000000000004</v>
      </c>
      <c r="S435">
        <v>5.0999999999999996</v>
      </c>
      <c r="T435">
        <v>15.4</v>
      </c>
      <c r="U435">
        <v>1</v>
      </c>
      <c r="V435">
        <v>1.798165137614679</v>
      </c>
      <c r="W435">
        <v>0.35321100917431192</v>
      </c>
      <c r="X435">
        <v>40.9</v>
      </c>
      <c r="Y435">
        <v>14.9</v>
      </c>
      <c r="Z435">
        <v>32.6</v>
      </c>
      <c r="AA435">
        <v>4.0999999999999996</v>
      </c>
      <c r="AB435">
        <v>4.0999999999999996</v>
      </c>
      <c r="AC435">
        <v>10</v>
      </c>
      <c r="AD435">
        <v>1.1000000000000001</v>
      </c>
      <c r="AE435">
        <v>1.5092024539877298</v>
      </c>
      <c r="AF435">
        <v>0.23006134969325151</v>
      </c>
      <c r="AG435">
        <v>48.1</v>
      </c>
      <c r="AH435">
        <v>15.1</v>
      </c>
      <c r="AI435">
        <v>51.8</v>
      </c>
    </row>
    <row r="436" spans="1:36" x14ac:dyDescent="0.5">
      <c r="A436">
        <v>60</v>
      </c>
      <c r="B436">
        <v>180</v>
      </c>
      <c r="C436">
        <v>0.1</v>
      </c>
      <c r="D436">
        <v>200</v>
      </c>
      <c r="E436">
        <v>4000</v>
      </c>
      <c r="F436">
        <v>1800</v>
      </c>
      <c r="G436">
        <v>9</v>
      </c>
      <c r="O436">
        <v>50.9</v>
      </c>
      <c r="P436">
        <v>6.2</v>
      </c>
      <c r="Q436">
        <v>30.8</v>
      </c>
      <c r="R436">
        <v>4.3</v>
      </c>
      <c r="S436">
        <v>4.2</v>
      </c>
      <c r="T436">
        <v>16.8</v>
      </c>
      <c r="U436">
        <v>1</v>
      </c>
      <c r="V436">
        <v>1.6753246753246751</v>
      </c>
      <c r="W436">
        <v>0.40909090909090906</v>
      </c>
      <c r="X436">
        <v>42.9</v>
      </c>
      <c r="Y436">
        <v>14.7</v>
      </c>
      <c r="Z436">
        <v>50.1</v>
      </c>
      <c r="AA436">
        <v>5.9</v>
      </c>
      <c r="AB436">
        <v>5.2</v>
      </c>
      <c r="AC436">
        <v>14.7</v>
      </c>
      <c r="AD436">
        <v>1.4</v>
      </c>
      <c r="AE436">
        <v>1.4131736526946108</v>
      </c>
      <c r="AF436">
        <v>0.22005988023952094</v>
      </c>
      <c r="AG436">
        <v>22.7</v>
      </c>
      <c r="AH436">
        <v>20.5</v>
      </c>
      <c r="AI436">
        <v>64.400000000000006</v>
      </c>
    </row>
    <row r="437" spans="1:36" x14ac:dyDescent="0.5">
      <c r="A437">
        <v>60</v>
      </c>
      <c r="B437">
        <v>210</v>
      </c>
      <c r="C437">
        <v>0.1</v>
      </c>
      <c r="D437">
        <v>200</v>
      </c>
      <c r="E437">
        <v>4000</v>
      </c>
      <c r="F437">
        <v>1800</v>
      </c>
      <c r="G437">
        <v>9</v>
      </c>
      <c r="O437">
        <v>48.3</v>
      </c>
      <c r="P437">
        <v>7.8</v>
      </c>
      <c r="Q437">
        <v>31.8</v>
      </c>
      <c r="R437">
        <v>4.3</v>
      </c>
      <c r="S437">
        <v>4.0999999999999996</v>
      </c>
      <c r="T437">
        <v>14.9</v>
      </c>
      <c r="U437">
        <v>1</v>
      </c>
      <c r="V437">
        <v>1.6226415094339623</v>
      </c>
      <c r="W437">
        <v>0.35141509433962265</v>
      </c>
      <c r="X437">
        <v>43.9</v>
      </c>
      <c r="Y437">
        <v>14.9</v>
      </c>
      <c r="Z437">
        <v>52.5</v>
      </c>
      <c r="AA437">
        <v>5.9</v>
      </c>
      <c r="AB437">
        <v>5</v>
      </c>
      <c r="AC437">
        <v>15.3</v>
      </c>
      <c r="AD437">
        <v>1.5</v>
      </c>
      <c r="AE437">
        <v>1.3485714285714288</v>
      </c>
      <c r="AF437">
        <v>0.21857142857142858</v>
      </c>
      <c r="AG437">
        <v>19.8</v>
      </c>
      <c r="AH437">
        <v>21.6</v>
      </c>
      <c r="AI437">
        <v>57.3</v>
      </c>
    </row>
    <row r="438" spans="1:36" x14ac:dyDescent="0.5">
      <c r="A438">
        <v>60</v>
      </c>
      <c r="B438">
        <v>240</v>
      </c>
      <c r="C438">
        <v>0.1</v>
      </c>
      <c r="D438">
        <v>200</v>
      </c>
      <c r="E438">
        <v>4000</v>
      </c>
      <c r="F438">
        <v>1800</v>
      </c>
      <c r="G438">
        <v>9</v>
      </c>
      <c r="O438">
        <v>44</v>
      </c>
      <c r="P438">
        <v>7.9</v>
      </c>
      <c r="Q438">
        <v>32.6</v>
      </c>
      <c r="R438">
        <v>4.0999999999999996</v>
      </c>
      <c r="S438">
        <v>4.0999999999999996</v>
      </c>
      <c r="T438">
        <v>10</v>
      </c>
      <c r="U438">
        <v>1.1000000000000001</v>
      </c>
      <c r="V438">
        <v>1.5092024539877298</v>
      </c>
      <c r="W438">
        <v>0.23006134969325151</v>
      </c>
      <c r="X438">
        <v>48.1</v>
      </c>
      <c r="Y438">
        <v>15.1</v>
      </c>
      <c r="Z438">
        <v>55.8</v>
      </c>
      <c r="AA438">
        <v>6</v>
      </c>
      <c r="AB438">
        <v>4.7</v>
      </c>
      <c r="AC438">
        <v>5.2</v>
      </c>
      <c r="AD438">
        <v>1.5</v>
      </c>
      <c r="AE438">
        <v>1.2903225806451615</v>
      </c>
      <c r="AF438">
        <v>6.9892473118279577E-2</v>
      </c>
      <c r="AG438">
        <v>26.8</v>
      </c>
      <c r="AH438">
        <v>23.1</v>
      </c>
      <c r="AI438">
        <v>44.3</v>
      </c>
    </row>
    <row r="439" spans="1:36" x14ac:dyDescent="0.5">
      <c r="A439">
        <v>60</v>
      </c>
      <c r="B439">
        <v>180</v>
      </c>
      <c r="C439">
        <v>0.1</v>
      </c>
      <c r="D439">
        <v>25</v>
      </c>
      <c r="E439">
        <v>1000</v>
      </c>
      <c r="F439">
        <v>375</v>
      </c>
      <c r="G439">
        <v>15</v>
      </c>
      <c r="N439">
        <v>6.9</v>
      </c>
      <c r="O439">
        <v>85.5</v>
      </c>
      <c r="P439">
        <v>5.63</v>
      </c>
      <c r="Q439">
        <v>44.9</v>
      </c>
      <c r="R439">
        <v>6.02</v>
      </c>
      <c r="S439">
        <v>0.33</v>
      </c>
      <c r="T439">
        <v>46.78</v>
      </c>
      <c r="U439">
        <v>0</v>
      </c>
      <c r="V439">
        <v>1.6089086859688195</v>
      </c>
      <c r="W439">
        <v>0.78140311804008911</v>
      </c>
      <c r="X439">
        <v>1.97</v>
      </c>
      <c r="Y439">
        <v>17.797999999999998</v>
      </c>
      <c r="Z439">
        <v>49.7</v>
      </c>
      <c r="AA439">
        <v>5.77</v>
      </c>
      <c r="AB439">
        <v>0.41</v>
      </c>
      <c r="AC439">
        <v>42.72</v>
      </c>
      <c r="AD439">
        <v>0</v>
      </c>
      <c r="AE439">
        <v>1.3931589537223339</v>
      </c>
      <c r="AF439">
        <v>0.64466800804828972</v>
      </c>
      <c r="AG439">
        <v>1.4</v>
      </c>
      <c r="AH439">
        <v>19.707000000000001</v>
      </c>
      <c r="AI439">
        <v>65.88</v>
      </c>
      <c r="AJ439" t="s">
        <v>125</v>
      </c>
    </row>
    <row r="440" spans="1:36" x14ac:dyDescent="0.5">
      <c r="A440">
        <v>30</v>
      </c>
      <c r="B440">
        <v>200</v>
      </c>
      <c r="C440">
        <v>0.1</v>
      </c>
      <c r="D440">
        <v>25</v>
      </c>
      <c r="E440">
        <v>1000</v>
      </c>
      <c r="F440">
        <v>375</v>
      </c>
      <c r="G440">
        <v>15</v>
      </c>
      <c r="N440">
        <v>6.9</v>
      </c>
      <c r="O440">
        <v>85.5</v>
      </c>
      <c r="P440">
        <v>5.63</v>
      </c>
      <c r="Q440">
        <v>44.9</v>
      </c>
      <c r="R440">
        <v>6.02</v>
      </c>
      <c r="S440">
        <v>0.33</v>
      </c>
      <c r="T440">
        <v>46.78</v>
      </c>
      <c r="U440">
        <v>0</v>
      </c>
      <c r="V440">
        <v>1.6089086859688195</v>
      </c>
      <c r="W440">
        <v>0.78140311804008911</v>
      </c>
      <c r="X440">
        <v>1.97</v>
      </c>
      <c r="Y440">
        <v>17.797999999999998</v>
      </c>
      <c r="Z440">
        <v>51.8</v>
      </c>
      <c r="AA440">
        <v>5.81</v>
      </c>
      <c r="AB440">
        <v>0.39</v>
      </c>
      <c r="AC440">
        <v>40.96</v>
      </c>
      <c r="AD440">
        <v>0</v>
      </c>
      <c r="AE440">
        <v>1.345945945945946</v>
      </c>
      <c r="AF440">
        <v>0.59305019305019313</v>
      </c>
      <c r="AG440">
        <v>1.04</v>
      </c>
      <c r="AH440">
        <v>20.611999999999998</v>
      </c>
      <c r="AI440">
        <v>61</v>
      </c>
    </row>
    <row r="441" spans="1:36" x14ac:dyDescent="0.5">
      <c r="A441">
        <v>60</v>
      </c>
      <c r="B441">
        <v>200</v>
      </c>
      <c r="C441">
        <v>0.1</v>
      </c>
      <c r="D441">
        <v>25</v>
      </c>
      <c r="E441">
        <v>1000</v>
      </c>
      <c r="F441">
        <v>375</v>
      </c>
      <c r="G441">
        <v>15</v>
      </c>
      <c r="N441">
        <v>6.9</v>
      </c>
      <c r="O441">
        <v>85.5</v>
      </c>
      <c r="P441">
        <v>5.63</v>
      </c>
      <c r="Q441">
        <v>44.9</v>
      </c>
      <c r="R441">
        <v>6.02</v>
      </c>
      <c r="S441">
        <v>0.33</v>
      </c>
      <c r="T441">
        <v>46.78</v>
      </c>
      <c r="U441">
        <v>0</v>
      </c>
      <c r="V441">
        <v>1.6089086859688195</v>
      </c>
      <c r="W441">
        <v>0.78140311804008911</v>
      </c>
      <c r="X441">
        <v>1.97</v>
      </c>
      <c r="Y441">
        <v>17.797999999999998</v>
      </c>
      <c r="Z441">
        <v>52.5</v>
      </c>
      <c r="AA441">
        <v>5.78</v>
      </c>
      <c r="AB441">
        <v>0.46</v>
      </c>
      <c r="AC441">
        <v>40.21</v>
      </c>
      <c r="AD441">
        <v>0</v>
      </c>
      <c r="AE441">
        <v>1.3211428571428572</v>
      </c>
      <c r="AF441">
        <v>0.5744285714285714</v>
      </c>
      <c r="AG441">
        <v>1.05</v>
      </c>
      <c r="AH441">
        <v>20.911999999999999</v>
      </c>
      <c r="AI441">
        <v>60.9</v>
      </c>
    </row>
    <row r="442" spans="1:36" x14ac:dyDescent="0.5">
      <c r="A442">
        <v>90</v>
      </c>
      <c r="B442">
        <v>200</v>
      </c>
      <c r="C442">
        <v>0.1</v>
      </c>
      <c r="D442">
        <v>25</v>
      </c>
      <c r="E442">
        <v>1000</v>
      </c>
      <c r="F442">
        <v>375</v>
      </c>
      <c r="G442">
        <v>15</v>
      </c>
      <c r="N442">
        <v>6.9</v>
      </c>
      <c r="O442">
        <v>85.5</v>
      </c>
      <c r="P442">
        <v>5.63</v>
      </c>
      <c r="Q442">
        <v>44.9</v>
      </c>
      <c r="R442">
        <v>6.02</v>
      </c>
      <c r="S442">
        <v>0.33</v>
      </c>
      <c r="T442">
        <v>46.78</v>
      </c>
      <c r="U442">
        <v>0</v>
      </c>
      <c r="V442">
        <v>1.6089086859688195</v>
      </c>
      <c r="W442">
        <v>0.78140311804008911</v>
      </c>
      <c r="X442">
        <v>1.97</v>
      </c>
      <c r="Y442">
        <v>17.797999999999998</v>
      </c>
      <c r="Z442">
        <v>52.6</v>
      </c>
      <c r="AA442">
        <v>5.79</v>
      </c>
      <c r="AB442">
        <v>0.39</v>
      </c>
      <c r="AC442">
        <v>40.18</v>
      </c>
      <c r="AD442">
        <v>0</v>
      </c>
      <c r="AE442">
        <v>1.3209125475285171</v>
      </c>
      <c r="AF442">
        <v>0.57290874524714819</v>
      </c>
      <c r="AG442">
        <v>1.04</v>
      </c>
      <c r="AH442">
        <v>20.951000000000001</v>
      </c>
      <c r="AI442">
        <v>60.36</v>
      </c>
    </row>
    <row r="443" spans="1:36" x14ac:dyDescent="0.5">
      <c r="A443">
        <v>5</v>
      </c>
      <c r="B443">
        <v>220</v>
      </c>
      <c r="C443">
        <v>0.1</v>
      </c>
      <c r="D443">
        <v>25</v>
      </c>
      <c r="E443">
        <v>1000</v>
      </c>
      <c r="F443">
        <v>375</v>
      </c>
      <c r="G443">
        <v>15</v>
      </c>
      <c r="N443">
        <v>6.9</v>
      </c>
      <c r="O443">
        <v>85.5</v>
      </c>
      <c r="P443">
        <v>5.63</v>
      </c>
      <c r="Q443">
        <v>44.9</v>
      </c>
      <c r="R443">
        <v>6.02</v>
      </c>
      <c r="S443">
        <v>0.33</v>
      </c>
      <c r="T443">
        <v>46.78</v>
      </c>
      <c r="U443">
        <v>0</v>
      </c>
      <c r="V443">
        <v>1.6089086859688195</v>
      </c>
      <c r="W443">
        <v>0.78140311804008911</v>
      </c>
      <c r="X443">
        <v>1.97</v>
      </c>
      <c r="Y443">
        <v>17.797999999999998</v>
      </c>
      <c r="Z443">
        <v>51.8</v>
      </c>
      <c r="AA443">
        <v>5.77</v>
      </c>
      <c r="AB443">
        <v>0.38</v>
      </c>
      <c r="AC443">
        <v>40.840000000000003</v>
      </c>
      <c r="AD443">
        <v>0</v>
      </c>
      <c r="AE443">
        <v>1.3366795366795368</v>
      </c>
      <c r="AF443">
        <v>0.59131274131274136</v>
      </c>
      <c r="AG443">
        <v>1.21</v>
      </c>
      <c r="AH443">
        <v>20.593</v>
      </c>
      <c r="AI443">
        <v>59.2</v>
      </c>
    </row>
    <row r="444" spans="1:36" x14ac:dyDescent="0.5">
      <c r="A444">
        <v>60</v>
      </c>
      <c r="B444">
        <v>200</v>
      </c>
      <c r="C444">
        <v>0.1</v>
      </c>
      <c r="D444">
        <v>25</v>
      </c>
      <c r="E444">
        <v>1000</v>
      </c>
      <c r="F444">
        <v>500</v>
      </c>
      <c r="G444">
        <v>20</v>
      </c>
      <c r="N444">
        <v>6.9</v>
      </c>
      <c r="O444">
        <v>85.5</v>
      </c>
      <c r="P444">
        <v>5.63</v>
      </c>
      <c r="Q444">
        <v>44.9</v>
      </c>
      <c r="R444">
        <v>6.02</v>
      </c>
      <c r="S444">
        <v>0.33</v>
      </c>
      <c r="T444">
        <v>46.78</v>
      </c>
      <c r="U444">
        <v>0</v>
      </c>
      <c r="V444">
        <v>1.6089086859688195</v>
      </c>
      <c r="W444">
        <v>0.78140311804008911</v>
      </c>
      <c r="X444">
        <v>1.97</v>
      </c>
      <c r="Y444">
        <v>17.797999999999998</v>
      </c>
      <c r="Z444">
        <v>54.5</v>
      </c>
      <c r="AA444">
        <v>5.67</v>
      </c>
      <c r="AB444">
        <v>0.39</v>
      </c>
      <c r="AC444">
        <v>38.39</v>
      </c>
      <c r="AD444">
        <v>0</v>
      </c>
      <c r="AE444">
        <v>1.2484403669724771</v>
      </c>
      <c r="AF444">
        <v>0.52830275229357793</v>
      </c>
      <c r="AG444">
        <v>1.05</v>
      </c>
      <c r="AH444">
        <v>21.728999999999999</v>
      </c>
      <c r="AI444">
        <v>55.96</v>
      </c>
    </row>
    <row r="445" spans="1:36" x14ac:dyDescent="0.5">
      <c r="A445">
        <v>90</v>
      </c>
      <c r="B445">
        <v>200</v>
      </c>
      <c r="C445">
        <v>0.1</v>
      </c>
      <c r="D445">
        <v>25</v>
      </c>
      <c r="E445">
        <v>1000</v>
      </c>
      <c r="F445">
        <v>500</v>
      </c>
      <c r="G445">
        <v>20</v>
      </c>
      <c r="N445">
        <v>6.9</v>
      </c>
      <c r="O445">
        <v>85.5</v>
      </c>
      <c r="P445">
        <v>5.63</v>
      </c>
      <c r="Q445">
        <v>44.9</v>
      </c>
      <c r="R445">
        <v>6.02</v>
      </c>
      <c r="S445">
        <v>0.33</v>
      </c>
      <c r="T445">
        <v>46.78</v>
      </c>
      <c r="U445">
        <v>0</v>
      </c>
      <c r="V445">
        <v>1.6089086859688195</v>
      </c>
      <c r="W445">
        <v>0.78140311804008911</v>
      </c>
      <c r="X445">
        <v>1.97</v>
      </c>
      <c r="Y445">
        <v>17.797999999999998</v>
      </c>
      <c r="Z445">
        <v>51.9</v>
      </c>
      <c r="AA445">
        <v>5.82</v>
      </c>
      <c r="AB445">
        <v>0.57999999999999996</v>
      </c>
      <c r="AC445">
        <v>39.44</v>
      </c>
      <c r="AD445">
        <v>0</v>
      </c>
      <c r="AE445">
        <v>1.3456647398843931</v>
      </c>
      <c r="AF445">
        <v>0.5699421965317919</v>
      </c>
      <c r="AG445">
        <v>2.2599999999999998</v>
      </c>
      <c r="AH445">
        <v>20.684999999999999</v>
      </c>
      <c r="AI445">
        <v>62.85</v>
      </c>
    </row>
    <row r="446" spans="1:36" x14ac:dyDescent="0.5">
      <c r="A446">
        <v>240</v>
      </c>
      <c r="B446">
        <v>200</v>
      </c>
      <c r="C446">
        <v>0.1</v>
      </c>
      <c r="D446">
        <v>25</v>
      </c>
      <c r="E446">
        <v>1000</v>
      </c>
      <c r="F446">
        <v>500</v>
      </c>
      <c r="G446">
        <v>20</v>
      </c>
      <c r="N446">
        <v>6.9</v>
      </c>
      <c r="O446">
        <v>85.5</v>
      </c>
      <c r="P446">
        <v>5.63</v>
      </c>
      <c r="Q446">
        <v>44.9</v>
      </c>
      <c r="R446">
        <v>6.02</v>
      </c>
      <c r="S446">
        <v>0.33</v>
      </c>
      <c r="T446">
        <v>46.78</v>
      </c>
      <c r="U446">
        <v>0</v>
      </c>
      <c r="V446">
        <v>1.6089086859688195</v>
      </c>
      <c r="W446">
        <v>0.78140311804008911</v>
      </c>
      <c r="X446">
        <v>1.97</v>
      </c>
      <c r="Y446">
        <v>17.797999999999998</v>
      </c>
      <c r="Z446">
        <v>53.3</v>
      </c>
      <c r="AA446">
        <v>5.99</v>
      </c>
      <c r="AB446">
        <v>0.32</v>
      </c>
      <c r="AC446">
        <v>40.130000000000003</v>
      </c>
      <c r="AD446">
        <v>0</v>
      </c>
      <c r="AE446">
        <v>1.3485928705440902</v>
      </c>
      <c r="AF446">
        <v>0.56468105065666052</v>
      </c>
      <c r="AG446">
        <v>0.26</v>
      </c>
      <c r="AH446">
        <v>20.95</v>
      </c>
      <c r="AI446">
        <v>70</v>
      </c>
    </row>
    <row r="447" spans="1:36" x14ac:dyDescent="0.5">
      <c r="A447">
        <v>60</v>
      </c>
      <c r="B447">
        <v>180</v>
      </c>
      <c r="C447">
        <v>0.1</v>
      </c>
      <c r="D447">
        <v>230</v>
      </c>
      <c r="E447">
        <v>500</v>
      </c>
      <c r="F447">
        <v>230</v>
      </c>
      <c r="G447">
        <v>1</v>
      </c>
      <c r="O447">
        <v>55.2</v>
      </c>
      <c r="P447">
        <v>9.7799999999999994</v>
      </c>
      <c r="Q447">
        <v>38.49</v>
      </c>
      <c r="R447">
        <v>5.54</v>
      </c>
      <c r="S447">
        <v>5.12</v>
      </c>
      <c r="T447">
        <v>25.96</v>
      </c>
      <c r="U447">
        <v>0.87</v>
      </c>
      <c r="V447">
        <v>1.7272018706157444</v>
      </c>
      <c r="W447">
        <v>0.50584567420109117</v>
      </c>
      <c r="X447">
        <v>29.56</v>
      </c>
      <c r="Y447">
        <v>16.66</v>
      </c>
      <c r="Z447">
        <v>38.020000000000003</v>
      </c>
      <c r="AA447">
        <v>4.7300000000000004</v>
      </c>
      <c r="AB447">
        <v>4.46</v>
      </c>
      <c r="AC447">
        <v>15.95</v>
      </c>
      <c r="AD447">
        <v>0.85</v>
      </c>
      <c r="AE447">
        <v>1.4928984744871121</v>
      </c>
      <c r="AF447">
        <v>0.31463703314045238</v>
      </c>
      <c r="AG447">
        <v>35.99</v>
      </c>
      <c r="AH447">
        <v>16.309999999999999</v>
      </c>
      <c r="AI447">
        <v>68.319999999999993</v>
      </c>
      <c r="AJ447" t="s">
        <v>127</v>
      </c>
    </row>
    <row r="448" spans="1:36" x14ac:dyDescent="0.5">
      <c r="A448">
        <v>60</v>
      </c>
      <c r="B448">
        <v>450</v>
      </c>
      <c r="C448">
        <v>0.1</v>
      </c>
      <c r="D448">
        <v>230</v>
      </c>
      <c r="E448">
        <v>500</v>
      </c>
      <c r="F448">
        <v>230</v>
      </c>
      <c r="G448">
        <v>1</v>
      </c>
      <c r="O448">
        <v>55.2</v>
      </c>
      <c r="P448">
        <v>9.7799999999999994</v>
      </c>
      <c r="Q448">
        <v>38.49</v>
      </c>
      <c r="R448">
        <v>5.54</v>
      </c>
      <c r="S448">
        <v>5.12</v>
      </c>
      <c r="T448">
        <v>25.96</v>
      </c>
      <c r="U448">
        <v>0.87</v>
      </c>
      <c r="V448">
        <v>1.7272018706157444</v>
      </c>
      <c r="W448">
        <v>0.50584567420109117</v>
      </c>
      <c r="X448">
        <v>29.56</v>
      </c>
      <c r="Y448">
        <v>16.66</v>
      </c>
      <c r="Z448">
        <v>32.799999999999997</v>
      </c>
      <c r="AA448">
        <v>2.2200000000000002</v>
      </c>
      <c r="AB448">
        <v>5.04</v>
      </c>
      <c r="AC448">
        <v>6.12</v>
      </c>
      <c r="AD448">
        <v>0.6</v>
      </c>
      <c r="AE448">
        <v>0.81219512195121968</v>
      </c>
      <c r="AF448">
        <v>0.13993902439024392</v>
      </c>
      <c r="AG448">
        <v>55.83</v>
      </c>
      <c r="AH448">
        <v>12.39</v>
      </c>
      <c r="AI448">
        <v>55.45</v>
      </c>
    </row>
    <row r="449" spans="1:36" x14ac:dyDescent="0.5">
      <c r="A449">
        <v>60</v>
      </c>
      <c r="B449">
        <v>600</v>
      </c>
      <c r="C449">
        <v>0.1</v>
      </c>
      <c r="D449">
        <v>230</v>
      </c>
      <c r="E449">
        <v>500</v>
      </c>
      <c r="F449">
        <v>230</v>
      </c>
      <c r="G449">
        <v>1</v>
      </c>
      <c r="O449">
        <v>55.2</v>
      </c>
      <c r="P449">
        <v>9.7799999999999994</v>
      </c>
      <c r="Q449">
        <v>38.49</v>
      </c>
      <c r="R449">
        <v>5.54</v>
      </c>
      <c r="S449">
        <v>5.12</v>
      </c>
      <c r="T449">
        <v>25.96</v>
      </c>
      <c r="U449">
        <v>0.87</v>
      </c>
      <c r="V449">
        <v>1.7272018706157444</v>
      </c>
      <c r="W449">
        <v>0.50584567420109117</v>
      </c>
      <c r="X449">
        <v>29.56</v>
      </c>
      <c r="Y449">
        <v>16.66</v>
      </c>
      <c r="Z449">
        <v>31.07</v>
      </c>
      <c r="AA449">
        <v>1.1499999999999999</v>
      </c>
      <c r="AB449">
        <v>4.59</v>
      </c>
      <c r="AC449">
        <v>3.51</v>
      </c>
      <c r="AD449">
        <v>0.46</v>
      </c>
      <c r="AE449">
        <v>0.44415835210814286</v>
      </c>
      <c r="AF449">
        <v>8.4728033472803332E-2</v>
      </c>
      <c r="AG449">
        <v>56.61</v>
      </c>
      <c r="AH449">
        <v>10.19</v>
      </c>
      <c r="AI449">
        <v>48.84</v>
      </c>
    </row>
    <row r="450" spans="1:36" x14ac:dyDescent="0.5">
      <c r="A450">
        <v>60</v>
      </c>
      <c r="B450">
        <v>180</v>
      </c>
      <c r="C450">
        <v>0.1</v>
      </c>
      <c r="D450">
        <v>230</v>
      </c>
      <c r="E450">
        <v>500</v>
      </c>
      <c r="F450">
        <v>230</v>
      </c>
      <c r="G450">
        <v>1</v>
      </c>
      <c r="O450">
        <v>50.2</v>
      </c>
      <c r="P450">
        <v>17.440000000000001</v>
      </c>
      <c r="Q450">
        <v>40.11</v>
      </c>
      <c r="R450">
        <v>5.34</v>
      </c>
      <c r="S450">
        <v>4.3600000000000003</v>
      </c>
      <c r="T450">
        <v>23</v>
      </c>
      <c r="U450">
        <v>0.46</v>
      </c>
      <c r="V450">
        <v>1.5976065818997756</v>
      </c>
      <c r="W450">
        <v>0.43006731488406885</v>
      </c>
      <c r="X450">
        <v>56.61</v>
      </c>
      <c r="Y450">
        <v>17.170000000000002</v>
      </c>
      <c r="Z450">
        <v>45.82</v>
      </c>
      <c r="AA450">
        <v>4.6399999999999997</v>
      </c>
      <c r="AB450">
        <v>5.12</v>
      </c>
      <c r="AC450">
        <v>8.77</v>
      </c>
      <c r="AD450">
        <v>1.1399999999999999</v>
      </c>
      <c r="AE450">
        <v>1.2151898734177213</v>
      </c>
      <c r="AF450">
        <v>0.14355085115670013</v>
      </c>
      <c r="AG450">
        <v>34.51</v>
      </c>
      <c r="AH450">
        <v>19.75</v>
      </c>
      <c r="AI450">
        <v>62.32</v>
      </c>
    </row>
    <row r="451" spans="1:36" x14ac:dyDescent="0.5">
      <c r="A451">
        <v>60</v>
      </c>
      <c r="B451">
        <v>450</v>
      </c>
      <c r="C451">
        <v>0.1</v>
      </c>
      <c r="D451">
        <v>230</v>
      </c>
      <c r="E451">
        <v>500</v>
      </c>
      <c r="F451">
        <v>230</v>
      </c>
      <c r="G451">
        <v>1</v>
      </c>
      <c r="O451">
        <v>50.2</v>
      </c>
      <c r="P451">
        <v>17.440000000000001</v>
      </c>
      <c r="Q451">
        <v>40.11</v>
      </c>
      <c r="R451">
        <v>5.34</v>
      </c>
      <c r="S451">
        <v>4.3600000000000003</v>
      </c>
      <c r="T451">
        <v>23</v>
      </c>
      <c r="U451">
        <v>0.46</v>
      </c>
      <c r="V451">
        <v>1.5976065818997756</v>
      </c>
      <c r="W451">
        <v>0.43006731488406885</v>
      </c>
      <c r="X451">
        <v>56.61</v>
      </c>
      <c r="Y451">
        <v>17.170000000000002</v>
      </c>
      <c r="Z451">
        <v>43.26</v>
      </c>
      <c r="AA451">
        <v>2.61</v>
      </c>
      <c r="AB451">
        <v>4.7699999999999996</v>
      </c>
      <c r="AC451">
        <v>6.52</v>
      </c>
      <c r="AD451">
        <v>0.85</v>
      </c>
      <c r="AE451">
        <v>0.72399445214979197</v>
      </c>
      <c r="AF451">
        <v>0.11303744798890429</v>
      </c>
      <c r="AG451">
        <v>41.99</v>
      </c>
      <c r="AH451">
        <v>16.57</v>
      </c>
      <c r="AI451">
        <v>60.99</v>
      </c>
    </row>
    <row r="452" spans="1:36" x14ac:dyDescent="0.5">
      <c r="A452">
        <v>60</v>
      </c>
      <c r="B452">
        <v>600</v>
      </c>
      <c r="C452">
        <v>0.1</v>
      </c>
      <c r="D452">
        <v>230</v>
      </c>
      <c r="E452">
        <v>500</v>
      </c>
      <c r="F452">
        <v>230</v>
      </c>
      <c r="G452">
        <v>1</v>
      </c>
      <c r="O452">
        <v>50.2</v>
      </c>
      <c r="P452">
        <v>17.440000000000001</v>
      </c>
      <c r="Q452">
        <v>40.11</v>
      </c>
      <c r="R452">
        <v>5.34</v>
      </c>
      <c r="S452">
        <v>4.3600000000000003</v>
      </c>
      <c r="T452">
        <v>23</v>
      </c>
      <c r="U452">
        <v>0.46</v>
      </c>
      <c r="V452">
        <v>1.5976065818997756</v>
      </c>
      <c r="W452">
        <v>0.43006731488406885</v>
      </c>
      <c r="X452">
        <v>56.61</v>
      </c>
      <c r="Y452">
        <v>17.170000000000002</v>
      </c>
      <c r="Z452">
        <v>31.57</v>
      </c>
      <c r="AA452">
        <v>0.87</v>
      </c>
      <c r="AB452">
        <v>3.34</v>
      </c>
      <c r="AC452">
        <v>1.23</v>
      </c>
      <c r="AD452">
        <v>0.93</v>
      </c>
      <c r="AE452">
        <v>0.33069369654735509</v>
      </c>
      <c r="AF452">
        <v>2.922077922077922E-2</v>
      </c>
      <c r="AG452">
        <v>62.06</v>
      </c>
      <c r="AH452">
        <v>10.64</v>
      </c>
      <c r="AI452">
        <v>47.91</v>
      </c>
    </row>
    <row r="453" spans="1:36" x14ac:dyDescent="0.5">
      <c r="A453">
        <v>120</v>
      </c>
      <c r="B453">
        <v>200</v>
      </c>
      <c r="C453">
        <v>0.1</v>
      </c>
      <c r="D453">
        <v>4</v>
      </c>
      <c r="E453">
        <v>50</v>
      </c>
      <c r="F453">
        <v>40</v>
      </c>
      <c r="G453">
        <v>10</v>
      </c>
      <c r="N453">
        <v>7.33</v>
      </c>
      <c r="O453">
        <v>77.14</v>
      </c>
      <c r="P453">
        <v>15.17</v>
      </c>
      <c r="Q453">
        <v>44.37</v>
      </c>
      <c r="R453">
        <v>6.29</v>
      </c>
      <c r="S453">
        <v>0.1</v>
      </c>
      <c r="T453">
        <v>48.71</v>
      </c>
      <c r="U453">
        <v>0.17</v>
      </c>
      <c r="V453">
        <v>1.7011494252873565</v>
      </c>
      <c r="W453">
        <v>0.82336037863421241</v>
      </c>
      <c r="X453">
        <v>0.36</v>
      </c>
      <c r="Y453">
        <v>17.87</v>
      </c>
      <c r="Z453">
        <v>53.59</v>
      </c>
      <c r="AA453">
        <v>5.91</v>
      </c>
      <c r="AB453">
        <v>0.12</v>
      </c>
      <c r="AC453">
        <v>40.159999999999997</v>
      </c>
      <c r="AD453">
        <v>0.05</v>
      </c>
      <c r="AE453">
        <v>1.3233812278410151</v>
      </c>
      <c r="AF453">
        <v>0.56204515767867136</v>
      </c>
      <c r="AG453">
        <v>0.17</v>
      </c>
      <c r="AH453">
        <v>21.52</v>
      </c>
      <c r="AI453">
        <v>70.5</v>
      </c>
      <c r="AJ453" t="s">
        <v>129</v>
      </c>
    </row>
    <row r="454" spans="1:36" x14ac:dyDescent="0.5">
      <c r="A454">
        <v>120</v>
      </c>
      <c r="B454">
        <v>220</v>
      </c>
      <c r="C454">
        <v>0.1</v>
      </c>
      <c r="D454">
        <v>4</v>
      </c>
      <c r="E454">
        <v>50</v>
      </c>
      <c r="F454">
        <v>40</v>
      </c>
      <c r="G454">
        <v>10</v>
      </c>
      <c r="N454">
        <v>7.33</v>
      </c>
      <c r="O454">
        <v>77.14</v>
      </c>
      <c r="P454">
        <v>15.17</v>
      </c>
      <c r="Q454">
        <v>44.37</v>
      </c>
      <c r="R454">
        <v>6.29</v>
      </c>
      <c r="S454">
        <v>0.1</v>
      </c>
      <c r="T454">
        <v>48.71</v>
      </c>
      <c r="U454">
        <v>0.17</v>
      </c>
      <c r="V454">
        <v>1.7011494252873565</v>
      </c>
      <c r="W454">
        <v>0.82336037863421241</v>
      </c>
      <c r="X454">
        <v>0.36</v>
      </c>
      <c r="Y454">
        <v>17.87</v>
      </c>
      <c r="Z454">
        <v>57.65</v>
      </c>
      <c r="AA454">
        <v>5.67</v>
      </c>
      <c r="AB454">
        <v>0.14000000000000001</v>
      </c>
      <c r="AC454">
        <v>36.369999999999997</v>
      </c>
      <c r="AD454">
        <v>0</v>
      </c>
      <c r="AE454">
        <v>1.1802254986990461</v>
      </c>
      <c r="AF454">
        <v>0.47315698178664356</v>
      </c>
      <c r="AG454">
        <v>0.17</v>
      </c>
      <c r="AH454">
        <v>23.04</v>
      </c>
      <c r="AI454">
        <v>60.25</v>
      </c>
    </row>
    <row r="455" spans="1:36" x14ac:dyDescent="0.5">
      <c r="A455">
        <v>120</v>
      </c>
      <c r="B455">
        <v>240</v>
      </c>
      <c r="C455">
        <v>0.1</v>
      </c>
      <c r="D455">
        <v>4</v>
      </c>
      <c r="E455">
        <v>50</v>
      </c>
      <c r="F455">
        <v>40</v>
      </c>
      <c r="G455">
        <v>10</v>
      </c>
      <c r="N455">
        <v>7.33</v>
      </c>
      <c r="O455">
        <v>77.14</v>
      </c>
      <c r="P455">
        <v>15.17</v>
      </c>
      <c r="Q455">
        <v>44.37</v>
      </c>
      <c r="R455">
        <v>6.29</v>
      </c>
      <c r="S455">
        <v>0.1</v>
      </c>
      <c r="T455">
        <v>48.71</v>
      </c>
      <c r="U455">
        <v>0.17</v>
      </c>
      <c r="V455">
        <v>1.7011494252873565</v>
      </c>
      <c r="W455">
        <v>0.82336037863421241</v>
      </c>
      <c r="X455">
        <v>0.36</v>
      </c>
      <c r="Y455">
        <v>17.87</v>
      </c>
      <c r="Z455">
        <v>69.7</v>
      </c>
      <c r="AA455">
        <v>5.2</v>
      </c>
      <c r="AB455">
        <v>0.19</v>
      </c>
      <c r="AC455">
        <v>24.71</v>
      </c>
      <c r="AD455">
        <v>0</v>
      </c>
      <c r="AE455">
        <v>0.89526542324246772</v>
      </c>
      <c r="AF455">
        <v>0.26588952654232423</v>
      </c>
      <c r="AG455">
        <v>0.2</v>
      </c>
      <c r="AH455">
        <v>27.9</v>
      </c>
      <c r="AI455">
        <v>53</v>
      </c>
    </row>
    <row r="456" spans="1:36" x14ac:dyDescent="0.5">
      <c r="A456">
        <v>120</v>
      </c>
      <c r="B456">
        <v>260</v>
      </c>
      <c r="C456">
        <v>0.1</v>
      </c>
      <c r="D456">
        <v>4</v>
      </c>
      <c r="E456">
        <v>50</v>
      </c>
      <c r="F456">
        <v>40</v>
      </c>
      <c r="G456">
        <v>10</v>
      </c>
      <c r="N456">
        <v>7.33</v>
      </c>
      <c r="O456">
        <v>77.14</v>
      </c>
      <c r="P456">
        <v>15.17</v>
      </c>
      <c r="Q456">
        <v>44.37</v>
      </c>
      <c r="R456">
        <v>6.29</v>
      </c>
      <c r="S456">
        <v>0.1</v>
      </c>
      <c r="T456">
        <v>48.71</v>
      </c>
      <c r="U456">
        <v>0.17</v>
      </c>
      <c r="V456">
        <v>1.7011494252873565</v>
      </c>
      <c r="W456">
        <v>0.82336037863421241</v>
      </c>
      <c r="X456">
        <v>0.36</v>
      </c>
      <c r="Y456">
        <v>17.87</v>
      </c>
      <c r="Z456">
        <v>70.989999999999995</v>
      </c>
      <c r="AA456">
        <v>5</v>
      </c>
      <c r="AB456">
        <v>0.21</v>
      </c>
      <c r="AC456">
        <v>23.62</v>
      </c>
      <c r="AD456">
        <v>0</v>
      </c>
      <c r="AE456">
        <v>0.84518946330469091</v>
      </c>
      <c r="AF456">
        <v>0.24954218904070999</v>
      </c>
      <c r="AG456">
        <v>0.18</v>
      </c>
      <c r="AH456">
        <v>28.22</v>
      </c>
      <c r="AI456">
        <v>50</v>
      </c>
    </row>
    <row r="457" spans="1:36" x14ac:dyDescent="0.5">
      <c r="A457">
        <v>120</v>
      </c>
      <c r="B457">
        <v>200</v>
      </c>
      <c r="C457">
        <v>0.1</v>
      </c>
      <c r="D457">
        <v>4</v>
      </c>
      <c r="E457">
        <v>50</v>
      </c>
      <c r="F457">
        <v>40</v>
      </c>
      <c r="G457">
        <v>10</v>
      </c>
      <c r="N457">
        <v>8.06</v>
      </c>
      <c r="O457">
        <v>76.88</v>
      </c>
      <c r="P457">
        <v>13.83</v>
      </c>
      <c r="Q457">
        <v>46.35</v>
      </c>
      <c r="R457">
        <v>6.66</v>
      </c>
      <c r="S457">
        <v>5.86</v>
      </c>
      <c r="T457">
        <v>39.35</v>
      </c>
      <c r="U457">
        <v>0.55000000000000004</v>
      </c>
      <c r="V457">
        <v>1.7242718446601941</v>
      </c>
      <c r="W457">
        <v>0.63673139158576053</v>
      </c>
      <c r="X457">
        <v>1.23</v>
      </c>
      <c r="Y457">
        <v>19.899999999999999</v>
      </c>
      <c r="Z457">
        <v>63.49</v>
      </c>
      <c r="AA457">
        <v>6.08</v>
      </c>
      <c r="AB457">
        <v>5.97</v>
      </c>
      <c r="AC457">
        <v>23.17</v>
      </c>
      <c r="AD457">
        <v>0.22</v>
      </c>
      <c r="AE457">
        <v>1.1491573476137975</v>
      </c>
      <c r="AF457">
        <v>0.2737045203969129</v>
      </c>
      <c r="AG457">
        <v>1.07</v>
      </c>
      <c r="AH457">
        <v>26.84</v>
      </c>
      <c r="AI457">
        <v>38</v>
      </c>
    </row>
    <row r="458" spans="1:36" x14ac:dyDescent="0.5">
      <c r="A458">
        <v>120</v>
      </c>
      <c r="B458">
        <v>220</v>
      </c>
      <c r="C458">
        <v>0.1</v>
      </c>
      <c r="D458">
        <v>4</v>
      </c>
      <c r="E458">
        <v>50</v>
      </c>
      <c r="F458">
        <v>40</v>
      </c>
      <c r="G458">
        <v>10</v>
      </c>
      <c r="N458">
        <v>8.06</v>
      </c>
      <c r="O458">
        <v>76.88</v>
      </c>
      <c r="P458">
        <v>13.83</v>
      </c>
      <c r="Q458">
        <v>46.35</v>
      </c>
      <c r="R458">
        <v>6.66</v>
      </c>
      <c r="S458">
        <v>5.86</v>
      </c>
      <c r="T458">
        <v>39.35</v>
      </c>
      <c r="U458">
        <v>0.55000000000000004</v>
      </c>
      <c r="V458">
        <v>1.7242718446601941</v>
      </c>
      <c r="W458">
        <v>0.63673139158576053</v>
      </c>
      <c r="X458">
        <v>1.23</v>
      </c>
      <c r="Y458">
        <v>19.899999999999999</v>
      </c>
      <c r="Z458">
        <v>68.23</v>
      </c>
      <c r="AA458">
        <v>6.26</v>
      </c>
      <c r="AB458">
        <v>6.08</v>
      </c>
      <c r="AC458">
        <v>18.170000000000002</v>
      </c>
      <c r="AD458">
        <v>0.36</v>
      </c>
      <c r="AE458">
        <v>1.100981972739264</v>
      </c>
      <c r="AF458">
        <v>0.19972885827348674</v>
      </c>
      <c r="AG458">
        <v>0.9</v>
      </c>
      <c r="AH458">
        <v>29.24</v>
      </c>
      <c r="AI458">
        <v>36</v>
      </c>
    </row>
    <row r="459" spans="1:36" x14ac:dyDescent="0.5">
      <c r="A459">
        <v>120</v>
      </c>
      <c r="B459">
        <v>240</v>
      </c>
      <c r="C459">
        <v>0.1</v>
      </c>
      <c r="D459">
        <v>4</v>
      </c>
      <c r="E459">
        <v>50</v>
      </c>
      <c r="F459">
        <v>40</v>
      </c>
      <c r="G459">
        <v>10</v>
      </c>
      <c r="N459">
        <v>8.06</v>
      </c>
      <c r="O459">
        <v>76.88</v>
      </c>
      <c r="P459">
        <v>13.83</v>
      </c>
      <c r="Q459">
        <v>46.35</v>
      </c>
      <c r="R459">
        <v>6.66</v>
      </c>
      <c r="S459">
        <v>5.86</v>
      </c>
      <c r="T459">
        <v>39.35</v>
      </c>
      <c r="U459">
        <v>0.55000000000000004</v>
      </c>
      <c r="V459">
        <v>1.7242718446601941</v>
      </c>
      <c r="W459">
        <v>0.63673139158576053</v>
      </c>
      <c r="X459">
        <v>1.23</v>
      </c>
      <c r="Y459">
        <v>19.899999999999999</v>
      </c>
      <c r="Z459">
        <v>69.67</v>
      </c>
      <c r="AA459">
        <v>6.46</v>
      </c>
      <c r="AB459">
        <v>6.36</v>
      </c>
      <c r="AC459">
        <v>16.47</v>
      </c>
      <c r="AD459">
        <v>0.23</v>
      </c>
      <c r="AE459">
        <v>1.1126740347351802</v>
      </c>
      <c r="AF459">
        <v>0.17730012918042198</v>
      </c>
      <c r="AG459">
        <v>0.81</v>
      </c>
      <c r="AH459">
        <v>30.14</v>
      </c>
      <c r="AI459">
        <v>34</v>
      </c>
    </row>
    <row r="460" spans="1:36" x14ac:dyDescent="0.5">
      <c r="A460">
        <v>120</v>
      </c>
      <c r="B460">
        <v>260</v>
      </c>
      <c r="C460">
        <v>0.1</v>
      </c>
      <c r="D460">
        <v>4</v>
      </c>
      <c r="E460">
        <v>50</v>
      </c>
      <c r="F460">
        <v>40</v>
      </c>
      <c r="G460">
        <v>10</v>
      </c>
      <c r="N460">
        <v>8.06</v>
      </c>
      <c r="O460">
        <v>76.88</v>
      </c>
      <c r="P460">
        <v>13.83</v>
      </c>
      <c r="Q460">
        <v>46.35</v>
      </c>
      <c r="R460">
        <v>6.66</v>
      </c>
      <c r="S460">
        <v>5.86</v>
      </c>
      <c r="T460">
        <v>39.35</v>
      </c>
      <c r="U460">
        <v>0.55000000000000004</v>
      </c>
      <c r="V460">
        <v>1.7242718446601941</v>
      </c>
      <c r="W460">
        <v>0.63673139158576053</v>
      </c>
      <c r="X460">
        <v>1.23</v>
      </c>
      <c r="Y460">
        <v>19.899999999999999</v>
      </c>
      <c r="Z460">
        <v>72.25</v>
      </c>
      <c r="AA460">
        <v>6.37</v>
      </c>
      <c r="AB460">
        <v>6.51</v>
      </c>
      <c r="AC460">
        <v>13.66</v>
      </c>
      <c r="AD460">
        <v>0.19</v>
      </c>
      <c r="AE460">
        <v>1.0579930795847752</v>
      </c>
      <c r="AF460">
        <v>0.14179930795847751</v>
      </c>
      <c r="AG460">
        <v>1.02</v>
      </c>
      <c r="AH460">
        <v>31.22</v>
      </c>
      <c r="AI460">
        <v>30</v>
      </c>
    </row>
    <row r="461" spans="1:36" x14ac:dyDescent="0.5">
      <c r="A461">
        <v>60</v>
      </c>
      <c r="B461">
        <v>170</v>
      </c>
      <c r="C461">
        <v>0.1</v>
      </c>
      <c r="D461">
        <v>200</v>
      </c>
      <c r="E461">
        <v>4000</v>
      </c>
      <c r="F461">
        <v>1800</v>
      </c>
      <c r="G461">
        <v>9</v>
      </c>
      <c r="O461">
        <v>68.8</v>
      </c>
      <c r="P461">
        <v>15.7</v>
      </c>
      <c r="Q461">
        <v>39.9</v>
      </c>
      <c r="R461">
        <v>5.3</v>
      </c>
      <c r="S461">
        <v>2.7</v>
      </c>
      <c r="T461">
        <v>36.1</v>
      </c>
      <c r="U461">
        <v>0.5</v>
      </c>
      <c r="V461">
        <v>1.5939849624060152</v>
      </c>
      <c r="W461">
        <v>0.6785714285714286</v>
      </c>
      <c r="X461">
        <v>15.5</v>
      </c>
      <c r="Y461">
        <v>16</v>
      </c>
      <c r="Z461">
        <v>41.6</v>
      </c>
      <c r="AA461">
        <v>5.3</v>
      </c>
      <c r="AB461">
        <v>2</v>
      </c>
      <c r="AC461">
        <v>31.2</v>
      </c>
      <c r="AD461">
        <v>0.2</v>
      </c>
      <c r="AE461">
        <v>1.5288461538461537</v>
      </c>
      <c r="AF461">
        <v>0.5625</v>
      </c>
      <c r="AG461">
        <v>19.7</v>
      </c>
      <c r="AH461">
        <v>16.399999999999999</v>
      </c>
      <c r="AI461">
        <v>65</v>
      </c>
      <c r="AJ461" t="s">
        <v>131</v>
      </c>
    </row>
    <row r="462" spans="1:36" x14ac:dyDescent="0.5">
      <c r="A462">
        <v>60</v>
      </c>
      <c r="B462">
        <v>200</v>
      </c>
      <c r="C462">
        <v>0.1</v>
      </c>
      <c r="D462">
        <v>200</v>
      </c>
      <c r="E462">
        <v>4000</v>
      </c>
      <c r="F462">
        <v>1800</v>
      </c>
      <c r="G462">
        <v>9</v>
      </c>
      <c r="O462">
        <v>68.8</v>
      </c>
      <c r="P462">
        <v>15.7</v>
      </c>
      <c r="Q462">
        <v>39.9</v>
      </c>
      <c r="R462">
        <v>5.3</v>
      </c>
      <c r="S462">
        <v>2.7</v>
      </c>
      <c r="T462">
        <v>36.1</v>
      </c>
      <c r="U462">
        <v>0.5</v>
      </c>
      <c r="V462">
        <v>1.5939849624060152</v>
      </c>
      <c r="W462">
        <v>0.6785714285714286</v>
      </c>
      <c r="X462">
        <v>15.5</v>
      </c>
      <c r="Y462">
        <v>16</v>
      </c>
      <c r="Z462">
        <v>44.8</v>
      </c>
      <c r="AA462">
        <v>5.3</v>
      </c>
      <c r="AB462">
        <v>2.1</v>
      </c>
      <c r="AC462">
        <v>24.4</v>
      </c>
      <c r="AD462">
        <v>0.1</v>
      </c>
      <c r="AE462">
        <v>1.4196428571428572</v>
      </c>
      <c r="AF462">
        <v>0.40848214285714285</v>
      </c>
      <c r="AG462">
        <v>23.3</v>
      </c>
      <c r="AH462">
        <v>19</v>
      </c>
      <c r="AI462">
        <v>57</v>
      </c>
    </row>
    <row r="463" spans="1:36" x14ac:dyDescent="0.5">
      <c r="A463">
        <v>60</v>
      </c>
      <c r="B463">
        <v>230</v>
      </c>
      <c r="C463">
        <v>0.1</v>
      </c>
      <c r="D463">
        <v>200</v>
      </c>
      <c r="E463">
        <v>4000</v>
      </c>
      <c r="F463">
        <v>1800</v>
      </c>
      <c r="G463">
        <v>9</v>
      </c>
      <c r="O463">
        <v>68.8</v>
      </c>
      <c r="P463">
        <v>15.7</v>
      </c>
      <c r="Q463">
        <v>39.9</v>
      </c>
      <c r="R463">
        <v>5.3</v>
      </c>
      <c r="S463">
        <v>2.7</v>
      </c>
      <c r="T463">
        <v>36.1</v>
      </c>
      <c r="U463">
        <v>0.5</v>
      </c>
      <c r="V463">
        <v>1.5939849624060152</v>
      </c>
      <c r="W463">
        <v>0.6785714285714286</v>
      </c>
      <c r="X463">
        <v>15.5</v>
      </c>
      <c r="Y463">
        <v>16</v>
      </c>
      <c r="Z463">
        <v>47.4</v>
      </c>
      <c r="AA463">
        <v>5.3</v>
      </c>
      <c r="AB463">
        <v>2.1</v>
      </c>
      <c r="AC463">
        <v>21</v>
      </c>
      <c r="AD463">
        <v>0.1</v>
      </c>
      <c r="AE463">
        <v>1.3417721518987342</v>
      </c>
      <c r="AF463">
        <v>0.33227848101265828</v>
      </c>
      <c r="AG463">
        <v>24.1</v>
      </c>
      <c r="AH463">
        <v>20.100000000000001</v>
      </c>
      <c r="AI463">
        <v>54</v>
      </c>
    </row>
    <row r="464" spans="1:36" x14ac:dyDescent="0.5">
      <c r="A464">
        <v>10</v>
      </c>
      <c r="B464">
        <v>180</v>
      </c>
      <c r="C464">
        <v>0.1</v>
      </c>
      <c r="D464">
        <v>0.3</v>
      </c>
      <c r="E464">
        <v>10</v>
      </c>
      <c r="F464">
        <v>7</v>
      </c>
      <c r="G464">
        <v>23.333333333333336</v>
      </c>
      <c r="K464">
        <v>34.9</v>
      </c>
      <c r="L464">
        <v>16.2</v>
      </c>
      <c r="M464">
        <v>28.3</v>
      </c>
      <c r="Q464">
        <v>43.1</v>
      </c>
      <c r="R464">
        <v>5.8</v>
      </c>
      <c r="S464">
        <v>0.1</v>
      </c>
      <c r="T464">
        <v>50.7</v>
      </c>
      <c r="U464">
        <v>0.3</v>
      </c>
      <c r="V464">
        <v>1.6148491879350346</v>
      </c>
      <c r="W464">
        <v>0.88225058004640378</v>
      </c>
      <c r="X464">
        <v>10</v>
      </c>
      <c r="Y464">
        <v>15</v>
      </c>
      <c r="Z464">
        <v>43.4</v>
      </c>
      <c r="AA464">
        <v>5.7</v>
      </c>
      <c r="AB464">
        <v>0.1</v>
      </c>
      <c r="AC464">
        <v>50.6</v>
      </c>
      <c r="AD464">
        <v>0.2</v>
      </c>
      <c r="AE464">
        <v>1.5760368663594471</v>
      </c>
      <c r="AF464">
        <v>0.87442396313364057</v>
      </c>
      <c r="AH464">
        <v>17.2</v>
      </c>
      <c r="AI464">
        <v>70</v>
      </c>
      <c r="AJ464" t="s">
        <v>132</v>
      </c>
    </row>
    <row r="465" spans="1:36" x14ac:dyDescent="0.5">
      <c r="A465">
        <v>10</v>
      </c>
      <c r="B465">
        <v>200</v>
      </c>
      <c r="C465">
        <v>0.1</v>
      </c>
      <c r="D465">
        <v>0.3</v>
      </c>
      <c r="E465">
        <v>10</v>
      </c>
      <c r="F465">
        <v>7</v>
      </c>
      <c r="G465">
        <v>23.333333333333336</v>
      </c>
      <c r="K465">
        <v>34.9</v>
      </c>
      <c r="L465">
        <v>16.2</v>
      </c>
      <c r="M465">
        <v>28.3</v>
      </c>
      <c r="Q465">
        <v>43.1</v>
      </c>
      <c r="R465">
        <v>5.8</v>
      </c>
      <c r="S465">
        <v>0.1</v>
      </c>
      <c r="T465">
        <v>50.7</v>
      </c>
      <c r="U465">
        <v>0.3</v>
      </c>
      <c r="V465">
        <v>1.6148491879350346</v>
      </c>
      <c r="W465">
        <v>0.88225058004640378</v>
      </c>
      <c r="X465">
        <v>10</v>
      </c>
      <c r="Y465">
        <v>15</v>
      </c>
      <c r="Z465">
        <v>44.7</v>
      </c>
      <c r="AA465">
        <v>5.6</v>
      </c>
      <c r="AB465">
        <v>0.2</v>
      </c>
      <c r="AC465">
        <v>49.3</v>
      </c>
      <c r="AD465">
        <v>0.2</v>
      </c>
      <c r="AE465">
        <v>1.5033557046979864</v>
      </c>
      <c r="AF465">
        <v>0.82718120805369122</v>
      </c>
      <c r="AH465">
        <v>17.899999999999999</v>
      </c>
      <c r="AI465">
        <v>67</v>
      </c>
    </row>
    <row r="466" spans="1:36" x14ac:dyDescent="0.5">
      <c r="A466">
        <v>10</v>
      </c>
      <c r="B466">
        <v>220</v>
      </c>
      <c r="C466">
        <v>0.1</v>
      </c>
      <c r="D466">
        <v>0.3</v>
      </c>
      <c r="E466">
        <v>10</v>
      </c>
      <c r="F466">
        <v>7</v>
      </c>
      <c r="G466">
        <v>23.333333333333336</v>
      </c>
      <c r="K466">
        <v>34.9</v>
      </c>
      <c r="L466">
        <v>16.2</v>
      </c>
      <c r="M466">
        <v>28.3</v>
      </c>
      <c r="Q466">
        <v>43.1</v>
      </c>
      <c r="R466">
        <v>5.8</v>
      </c>
      <c r="S466">
        <v>0.1</v>
      </c>
      <c r="T466">
        <v>50.7</v>
      </c>
      <c r="U466">
        <v>0.3</v>
      </c>
      <c r="V466">
        <v>1.6148491879350346</v>
      </c>
      <c r="W466">
        <v>0.88225058004640378</v>
      </c>
      <c r="X466">
        <v>10</v>
      </c>
      <c r="Y466">
        <v>15</v>
      </c>
      <c r="Z466">
        <v>46</v>
      </c>
      <c r="AA466">
        <v>5.6</v>
      </c>
      <c r="AB466">
        <v>0.2</v>
      </c>
      <c r="AC466">
        <v>48</v>
      </c>
      <c r="AD466">
        <v>0.2</v>
      </c>
      <c r="AE466">
        <v>1.4608695652173911</v>
      </c>
      <c r="AF466">
        <v>0.78260869565217384</v>
      </c>
      <c r="AH466">
        <v>18.2</v>
      </c>
      <c r="AI466">
        <v>62</v>
      </c>
    </row>
    <row r="467" spans="1:36" x14ac:dyDescent="0.5">
      <c r="A467">
        <v>10</v>
      </c>
      <c r="B467">
        <v>240</v>
      </c>
      <c r="C467">
        <v>0.1</v>
      </c>
      <c r="D467">
        <v>0.3</v>
      </c>
      <c r="E467">
        <v>10</v>
      </c>
      <c r="F467">
        <v>7</v>
      </c>
      <c r="G467">
        <v>23.333333333333336</v>
      </c>
      <c r="K467">
        <v>34.9</v>
      </c>
      <c r="L467">
        <v>16.2</v>
      </c>
      <c r="M467">
        <v>28.3</v>
      </c>
      <c r="Q467">
        <v>43.1</v>
      </c>
      <c r="R467">
        <v>5.8</v>
      </c>
      <c r="S467">
        <v>0.1</v>
      </c>
      <c r="T467">
        <v>50.7</v>
      </c>
      <c r="U467">
        <v>0.3</v>
      </c>
      <c r="V467">
        <v>1.6148491879350346</v>
      </c>
      <c r="W467">
        <v>0.88225058004640378</v>
      </c>
      <c r="X467">
        <v>10</v>
      </c>
      <c r="Y467">
        <v>15</v>
      </c>
      <c r="Z467">
        <v>48</v>
      </c>
      <c r="AA467">
        <v>5.4</v>
      </c>
      <c r="AB467">
        <v>0.1</v>
      </c>
      <c r="AC467">
        <v>46.2</v>
      </c>
      <c r="AD467">
        <v>0.3</v>
      </c>
      <c r="AE467">
        <v>1.35</v>
      </c>
      <c r="AF467">
        <v>0.72187500000000004</v>
      </c>
      <c r="AH467">
        <v>19</v>
      </c>
      <c r="AI467">
        <v>53</v>
      </c>
    </row>
    <row r="468" spans="1:36" x14ac:dyDescent="0.5">
      <c r="A468">
        <v>10</v>
      </c>
      <c r="B468">
        <v>260</v>
      </c>
      <c r="C468">
        <v>0.1</v>
      </c>
      <c r="D468">
        <v>0.3</v>
      </c>
      <c r="E468">
        <v>10</v>
      </c>
      <c r="F468">
        <v>7</v>
      </c>
      <c r="G468">
        <v>23.333333333333336</v>
      </c>
      <c r="K468">
        <v>34.9</v>
      </c>
      <c r="L468">
        <v>16.2</v>
      </c>
      <c r="M468">
        <v>28.3</v>
      </c>
      <c r="Q468">
        <v>43.1</v>
      </c>
      <c r="R468">
        <v>5.8</v>
      </c>
      <c r="S468">
        <v>0.1</v>
      </c>
      <c r="T468">
        <v>50.7</v>
      </c>
      <c r="U468">
        <v>0.3</v>
      </c>
      <c r="V468">
        <v>1.6148491879350346</v>
      </c>
      <c r="W468">
        <v>0.88225058004640378</v>
      </c>
      <c r="X468">
        <v>10</v>
      </c>
      <c r="Y468">
        <v>15</v>
      </c>
      <c r="Z468">
        <v>51.5</v>
      </c>
      <c r="AA468">
        <v>5.4</v>
      </c>
      <c r="AB468">
        <v>0.2</v>
      </c>
      <c r="AC468">
        <v>42.7</v>
      </c>
      <c r="AD468">
        <v>0.2</v>
      </c>
      <c r="AE468">
        <v>1.2582524271844659</v>
      </c>
      <c r="AF468">
        <v>0.62184466019417473</v>
      </c>
      <c r="AH468">
        <v>20</v>
      </c>
      <c r="AI468">
        <v>49</v>
      </c>
    </row>
    <row r="469" spans="1:36" x14ac:dyDescent="0.5">
      <c r="A469">
        <v>60</v>
      </c>
      <c r="B469">
        <v>150</v>
      </c>
      <c r="C469">
        <v>0.1</v>
      </c>
      <c r="D469">
        <v>50</v>
      </c>
      <c r="E469">
        <v>1000</v>
      </c>
      <c r="F469">
        <v>300</v>
      </c>
      <c r="G469">
        <v>6</v>
      </c>
      <c r="N469">
        <v>87.4</v>
      </c>
      <c r="O469">
        <v>77.16</v>
      </c>
      <c r="P469">
        <v>9.59</v>
      </c>
      <c r="Q469">
        <v>29.4</v>
      </c>
      <c r="R469">
        <v>4.84</v>
      </c>
      <c r="S469">
        <v>5.82</v>
      </c>
      <c r="T469">
        <v>46.68</v>
      </c>
      <c r="U469">
        <v>0</v>
      </c>
      <c r="V469">
        <v>1.9755102040816328</v>
      </c>
      <c r="W469">
        <v>1.1908163265306124</v>
      </c>
      <c r="X469">
        <v>13.25</v>
      </c>
      <c r="Y469">
        <v>15.38</v>
      </c>
      <c r="Z469">
        <v>30.72</v>
      </c>
      <c r="AA469">
        <v>4.5</v>
      </c>
      <c r="AB469">
        <v>5.53</v>
      </c>
      <c r="AC469">
        <v>45.9</v>
      </c>
      <c r="AD469">
        <v>0</v>
      </c>
      <c r="AE469">
        <v>1.7578125</v>
      </c>
      <c r="AF469">
        <v>1.12060546875</v>
      </c>
      <c r="AH469">
        <v>18.29</v>
      </c>
      <c r="AI469">
        <v>72</v>
      </c>
      <c r="AJ469" t="s">
        <v>133</v>
      </c>
    </row>
    <row r="470" spans="1:36" x14ac:dyDescent="0.5">
      <c r="A470">
        <v>60</v>
      </c>
      <c r="B470">
        <v>180</v>
      </c>
      <c r="C470">
        <v>0.1</v>
      </c>
      <c r="D470">
        <v>50</v>
      </c>
      <c r="E470">
        <v>1000</v>
      </c>
      <c r="F470">
        <v>300</v>
      </c>
      <c r="G470">
        <v>6</v>
      </c>
      <c r="N470">
        <v>87.4</v>
      </c>
      <c r="O470">
        <v>77.16</v>
      </c>
      <c r="P470">
        <v>9.59</v>
      </c>
      <c r="Q470">
        <v>29.4</v>
      </c>
      <c r="R470">
        <v>4.84</v>
      </c>
      <c r="S470">
        <v>5.82</v>
      </c>
      <c r="T470">
        <v>46.68</v>
      </c>
      <c r="U470">
        <v>0</v>
      </c>
      <c r="V470">
        <v>1.9755102040816328</v>
      </c>
      <c r="W470">
        <v>1.1908163265306124</v>
      </c>
      <c r="X470">
        <v>13.25</v>
      </c>
      <c r="Y470">
        <v>15.38</v>
      </c>
      <c r="Z470">
        <v>34.479999999999997</v>
      </c>
      <c r="AA470">
        <v>4.45</v>
      </c>
      <c r="AB470">
        <v>4.41</v>
      </c>
      <c r="AC470">
        <v>43.46</v>
      </c>
      <c r="AD470">
        <v>0</v>
      </c>
      <c r="AE470">
        <v>1.5487238979118332</v>
      </c>
      <c r="AF470">
        <v>0.94533062645011612</v>
      </c>
      <c r="AH470">
        <v>18.59</v>
      </c>
      <c r="AI470">
        <v>69</v>
      </c>
    </row>
    <row r="471" spans="1:36" x14ac:dyDescent="0.5">
      <c r="A471">
        <v>60</v>
      </c>
      <c r="B471">
        <v>210</v>
      </c>
      <c r="C471">
        <v>0.1</v>
      </c>
      <c r="D471">
        <v>50</v>
      </c>
      <c r="E471">
        <v>1000</v>
      </c>
      <c r="F471">
        <v>300</v>
      </c>
      <c r="G471">
        <v>6</v>
      </c>
      <c r="N471">
        <v>87.4</v>
      </c>
      <c r="O471">
        <v>77.16</v>
      </c>
      <c r="P471">
        <v>9.59</v>
      </c>
      <c r="Q471">
        <v>29.4</v>
      </c>
      <c r="R471">
        <v>4.84</v>
      </c>
      <c r="S471">
        <v>5.82</v>
      </c>
      <c r="T471">
        <v>46.68</v>
      </c>
      <c r="U471">
        <v>0</v>
      </c>
      <c r="V471">
        <v>1.9755102040816328</v>
      </c>
      <c r="W471">
        <v>1.1908163265306124</v>
      </c>
      <c r="X471">
        <v>13.25</v>
      </c>
      <c r="Y471">
        <v>15.38</v>
      </c>
      <c r="Z471">
        <v>36.99</v>
      </c>
      <c r="AA471">
        <v>3.77</v>
      </c>
      <c r="AB471">
        <v>3.82</v>
      </c>
      <c r="AC471">
        <v>39.32</v>
      </c>
      <c r="AD471">
        <v>0</v>
      </c>
      <c r="AE471">
        <v>1.2230332522303324</v>
      </c>
      <c r="AF471">
        <v>0.79724249797242497</v>
      </c>
      <c r="AH471">
        <v>20.9</v>
      </c>
      <c r="AI471">
        <v>60</v>
      </c>
    </row>
    <row r="472" spans="1:36" x14ac:dyDescent="0.5">
      <c r="A472">
        <v>60</v>
      </c>
      <c r="B472">
        <v>240</v>
      </c>
      <c r="C472">
        <v>0.1</v>
      </c>
      <c r="D472">
        <v>50</v>
      </c>
      <c r="E472">
        <v>1000</v>
      </c>
      <c r="F472">
        <v>300</v>
      </c>
      <c r="G472">
        <v>6</v>
      </c>
      <c r="N472">
        <v>87.4</v>
      </c>
      <c r="O472">
        <v>77.16</v>
      </c>
      <c r="P472">
        <v>9.59</v>
      </c>
      <c r="Q472">
        <v>29.4</v>
      </c>
      <c r="R472">
        <v>4.84</v>
      </c>
      <c r="S472">
        <v>5.82</v>
      </c>
      <c r="T472">
        <v>46.68</v>
      </c>
      <c r="U472">
        <v>0</v>
      </c>
      <c r="V472">
        <v>1.9755102040816328</v>
      </c>
      <c r="W472">
        <v>1.1908163265306124</v>
      </c>
      <c r="X472">
        <v>13.25</v>
      </c>
      <c r="Y472">
        <v>15.38</v>
      </c>
      <c r="Z472">
        <v>40.03</v>
      </c>
      <c r="AA472">
        <v>2.76</v>
      </c>
      <c r="AB472">
        <v>2.91</v>
      </c>
      <c r="AC472">
        <v>37.35</v>
      </c>
      <c r="AD472">
        <v>0</v>
      </c>
      <c r="AE472">
        <v>0.8273794654009492</v>
      </c>
      <c r="AF472">
        <v>0.6997876592555583</v>
      </c>
      <c r="AH472">
        <v>23.32</v>
      </c>
      <c r="AI472">
        <v>48</v>
      </c>
    </row>
    <row r="473" spans="1:36" x14ac:dyDescent="0.5">
      <c r="A473">
        <v>60</v>
      </c>
      <c r="B473">
        <v>270</v>
      </c>
      <c r="C473">
        <v>0.1</v>
      </c>
      <c r="D473">
        <v>50</v>
      </c>
      <c r="E473">
        <v>1000</v>
      </c>
      <c r="F473">
        <v>300</v>
      </c>
      <c r="G473">
        <v>6</v>
      </c>
      <c r="N473">
        <v>87.4</v>
      </c>
      <c r="O473">
        <v>77.16</v>
      </c>
      <c r="P473">
        <v>9.59</v>
      </c>
      <c r="Q473">
        <v>29.4</v>
      </c>
      <c r="R473">
        <v>4.84</v>
      </c>
      <c r="S473">
        <v>5.82</v>
      </c>
      <c r="T473">
        <v>46.68</v>
      </c>
      <c r="U473">
        <v>0</v>
      </c>
      <c r="V473">
        <v>1.9755102040816328</v>
      </c>
      <c r="W473">
        <v>1.1908163265306124</v>
      </c>
      <c r="X473">
        <v>13.25</v>
      </c>
      <c r="Y473">
        <v>15.38</v>
      </c>
      <c r="Z473">
        <v>42.14</v>
      </c>
      <c r="AA473">
        <v>2.52</v>
      </c>
      <c r="AB473">
        <v>2.37</v>
      </c>
      <c r="AC473">
        <v>32.04</v>
      </c>
      <c r="AD473">
        <v>0</v>
      </c>
      <c r="AE473">
        <v>0.71760797342192695</v>
      </c>
      <c r="AF473">
        <v>0.57024205030849551</v>
      </c>
      <c r="AH473">
        <v>25.4</v>
      </c>
      <c r="AI473">
        <v>37</v>
      </c>
    </row>
    <row r="474" spans="1:36" x14ac:dyDescent="0.5">
      <c r="A474">
        <v>60</v>
      </c>
      <c r="B474">
        <v>150</v>
      </c>
      <c r="C474">
        <v>0.1</v>
      </c>
      <c r="D474">
        <v>50</v>
      </c>
      <c r="E474">
        <v>1000</v>
      </c>
      <c r="F474">
        <v>300</v>
      </c>
      <c r="G474">
        <v>6</v>
      </c>
      <c r="N474">
        <v>86.3</v>
      </c>
      <c r="O474">
        <v>85.81</v>
      </c>
      <c r="P474">
        <v>9.64</v>
      </c>
      <c r="Q474">
        <v>53.03</v>
      </c>
      <c r="R474">
        <v>8.3699999999999992</v>
      </c>
      <c r="S474">
        <v>9.9499999999999993</v>
      </c>
      <c r="T474">
        <v>24.1</v>
      </c>
      <c r="U474">
        <v>0</v>
      </c>
      <c r="V474">
        <v>1.894022251555723</v>
      </c>
      <c r="W474">
        <v>0.34084480482745622</v>
      </c>
      <c r="X474">
        <v>4.55</v>
      </c>
      <c r="Y474">
        <v>23.82</v>
      </c>
      <c r="Z474">
        <v>54.29</v>
      </c>
      <c r="AA474">
        <v>8.59</v>
      </c>
      <c r="AB474">
        <v>8.9499999999999993</v>
      </c>
      <c r="AC474">
        <v>20.5</v>
      </c>
      <c r="AD474">
        <v>0</v>
      </c>
      <c r="AE474">
        <v>1.8986922085098543</v>
      </c>
      <c r="AF474">
        <v>0.28320132621108857</v>
      </c>
      <c r="AH474">
        <v>24.78</v>
      </c>
      <c r="AI474">
        <v>71</v>
      </c>
    </row>
    <row r="475" spans="1:36" x14ac:dyDescent="0.5">
      <c r="A475">
        <v>60</v>
      </c>
      <c r="B475">
        <v>180</v>
      </c>
      <c r="C475">
        <v>0.1</v>
      </c>
      <c r="D475">
        <v>50</v>
      </c>
      <c r="E475">
        <v>1000</v>
      </c>
      <c r="F475">
        <v>300</v>
      </c>
      <c r="G475">
        <v>6</v>
      </c>
      <c r="N475">
        <v>86.3</v>
      </c>
      <c r="O475">
        <v>85.81</v>
      </c>
      <c r="P475">
        <v>9.64</v>
      </c>
      <c r="Q475">
        <v>53.03</v>
      </c>
      <c r="R475">
        <v>8.3699999999999992</v>
      </c>
      <c r="S475">
        <v>9.9499999999999993</v>
      </c>
      <c r="T475">
        <v>24.1</v>
      </c>
      <c r="U475">
        <v>0</v>
      </c>
      <c r="V475">
        <v>1.894022251555723</v>
      </c>
      <c r="W475">
        <v>0.34084480482745622</v>
      </c>
      <c r="X475">
        <v>4.55</v>
      </c>
      <c r="Y475">
        <v>23.82</v>
      </c>
      <c r="Z475">
        <v>57.97</v>
      </c>
      <c r="AA475">
        <v>8.94</v>
      </c>
      <c r="AB475">
        <v>8.58</v>
      </c>
      <c r="AC475">
        <v>14.55</v>
      </c>
      <c r="AD475">
        <v>0</v>
      </c>
      <c r="AE475">
        <v>1.8506123857167498</v>
      </c>
      <c r="AF475">
        <v>0.18824391926858719</v>
      </c>
      <c r="AH475">
        <v>27.12</v>
      </c>
      <c r="AI475">
        <v>66</v>
      </c>
    </row>
    <row r="476" spans="1:36" x14ac:dyDescent="0.5">
      <c r="A476">
        <v>60</v>
      </c>
      <c r="B476">
        <v>210</v>
      </c>
      <c r="C476">
        <v>0.1</v>
      </c>
      <c r="D476">
        <v>50</v>
      </c>
      <c r="E476">
        <v>1000</v>
      </c>
      <c r="F476">
        <v>300</v>
      </c>
      <c r="G476">
        <v>6</v>
      </c>
      <c r="N476">
        <v>86.3</v>
      </c>
      <c r="O476">
        <v>85.81</v>
      </c>
      <c r="P476">
        <v>9.64</v>
      </c>
      <c r="Q476">
        <v>53.03</v>
      </c>
      <c r="R476">
        <v>8.3699999999999992</v>
      </c>
      <c r="S476">
        <v>9.9499999999999993</v>
      </c>
      <c r="T476">
        <v>24.1</v>
      </c>
      <c r="U476">
        <v>0</v>
      </c>
      <c r="V476">
        <v>1.894022251555723</v>
      </c>
      <c r="W476">
        <v>0.34084480482745622</v>
      </c>
      <c r="X476">
        <v>4.55</v>
      </c>
      <c r="Y476">
        <v>23.82</v>
      </c>
      <c r="Z476">
        <v>63.54</v>
      </c>
      <c r="AA476">
        <v>8.93</v>
      </c>
      <c r="AB476">
        <v>8.64</v>
      </c>
      <c r="AC476">
        <v>10.63</v>
      </c>
      <c r="AD476">
        <v>0</v>
      </c>
      <c r="AE476">
        <v>1.6864966949952784</v>
      </c>
      <c r="AF476">
        <v>0.12547214353163363</v>
      </c>
      <c r="AH476">
        <v>29.82</v>
      </c>
      <c r="AI476">
        <v>66</v>
      </c>
    </row>
    <row r="477" spans="1:36" x14ac:dyDescent="0.5">
      <c r="A477">
        <v>60</v>
      </c>
      <c r="B477">
        <v>240</v>
      </c>
      <c r="C477">
        <v>0.1</v>
      </c>
      <c r="D477">
        <v>50</v>
      </c>
      <c r="E477">
        <v>1000</v>
      </c>
      <c r="F477">
        <v>300</v>
      </c>
      <c r="G477">
        <v>6</v>
      </c>
      <c r="N477">
        <v>86.3</v>
      </c>
      <c r="O477">
        <v>85.81</v>
      </c>
      <c r="P477">
        <v>9.64</v>
      </c>
      <c r="Q477">
        <v>53.03</v>
      </c>
      <c r="R477">
        <v>8.3699999999999992</v>
      </c>
      <c r="S477">
        <v>9.9499999999999993</v>
      </c>
      <c r="T477">
        <v>24.1</v>
      </c>
      <c r="U477">
        <v>0</v>
      </c>
      <c r="V477">
        <v>1.894022251555723</v>
      </c>
      <c r="W477">
        <v>0.34084480482745622</v>
      </c>
      <c r="X477">
        <v>4.55</v>
      </c>
      <c r="Y477">
        <v>23.82</v>
      </c>
      <c r="Z477">
        <v>68.88</v>
      </c>
      <c r="AA477">
        <v>8.9600000000000009</v>
      </c>
      <c r="AB477">
        <v>7.66</v>
      </c>
      <c r="AC477">
        <v>5.83</v>
      </c>
      <c r="AD477">
        <v>0</v>
      </c>
      <c r="AE477">
        <v>1.5609756097560978</v>
      </c>
      <c r="AF477">
        <v>6.3479965156794438E-2</v>
      </c>
      <c r="AH477">
        <v>32.479999999999997</v>
      </c>
      <c r="AI477">
        <v>59</v>
      </c>
    </row>
    <row r="478" spans="1:36" x14ac:dyDescent="0.5">
      <c r="A478">
        <v>60</v>
      </c>
      <c r="B478">
        <v>270</v>
      </c>
      <c r="C478">
        <v>0.1</v>
      </c>
      <c r="D478">
        <v>50</v>
      </c>
      <c r="E478">
        <v>1000</v>
      </c>
      <c r="F478">
        <v>300</v>
      </c>
      <c r="G478">
        <v>6</v>
      </c>
      <c r="N478">
        <v>86.3</v>
      </c>
      <c r="O478">
        <v>85.81</v>
      </c>
      <c r="P478">
        <v>9.64</v>
      </c>
      <c r="Q478">
        <v>53.03</v>
      </c>
      <c r="R478">
        <v>8.3699999999999992</v>
      </c>
      <c r="S478">
        <v>9.9499999999999993</v>
      </c>
      <c r="T478">
        <v>24.1</v>
      </c>
      <c r="U478">
        <v>0</v>
      </c>
      <c r="V478">
        <v>1.894022251555723</v>
      </c>
      <c r="W478">
        <v>0.34084480482745622</v>
      </c>
      <c r="X478">
        <v>4.55</v>
      </c>
      <c r="Y478">
        <v>23.82</v>
      </c>
      <c r="Z478">
        <v>71.63</v>
      </c>
      <c r="AA478">
        <v>9.41</v>
      </c>
      <c r="AB478">
        <v>6.99</v>
      </c>
      <c r="AC478">
        <v>1.45</v>
      </c>
      <c r="AD478">
        <v>0</v>
      </c>
      <c r="AE478">
        <v>1.5764344548373588</v>
      </c>
      <c r="AF478">
        <v>1.5182186234817815E-2</v>
      </c>
      <c r="AH478">
        <v>34.53</v>
      </c>
      <c r="AI478">
        <v>50</v>
      </c>
    </row>
    <row r="479" spans="1:36" x14ac:dyDescent="0.5">
      <c r="A479">
        <v>60</v>
      </c>
      <c r="B479">
        <v>150</v>
      </c>
      <c r="C479">
        <v>0.1</v>
      </c>
      <c r="D479">
        <v>50</v>
      </c>
      <c r="E479">
        <v>1000</v>
      </c>
      <c r="F479">
        <v>300</v>
      </c>
      <c r="G479">
        <v>6</v>
      </c>
      <c r="N479">
        <v>90.7</v>
      </c>
      <c r="O479">
        <v>66.87</v>
      </c>
      <c r="P479">
        <v>7.07</v>
      </c>
      <c r="Q479">
        <v>38.549999999999997</v>
      </c>
      <c r="R479">
        <v>6.46</v>
      </c>
      <c r="S479">
        <v>5.82</v>
      </c>
      <c r="T479">
        <v>46.68</v>
      </c>
      <c r="U479">
        <v>0</v>
      </c>
      <c r="V479">
        <v>2.0108949416342412</v>
      </c>
      <c r="W479">
        <v>0.90817120622568093</v>
      </c>
      <c r="X479">
        <v>26.06</v>
      </c>
      <c r="Y479">
        <v>16.48</v>
      </c>
      <c r="Z479">
        <v>39.979999999999997</v>
      </c>
      <c r="AA479">
        <v>5.84</v>
      </c>
      <c r="AB479">
        <v>6.18</v>
      </c>
      <c r="AC479">
        <v>20.04</v>
      </c>
      <c r="AD479">
        <v>0.22</v>
      </c>
      <c r="AE479">
        <v>1.7528764382191095</v>
      </c>
      <c r="AF479">
        <v>0.37593796898449222</v>
      </c>
      <c r="AH479">
        <v>17.29</v>
      </c>
      <c r="AI479">
        <v>94</v>
      </c>
    </row>
    <row r="480" spans="1:36" x14ac:dyDescent="0.5">
      <c r="A480">
        <v>60</v>
      </c>
      <c r="B480">
        <v>180</v>
      </c>
      <c r="C480">
        <v>0.1</v>
      </c>
      <c r="D480">
        <v>50</v>
      </c>
      <c r="E480">
        <v>1000</v>
      </c>
      <c r="F480">
        <v>300</v>
      </c>
      <c r="G480">
        <v>6</v>
      </c>
      <c r="N480">
        <v>90.7</v>
      </c>
      <c r="O480">
        <v>66.87</v>
      </c>
      <c r="P480">
        <v>7.07</v>
      </c>
      <c r="Q480">
        <v>38.549999999999997</v>
      </c>
      <c r="R480">
        <v>6.46</v>
      </c>
      <c r="S480">
        <v>5.82</v>
      </c>
      <c r="T480">
        <v>46.68</v>
      </c>
      <c r="U480">
        <v>0</v>
      </c>
      <c r="V480">
        <v>2.0108949416342412</v>
      </c>
      <c r="W480">
        <v>0.90817120622568093</v>
      </c>
      <c r="X480">
        <v>26.06</v>
      </c>
      <c r="Y480">
        <v>16.48</v>
      </c>
      <c r="Z480">
        <v>40.99</v>
      </c>
      <c r="AA480">
        <v>5.68</v>
      </c>
      <c r="AB480">
        <v>5.98</v>
      </c>
      <c r="AC480">
        <v>17.170000000000002</v>
      </c>
      <c r="AD480">
        <v>0.21</v>
      </c>
      <c r="AE480">
        <v>1.6628445962429859</v>
      </c>
      <c r="AF480">
        <v>0.31416199072944623</v>
      </c>
      <c r="AH480">
        <v>17.48</v>
      </c>
      <c r="AI480">
        <v>91</v>
      </c>
    </row>
    <row r="481" spans="1:36" x14ac:dyDescent="0.5">
      <c r="A481">
        <v>60</v>
      </c>
      <c r="B481">
        <v>210</v>
      </c>
      <c r="C481">
        <v>0.1</v>
      </c>
      <c r="D481">
        <v>50</v>
      </c>
      <c r="E481">
        <v>1000</v>
      </c>
      <c r="F481">
        <v>300</v>
      </c>
      <c r="G481">
        <v>6</v>
      </c>
      <c r="N481">
        <v>90.7</v>
      </c>
      <c r="O481">
        <v>66.87</v>
      </c>
      <c r="P481">
        <v>7.07</v>
      </c>
      <c r="Q481">
        <v>38.549999999999997</v>
      </c>
      <c r="R481">
        <v>6.46</v>
      </c>
      <c r="S481">
        <v>5.82</v>
      </c>
      <c r="T481">
        <v>46.68</v>
      </c>
      <c r="U481">
        <v>0</v>
      </c>
      <c r="V481">
        <v>2.0108949416342412</v>
      </c>
      <c r="W481">
        <v>0.90817120622568093</v>
      </c>
      <c r="X481">
        <v>26.06</v>
      </c>
      <c r="Y481">
        <v>16.48</v>
      </c>
      <c r="Z481">
        <v>41.6</v>
      </c>
      <c r="AA481">
        <v>5.26</v>
      </c>
      <c r="AB481">
        <v>5.71</v>
      </c>
      <c r="AC481">
        <v>15.2</v>
      </c>
      <c r="AD481">
        <v>0.2</v>
      </c>
      <c r="AE481">
        <v>1.5173076923076922</v>
      </c>
      <c r="AF481">
        <v>0.27403846153846151</v>
      </c>
      <c r="AH481">
        <v>18.3</v>
      </c>
      <c r="AI481">
        <v>88</v>
      </c>
    </row>
    <row r="482" spans="1:36" x14ac:dyDescent="0.5">
      <c r="A482">
        <v>60</v>
      </c>
      <c r="B482">
        <v>240</v>
      </c>
      <c r="C482">
        <v>0.1</v>
      </c>
      <c r="D482">
        <v>50</v>
      </c>
      <c r="E482">
        <v>1000</v>
      </c>
      <c r="F482">
        <v>300</v>
      </c>
      <c r="G482">
        <v>6</v>
      </c>
      <c r="N482">
        <v>90.7</v>
      </c>
      <c r="O482">
        <v>66.87</v>
      </c>
      <c r="P482">
        <v>7.07</v>
      </c>
      <c r="Q482">
        <v>38.549999999999997</v>
      </c>
      <c r="R482">
        <v>6.46</v>
      </c>
      <c r="S482">
        <v>5.82</v>
      </c>
      <c r="T482">
        <v>46.68</v>
      </c>
      <c r="U482">
        <v>0</v>
      </c>
      <c r="V482">
        <v>2.0108949416342412</v>
      </c>
      <c r="W482">
        <v>0.90817120622568093</v>
      </c>
      <c r="X482">
        <v>26.06</v>
      </c>
      <c r="Y482">
        <v>16.48</v>
      </c>
      <c r="Z482">
        <v>40.17</v>
      </c>
      <c r="AA482">
        <v>4.7699999999999996</v>
      </c>
      <c r="AB482">
        <v>5.14</v>
      </c>
      <c r="AC482">
        <v>12.3</v>
      </c>
      <c r="AD482">
        <v>0.19</v>
      </c>
      <c r="AE482">
        <v>1.4249439880507839</v>
      </c>
      <c r="AF482">
        <v>0.22964899178491413</v>
      </c>
      <c r="AH482">
        <v>17.16</v>
      </c>
      <c r="AI482">
        <v>67</v>
      </c>
    </row>
    <row r="483" spans="1:36" x14ac:dyDescent="0.5">
      <c r="A483">
        <v>60</v>
      </c>
      <c r="B483">
        <v>270</v>
      </c>
      <c r="C483">
        <v>0.1</v>
      </c>
      <c r="D483">
        <v>50</v>
      </c>
      <c r="E483">
        <v>1000</v>
      </c>
      <c r="F483">
        <v>300</v>
      </c>
      <c r="G483">
        <v>6</v>
      </c>
      <c r="N483">
        <v>90.7</v>
      </c>
      <c r="O483">
        <v>66.87</v>
      </c>
      <c r="P483">
        <v>7.07</v>
      </c>
      <c r="Q483">
        <v>38.549999999999997</v>
      </c>
      <c r="R483">
        <v>6.46</v>
      </c>
      <c r="S483">
        <v>5.82</v>
      </c>
      <c r="T483">
        <v>46.68</v>
      </c>
      <c r="U483">
        <v>0</v>
      </c>
      <c r="V483">
        <v>2.0108949416342412</v>
      </c>
      <c r="W483">
        <v>0.90817120622568093</v>
      </c>
      <c r="X483">
        <v>26.06</v>
      </c>
      <c r="Y483">
        <v>16.48</v>
      </c>
      <c r="Z483">
        <v>38.78</v>
      </c>
      <c r="AA483">
        <v>4.22</v>
      </c>
      <c r="AB483">
        <v>4.1100000000000003</v>
      </c>
      <c r="AC483">
        <v>13.14</v>
      </c>
      <c r="AD483">
        <v>0.11</v>
      </c>
      <c r="AE483">
        <v>1.3058277462609591</v>
      </c>
      <c r="AF483">
        <v>0.25412583806085609</v>
      </c>
      <c r="AH483">
        <v>16.41</v>
      </c>
      <c r="AI483">
        <v>51</v>
      </c>
    </row>
    <row r="484" spans="1:36" x14ac:dyDescent="0.5">
      <c r="A484">
        <v>120</v>
      </c>
      <c r="B484">
        <v>250</v>
      </c>
      <c r="C484">
        <v>0.1</v>
      </c>
      <c r="D484">
        <v>35</v>
      </c>
      <c r="E484">
        <v>500</v>
      </c>
      <c r="F484">
        <v>350</v>
      </c>
      <c r="G484">
        <v>10</v>
      </c>
      <c r="K484">
        <v>7.2</v>
      </c>
      <c r="L484">
        <v>9.4</v>
      </c>
      <c r="M484">
        <v>12.2</v>
      </c>
      <c r="O484">
        <v>65.7</v>
      </c>
      <c r="P484">
        <v>3.8</v>
      </c>
      <c r="Q484">
        <v>32.9</v>
      </c>
      <c r="R484">
        <v>3</v>
      </c>
      <c r="S484">
        <v>4</v>
      </c>
      <c r="T484">
        <v>29.4</v>
      </c>
      <c r="U484">
        <v>0.2</v>
      </c>
      <c r="V484">
        <v>1.094224924012158</v>
      </c>
      <c r="W484">
        <v>0.67021276595744672</v>
      </c>
      <c r="X484">
        <v>30.5</v>
      </c>
      <c r="Y484">
        <v>10.156300000000002</v>
      </c>
      <c r="Z484">
        <v>61.6</v>
      </c>
      <c r="AA484">
        <v>7.1</v>
      </c>
      <c r="AB484">
        <v>1.5</v>
      </c>
      <c r="AC484">
        <v>18.100000000000001</v>
      </c>
      <c r="AD484">
        <v>0.1</v>
      </c>
      <c r="AE484">
        <v>1.383116883116883</v>
      </c>
      <c r="AF484">
        <v>0.22037337662337661</v>
      </c>
      <c r="AG484">
        <v>11.6</v>
      </c>
      <c r="AH484">
        <v>27.93</v>
      </c>
      <c r="AI484">
        <v>33</v>
      </c>
      <c r="AJ484" t="s">
        <v>135</v>
      </c>
    </row>
    <row r="485" spans="1:36" x14ac:dyDescent="0.5">
      <c r="A485">
        <v>120</v>
      </c>
      <c r="B485">
        <v>250</v>
      </c>
      <c r="C485">
        <v>0.1</v>
      </c>
      <c r="D485">
        <v>35</v>
      </c>
      <c r="E485">
        <v>500</v>
      </c>
      <c r="F485">
        <v>350</v>
      </c>
      <c r="G485">
        <v>10</v>
      </c>
      <c r="K485">
        <v>7.2</v>
      </c>
      <c r="L485">
        <v>9.4</v>
      </c>
      <c r="M485">
        <v>12.2</v>
      </c>
      <c r="O485">
        <v>65.7</v>
      </c>
      <c r="P485">
        <v>3.8</v>
      </c>
      <c r="Q485">
        <v>32.9</v>
      </c>
      <c r="R485">
        <v>3</v>
      </c>
      <c r="S485">
        <v>4</v>
      </c>
      <c r="T485">
        <v>29.4</v>
      </c>
      <c r="U485">
        <v>0.2</v>
      </c>
      <c r="V485">
        <v>1.094224924012158</v>
      </c>
      <c r="W485">
        <v>0.67021276595744672</v>
      </c>
      <c r="X485">
        <v>30.5</v>
      </c>
      <c r="Y485">
        <v>10.156300000000002</v>
      </c>
      <c r="Z485">
        <v>50.8</v>
      </c>
      <c r="AA485">
        <v>6.5</v>
      </c>
      <c r="AB485">
        <v>2.4</v>
      </c>
      <c r="AC485">
        <v>14.9</v>
      </c>
      <c r="AD485">
        <v>0.4</v>
      </c>
      <c r="AE485">
        <v>1.5354330708661417</v>
      </c>
      <c r="AF485">
        <v>0.21998031496062992</v>
      </c>
      <c r="AG485">
        <v>24.9</v>
      </c>
      <c r="AH485">
        <v>23.81</v>
      </c>
      <c r="AI485">
        <v>43</v>
      </c>
    </row>
    <row r="486" spans="1:36" x14ac:dyDescent="0.5">
      <c r="A486">
        <v>120</v>
      </c>
      <c r="B486">
        <v>250</v>
      </c>
      <c r="C486">
        <v>0.1</v>
      </c>
      <c r="D486">
        <v>35</v>
      </c>
      <c r="E486">
        <v>500</v>
      </c>
      <c r="F486">
        <v>350</v>
      </c>
      <c r="G486">
        <v>10</v>
      </c>
      <c r="K486">
        <v>7.2</v>
      </c>
      <c r="L486">
        <v>9.4</v>
      </c>
      <c r="M486">
        <v>12.2</v>
      </c>
      <c r="O486">
        <v>65.7</v>
      </c>
      <c r="P486">
        <v>3.8</v>
      </c>
      <c r="Q486">
        <v>32.9</v>
      </c>
      <c r="R486">
        <v>3</v>
      </c>
      <c r="S486">
        <v>4</v>
      </c>
      <c r="T486">
        <v>29.4</v>
      </c>
      <c r="U486">
        <v>0.2</v>
      </c>
      <c r="V486">
        <v>1.094224924012158</v>
      </c>
      <c r="W486">
        <v>0.67021276595744672</v>
      </c>
      <c r="X486">
        <v>30.5</v>
      </c>
      <c r="Y486">
        <v>10.156300000000002</v>
      </c>
      <c r="Z486">
        <v>53.7</v>
      </c>
      <c r="AA486">
        <v>6</v>
      </c>
      <c r="AB486">
        <v>2.4</v>
      </c>
      <c r="AC486">
        <v>14.8</v>
      </c>
      <c r="AD486">
        <v>0.3</v>
      </c>
      <c r="AE486">
        <v>1.3407821229050279</v>
      </c>
      <c r="AF486">
        <v>0.20670391061452512</v>
      </c>
      <c r="AG486">
        <v>22.8</v>
      </c>
      <c r="AH486">
        <v>24.22</v>
      </c>
      <c r="AI486">
        <v>41</v>
      </c>
    </row>
    <row r="487" spans="1:36" x14ac:dyDescent="0.5">
      <c r="A487">
        <v>120</v>
      </c>
      <c r="B487">
        <v>250</v>
      </c>
      <c r="C487">
        <v>0.1</v>
      </c>
      <c r="D487">
        <v>35</v>
      </c>
      <c r="E487">
        <v>500</v>
      </c>
      <c r="F487">
        <v>350</v>
      </c>
      <c r="G487">
        <v>10</v>
      </c>
      <c r="K487">
        <v>7.2</v>
      </c>
      <c r="L487">
        <v>9.4</v>
      </c>
      <c r="M487">
        <v>12.2</v>
      </c>
      <c r="O487">
        <v>65.7</v>
      </c>
      <c r="P487">
        <v>3.8</v>
      </c>
      <c r="Q487">
        <v>32.9</v>
      </c>
      <c r="R487">
        <v>3</v>
      </c>
      <c r="S487">
        <v>4</v>
      </c>
      <c r="T487">
        <v>29.4</v>
      </c>
      <c r="U487">
        <v>0.2</v>
      </c>
      <c r="V487">
        <v>1.094224924012158</v>
      </c>
      <c r="W487">
        <v>0.67021276595744672</v>
      </c>
      <c r="X487">
        <v>30.5</v>
      </c>
      <c r="Y487">
        <v>10.156300000000002</v>
      </c>
      <c r="Z487">
        <v>60.7</v>
      </c>
      <c r="AA487">
        <v>7</v>
      </c>
      <c r="AB487">
        <v>2.9</v>
      </c>
      <c r="AC487">
        <v>10.7</v>
      </c>
      <c r="AD487">
        <v>0.4</v>
      </c>
      <c r="AE487">
        <v>1.3838550247116967</v>
      </c>
      <c r="AF487">
        <v>0.13220757825370674</v>
      </c>
      <c r="AG487">
        <v>18.3</v>
      </c>
      <c r="AH487">
        <v>28.34</v>
      </c>
      <c r="AI487">
        <v>41</v>
      </c>
    </row>
    <row r="488" spans="1:36" x14ac:dyDescent="0.5">
      <c r="A488">
        <v>120</v>
      </c>
      <c r="B488">
        <v>250</v>
      </c>
      <c r="C488">
        <v>0.1</v>
      </c>
      <c r="D488">
        <v>35</v>
      </c>
      <c r="E488">
        <v>500</v>
      </c>
      <c r="F488">
        <v>350</v>
      </c>
      <c r="G488">
        <v>10</v>
      </c>
      <c r="K488">
        <v>7.2</v>
      </c>
      <c r="L488">
        <v>9.4</v>
      </c>
      <c r="M488">
        <v>12.2</v>
      </c>
      <c r="O488">
        <v>65.7</v>
      </c>
      <c r="P488">
        <v>3.8</v>
      </c>
      <c r="Q488">
        <v>32.9</v>
      </c>
      <c r="R488">
        <v>3</v>
      </c>
      <c r="S488">
        <v>4</v>
      </c>
      <c r="T488">
        <v>29.4</v>
      </c>
      <c r="U488">
        <v>0.2</v>
      </c>
      <c r="V488">
        <v>1.094224924012158</v>
      </c>
      <c r="W488">
        <v>0.67021276595744672</v>
      </c>
      <c r="X488">
        <v>30.5</v>
      </c>
      <c r="Y488">
        <v>10.156300000000002</v>
      </c>
      <c r="Z488">
        <v>53.3</v>
      </c>
      <c r="AA488">
        <v>6.1</v>
      </c>
      <c r="AB488">
        <v>2.7</v>
      </c>
      <c r="AC488">
        <v>15.6</v>
      </c>
      <c r="AD488">
        <v>0.3</v>
      </c>
      <c r="AE488">
        <v>1.3733583489681052</v>
      </c>
      <c r="AF488">
        <v>0.21951219512195122</v>
      </c>
      <c r="AG488">
        <v>22</v>
      </c>
      <c r="AH488">
        <v>24.09</v>
      </c>
      <c r="AI488">
        <v>39</v>
      </c>
    </row>
    <row r="489" spans="1:36" x14ac:dyDescent="0.5">
      <c r="A489">
        <v>120</v>
      </c>
      <c r="B489">
        <v>250</v>
      </c>
      <c r="C489">
        <v>0.1</v>
      </c>
      <c r="D489">
        <v>35</v>
      </c>
      <c r="E489">
        <v>500</v>
      </c>
      <c r="F489">
        <v>350</v>
      </c>
      <c r="G489">
        <v>10</v>
      </c>
      <c r="K489">
        <v>7.2</v>
      </c>
      <c r="L489">
        <v>9.4</v>
      </c>
      <c r="M489">
        <v>12.2</v>
      </c>
      <c r="O489">
        <v>65.7</v>
      </c>
      <c r="P489">
        <v>3.8</v>
      </c>
      <c r="Q489">
        <v>32.9</v>
      </c>
      <c r="R489">
        <v>3</v>
      </c>
      <c r="S489">
        <v>4</v>
      </c>
      <c r="T489">
        <v>29.4</v>
      </c>
      <c r="U489">
        <v>0.2</v>
      </c>
      <c r="V489">
        <v>1.094224924012158</v>
      </c>
      <c r="W489">
        <v>0.67021276595744672</v>
      </c>
      <c r="X489">
        <v>30.5</v>
      </c>
      <c r="Y489">
        <v>10.156300000000002</v>
      </c>
      <c r="Z489">
        <v>53.1</v>
      </c>
      <c r="AA489">
        <v>6.7</v>
      </c>
      <c r="AB489">
        <v>2.7</v>
      </c>
      <c r="AC489">
        <v>14.1</v>
      </c>
      <c r="AD489">
        <v>0.4</v>
      </c>
      <c r="AE489">
        <v>1.5141242937853108</v>
      </c>
      <c r="AF489">
        <v>0.19915254237288135</v>
      </c>
      <c r="AG489">
        <v>23</v>
      </c>
      <c r="AH489">
        <v>24.93</v>
      </c>
      <c r="AI489">
        <v>39</v>
      </c>
    </row>
    <row r="490" spans="1:36" x14ac:dyDescent="0.5">
      <c r="A490">
        <v>120</v>
      </c>
      <c r="B490">
        <v>250</v>
      </c>
      <c r="C490">
        <v>0.1</v>
      </c>
      <c r="D490">
        <v>35</v>
      </c>
      <c r="E490">
        <v>500</v>
      </c>
      <c r="F490">
        <v>350</v>
      </c>
      <c r="G490">
        <v>10</v>
      </c>
      <c r="K490">
        <v>21</v>
      </c>
      <c r="L490">
        <v>6.1</v>
      </c>
      <c r="M490">
        <v>30.2</v>
      </c>
      <c r="O490">
        <v>74.099999999999994</v>
      </c>
      <c r="P490">
        <v>13.3</v>
      </c>
      <c r="Q490">
        <v>39.4</v>
      </c>
      <c r="R490">
        <v>5.3</v>
      </c>
      <c r="S490">
        <v>1</v>
      </c>
      <c r="T490">
        <v>41.3</v>
      </c>
      <c r="U490">
        <v>0.5</v>
      </c>
      <c r="V490">
        <v>1.6142131979695431</v>
      </c>
      <c r="W490">
        <v>0.78616751269035534</v>
      </c>
      <c r="X490">
        <v>12.6</v>
      </c>
      <c r="Y490">
        <v>13.51355</v>
      </c>
      <c r="Z490">
        <v>61.8</v>
      </c>
      <c r="AA490">
        <v>7.1</v>
      </c>
      <c r="AB490">
        <v>1.6</v>
      </c>
      <c r="AC490">
        <v>17.8</v>
      </c>
      <c r="AD490">
        <v>0.1</v>
      </c>
      <c r="AE490">
        <v>1.3786407766990292</v>
      </c>
      <c r="AF490">
        <v>0.2160194174757282</v>
      </c>
      <c r="AG490">
        <v>11.6</v>
      </c>
      <c r="AH490">
        <v>27.9</v>
      </c>
      <c r="AI490">
        <v>32</v>
      </c>
    </row>
    <row r="491" spans="1:36" x14ac:dyDescent="0.5">
      <c r="A491">
        <v>120</v>
      </c>
      <c r="B491">
        <v>250</v>
      </c>
      <c r="C491">
        <v>0.1</v>
      </c>
      <c r="D491">
        <v>35</v>
      </c>
      <c r="E491">
        <v>500</v>
      </c>
      <c r="F491">
        <v>350</v>
      </c>
      <c r="G491">
        <v>10</v>
      </c>
      <c r="K491">
        <v>21</v>
      </c>
      <c r="L491">
        <v>6.1</v>
      </c>
      <c r="M491">
        <v>30.2</v>
      </c>
      <c r="O491">
        <v>74.099999999999994</v>
      </c>
      <c r="P491">
        <v>13.3</v>
      </c>
      <c r="Q491">
        <v>39.4</v>
      </c>
      <c r="R491">
        <v>5.3</v>
      </c>
      <c r="S491">
        <v>1</v>
      </c>
      <c r="T491">
        <v>41.3</v>
      </c>
      <c r="U491">
        <v>0.5</v>
      </c>
      <c r="V491">
        <v>1.6142131979695431</v>
      </c>
      <c r="W491">
        <v>0.78616751269035534</v>
      </c>
      <c r="X491">
        <v>12.6</v>
      </c>
      <c r="Y491">
        <v>13.51355</v>
      </c>
      <c r="Z491">
        <v>51</v>
      </c>
      <c r="AA491">
        <v>5.4</v>
      </c>
      <c r="AB491">
        <v>1.8</v>
      </c>
      <c r="AC491">
        <v>21.7</v>
      </c>
      <c r="AD491">
        <v>0</v>
      </c>
      <c r="AE491">
        <v>1.2705882352941178</v>
      </c>
      <c r="AF491">
        <v>0.31911764705882351</v>
      </c>
      <c r="AG491">
        <v>20</v>
      </c>
      <c r="AH491">
        <v>21.83</v>
      </c>
      <c r="AI491">
        <v>54</v>
      </c>
    </row>
    <row r="492" spans="1:36" x14ac:dyDescent="0.5">
      <c r="A492">
        <v>120</v>
      </c>
      <c r="B492">
        <v>250</v>
      </c>
      <c r="C492">
        <v>0.1</v>
      </c>
      <c r="D492">
        <v>35</v>
      </c>
      <c r="E492">
        <v>500</v>
      </c>
      <c r="F492">
        <v>350</v>
      </c>
      <c r="G492">
        <v>10</v>
      </c>
      <c r="K492">
        <v>21</v>
      </c>
      <c r="L492">
        <v>6.1</v>
      </c>
      <c r="M492">
        <v>30.2</v>
      </c>
      <c r="O492">
        <v>74.099999999999994</v>
      </c>
      <c r="P492">
        <v>13.3</v>
      </c>
      <c r="Q492">
        <v>39.4</v>
      </c>
      <c r="R492">
        <v>5.3</v>
      </c>
      <c r="S492">
        <v>1</v>
      </c>
      <c r="T492">
        <v>41.3</v>
      </c>
      <c r="U492">
        <v>0.5</v>
      </c>
      <c r="V492">
        <v>1.6142131979695431</v>
      </c>
      <c r="W492">
        <v>0.78616751269035534</v>
      </c>
      <c r="X492">
        <v>12.6</v>
      </c>
      <c r="Y492">
        <v>13.51355</v>
      </c>
      <c r="Z492">
        <v>54.3</v>
      </c>
      <c r="AA492">
        <v>5.7</v>
      </c>
      <c r="AB492">
        <v>2.2999999999999998</v>
      </c>
      <c r="AC492">
        <v>18</v>
      </c>
      <c r="AD492">
        <v>0.2</v>
      </c>
      <c r="AE492">
        <v>1.2596685082872929</v>
      </c>
      <c r="AF492">
        <v>0.24861878453038677</v>
      </c>
      <c r="AG492">
        <v>19.600000000000001</v>
      </c>
      <c r="AH492">
        <v>23.75</v>
      </c>
      <c r="AI492">
        <v>49</v>
      </c>
    </row>
    <row r="493" spans="1:36" x14ac:dyDescent="0.5">
      <c r="A493">
        <v>120</v>
      </c>
      <c r="B493">
        <v>250</v>
      </c>
      <c r="C493">
        <v>0.1</v>
      </c>
      <c r="D493">
        <v>35</v>
      </c>
      <c r="E493">
        <v>500</v>
      </c>
      <c r="F493">
        <v>350</v>
      </c>
      <c r="G493">
        <v>10</v>
      </c>
      <c r="K493">
        <v>21</v>
      </c>
      <c r="L493">
        <v>6.1</v>
      </c>
      <c r="M493">
        <v>30.2</v>
      </c>
      <c r="O493">
        <v>74.099999999999994</v>
      </c>
      <c r="P493">
        <v>13.3</v>
      </c>
      <c r="Q493">
        <v>39.4</v>
      </c>
      <c r="R493">
        <v>5.3</v>
      </c>
      <c r="S493">
        <v>1</v>
      </c>
      <c r="T493">
        <v>41.3</v>
      </c>
      <c r="U493">
        <v>0.5</v>
      </c>
      <c r="V493">
        <v>1.6142131979695431</v>
      </c>
      <c r="W493">
        <v>0.78616751269035534</v>
      </c>
      <c r="X493">
        <v>12.6</v>
      </c>
      <c r="Y493">
        <v>13.51355</v>
      </c>
      <c r="Z493">
        <v>56.4</v>
      </c>
      <c r="AA493">
        <v>6</v>
      </c>
      <c r="AB493">
        <v>2.8</v>
      </c>
      <c r="AC493">
        <v>17.3</v>
      </c>
      <c r="AD493">
        <v>0.2</v>
      </c>
      <c r="AE493">
        <v>1.2765957446808509</v>
      </c>
      <c r="AF493">
        <v>0.23005319148936171</v>
      </c>
      <c r="AG493">
        <v>17.399999999999999</v>
      </c>
      <c r="AH493">
        <v>24.93</v>
      </c>
      <c r="AI493">
        <v>42</v>
      </c>
    </row>
    <row r="494" spans="1:36" x14ac:dyDescent="0.5">
      <c r="A494">
        <v>120</v>
      </c>
      <c r="B494">
        <v>250</v>
      </c>
      <c r="C494">
        <v>0.1</v>
      </c>
      <c r="D494">
        <v>35</v>
      </c>
      <c r="E494">
        <v>500</v>
      </c>
      <c r="F494">
        <v>350</v>
      </c>
      <c r="G494">
        <v>10</v>
      </c>
      <c r="K494">
        <v>21</v>
      </c>
      <c r="L494">
        <v>6.1</v>
      </c>
      <c r="M494">
        <v>30.2</v>
      </c>
      <c r="O494">
        <v>74.099999999999994</v>
      </c>
      <c r="P494">
        <v>13.3</v>
      </c>
      <c r="Q494">
        <v>39.4</v>
      </c>
      <c r="R494">
        <v>5.3</v>
      </c>
      <c r="S494">
        <v>1</v>
      </c>
      <c r="T494">
        <v>41.3</v>
      </c>
      <c r="U494">
        <v>0.5</v>
      </c>
      <c r="V494">
        <v>1.6142131979695431</v>
      </c>
      <c r="W494">
        <v>0.78616751269035534</v>
      </c>
      <c r="X494">
        <v>12.6</v>
      </c>
      <c r="Y494">
        <v>13.51355</v>
      </c>
      <c r="Z494">
        <v>55.6</v>
      </c>
      <c r="AA494">
        <v>6</v>
      </c>
      <c r="AB494">
        <v>2.7</v>
      </c>
      <c r="AC494">
        <v>17</v>
      </c>
      <c r="AD494">
        <v>0.2</v>
      </c>
      <c r="AE494">
        <v>1.2949640287769784</v>
      </c>
      <c r="AF494">
        <v>0.22931654676258992</v>
      </c>
      <c r="AG494">
        <v>18.399999999999999</v>
      </c>
      <c r="AH494">
        <v>24.73</v>
      </c>
      <c r="AI494">
        <v>43</v>
      </c>
    </row>
    <row r="495" spans="1:36" x14ac:dyDescent="0.5">
      <c r="A495">
        <v>120</v>
      </c>
      <c r="B495">
        <v>250</v>
      </c>
      <c r="C495">
        <v>0.1</v>
      </c>
      <c r="D495">
        <v>35</v>
      </c>
      <c r="E495">
        <v>500</v>
      </c>
      <c r="F495">
        <v>350</v>
      </c>
      <c r="G495">
        <v>10</v>
      </c>
      <c r="K495">
        <v>21</v>
      </c>
      <c r="L495">
        <v>6.1</v>
      </c>
      <c r="M495">
        <v>30.2</v>
      </c>
      <c r="O495">
        <v>74.099999999999994</v>
      </c>
      <c r="P495">
        <v>13.3</v>
      </c>
      <c r="Q495">
        <v>39.4</v>
      </c>
      <c r="R495">
        <v>5.3</v>
      </c>
      <c r="S495">
        <v>1</v>
      </c>
      <c r="T495">
        <v>41.3</v>
      </c>
      <c r="U495">
        <v>0.5</v>
      </c>
      <c r="V495">
        <v>1.6142131979695431</v>
      </c>
      <c r="W495">
        <v>0.78616751269035534</v>
      </c>
      <c r="X495">
        <v>12.6</v>
      </c>
      <c r="Y495">
        <v>13.51355</v>
      </c>
      <c r="Z495">
        <v>55</v>
      </c>
      <c r="AA495">
        <v>5.6</v>
      </c>
      <c r="AB495">
        <v>2.2999999999999998</v>
      </c>
      <c r="AC495">
        <v>18.3</v>
      </c>
      <c r="AD495">
        <v>0</v>
      </c>
      <c r="AE495">
        <v>1.2218181818181819</v>
      </c>
      <c r="AF495">
        <v>0.24954545454545457</v>
      </c>
      <c r="AG495">
        <v>18.7</v>
      </c>
      <c r="AH495">
        <v>23.87</v>
      </c>
      <c r="AI495">
        <v>41</v>
      </c>
    </row>
    <row r="496" spans="1:36" x14ac:dyDescent="0.5">
      <c r="A496">
        <v>180</v>
      </c>
      <c r="B496">
        <v>200</v>
      </c>
      <c r="C496">
        <v>0.1</v>
      </c>
      <c r="D496">
        <v>20</v>
      </c>
      <c r="E496">
        <v>250</v>
      </c>
      <c r="F496">
        <v>180</v>
      </c>
      <c r="G496">
        <v>9</v>
      </c>
      <c r="N496">
        <v>10</v>
      </c>
      <c r="O496">
        <v>79.2</v>
      </c>
      <c r="P496">
        <v>10.199999999999999</v>
      </c>
      <c r="Q496">
        <v>50.5</v>
      </c>
      <c r="R496">
        <v>5.9</v>
      </c>
      <c r="S496">
        <v>0.3</v>
      </c>
      <c r="T496">
        <v>43.3</v>
      </c>
      <c r="U496">
        <v>0</v>
      </c>
      <c r="V496">
        <v>1.4019801980198021</v>
      </c>
      <c r="W496">
        <v>0.64306930693069309</v>
      </c>
      <c r="X496">
        <v>0.6</v>
      </c>
      <c r="Y496">
        <v>18.100000000000001</v>
      </c>
      <c r="Z496">
        <v>53.6</v>
      </c>
      <c r="AA496">
        <v>6.06</v>
      </c>
      <c r="AB496">
        <v>0.22</v>
      </c>
      <c r="AC496">
        <v>40.119999999999997</v>
      </c>
      <c r="AD496">
        <v>0</v>
      </c>
      <c r="AE496">
        <v>1.3567164179104476</v>
      </c>
      <c r="AF496">
        <v>0.56138059701492538</v>
      </c>
      <c r="AH496">
        <v>22.21</v>
      </c>
      <c r="AI496">
        <v>63</v>
      </c>
      <c r="AJ496" t="s">
        <v>136</v>
      </c>
    </row>
    <row r="497" spans="1:36" x14ac:dyDescent="0.5">
      <c r="A497">
        <v>1200</v>
      </c>
      <c r="B497">
        <v>200</v>
      </c>
      <c r="C497">
        <v>0.1</v>
      </c>
      <c r="D497">
        <v>20</v>
      </c>
      <c r="E497">
        <v>250</v>
      </c>
      <c r="F497">
        <v>180</v>
      </c>
      <c r="G497">
        <v>9</v>
      </c>
      <c r="N497">
        <v>10</v>
      </c>
      <c r="O497">
        <v>79.2</v>
      </c>
      <c r="P497">
        <v>10.199999999999999</v>
      </c>
      <c r="Q497">
        <v>50.5</v>
      </c>
      <c r="R497">
        <v>5.9</v>
      </c>
      <c r="S497">
        <v>0.3</v>
      </c>
      <c r="T497">
        <v>43.3</v>
      </c>
      <c r="U497">
        <v>0</v>
      </c>
      <c r="V497">
        <v>1.4019801980198021</v>
      </c>
      <c r="W497">
        <v>0.64306930693069309</v>
      </c>
      <c r="X497">
        <v>0.6</v>
      </c>
      <c r="Y497">
        <v>18.100000000000001</v>
      </c>
      <c r="Z497">
        <v>57.9</v>
      </c>
      <c r="AA497">
        <v>5.67</v>
      </c>
      <c r="AB497">
        <v>0.38</v>
      </c>
      <c r="AC497">
        <v>36.049999999999997</v>
      </c>
      <c r="AD497">
        <v>0</v>
      </c>
      <c r="AE497">
        <v>1.1751295336787564</v>
      </c>
      <c r="AF497">
        <v>0.46696891191709838</v>
      </c>
      <c r="AH497">
        <v>24.02</v>
      </c>
      <c r="AI497">
        <v>61</v>
      </c>
    </row>
    <row r="498" spans="1:36" x14ac:dyDescent="0.5">
      <c r="A498">
        <v>180</v>
      </c>
      <c r="B498">
        <v>240</v>
      </c>
      <c r="C498">
        <v>0.1</v>
      </c>
      <c r="D498">
        <v>20</v>
      </c>
      <c r="E498">
        <v>250</v>
      </c>
      <c r="F498">
        <v>180</v>
      </c>
      <c r="G498">
        <v>9</v>
      </c>
      <c r="N498">
        <v>10</v>
      </c>
      <c r="O498">
        <v>79.2</v>
      </c>
      <c r="P498">
        <v>10.199999999999999</v>
      </c>
      <c r="Q498">
        <v>50.5</v>
      </c>
      <c r="R498">
        <v>5.9</v>
      </c>
      <c r="S498">
        <v>0.3</v>
      </c>
      <c r="T498">
        <v>43.3</v>
      </c>
      <c r="U498">
        <v>0</v>
      </c>
      <c r="V498">
        <v>1.4019801980198021</v>
      </c>
      <c r="W498">
        <v>0.64306930693069309</v>
      </c>
      <c r="X498">
        <v>0.6</v>
      </c>
      <c r="Y498">
        <v>18.100000000000001</v>
      </c>
      <c r="Z498">
        <v>54.2</v>
      </c>
      <c r="AA498">
        <v>5.99</v>
      </c>
      <c r="AB498">
        <v>0.32</v>
      </c>
      <c r="AC498">
        <v>39.49</v>
      </c>
      <c r="AD498">
        <v>0</v>
      </c>
      <c r="AE498">
        <v>1.3261992619926199</v>
      </c>
      <c r="AF498">
        <v>0.54644833948339488</v>
      </c>
      <c r="AH498">
        <v>23.43</v>
      </c>
      <c r="AI498">
        <v>62</v>
      </c>
    </row>
    <row r="499" spans="1:36" x14ac:dyDescent="0.5">
      <c r="A499">
        <v>1200</v>
      </c>
      <c r="B499">
        <v>240</v>
      </c>
      <c r="C499">
        <v>0.1</v>
      </c>
      <c r="D499">
        <v>20</v>
      </c>
      <c r="E499">
        <v>250</v>
      </c>
      <c r="F499">
        <v>180</v>
      </c>
      <c r="G499">
        <v>9</v>
      </c>
      <c r="N499">
        <v>10</v>
      </c>
      <c r="O499">
        <v>79.2</v>
      </c>
      <c r="P499">
        <v>10.199999999999999</v>
      </c>
      <c r="Q499">
        <v>50.5</v>
      </c>
      <c r="R499">
        <v>5.9</v>
      </c>
      <c r="S499">
        <v>0.3</v>
      </c>
      <c r="T499">
        <v>43.3</v>
      </c>
      <c r="U499">
        <v>0</v>
      </c>
      <c r="V499">
        <v>1.4019801980198021</v>
      </c>
      <c r="W499">
        <v>0.64306930693069309</v>
      </c>
      <c r="X499">
        <v>0.6</v>
      </c>
      <c r="Y499">
        <v>18.100000000000001</v>
      </c>
      <c r="Z499">
        <v>67.5</v>
      </c>
      <c r="AA499">
        <v>5.15</v>
      </c>
      <c r="AB499">
        <v>0.54</v>
      </c>
      <c r="AC499">
        <v>26.81</v>
      </c>
      <c r="AD499">
        <v>0</v>
      </c>
      <c r="AE499">
        <v>0.91555555555555557</v>
      </c>
      <c r="AF499">
        <v>0.29788888888888887</v>
      </c>
      <c r="AH499">
        <v>28.18</v>
      </c>
      <c r="AI499">
        <v>44</v>
      </c>
    </row>
    <row r="500" spans="1:36" x14ac:dyDescent="0.5">
      <c r="A500">
        <v>30</v>
      </c>
      <c r="B500">
        <v>210</v>
      </c>
      <c r="C500">
        <v>0.1</v>
      </c>
      <c r="D500">
        <v>150</v>
      </c>
      <c r="E500">
        <v>4500</v>
      </c>
      <c r="F500">
        <v>750</v>
      </c>
      <c r="G500">
        <v>5</v>
      </c>
      <c r="Q500">
        <v>42.4</v>
      </c>
      <c r="R500">
        <v>5.8</v>
      </c>
      <c r="S500">
        <v>1.2</v>
      </c>
      <c r="T500">
        <v>50.2</v>
      </c>
      <c r="U500">
        <v>0.4</v>
      </c>
      <c r="V500">
        <v>1.6415094339622642</v>
      </c>
      <c r="W500">
        <v>0.88797169811320764</v>
      </c>
      <c r="X500">
        <v>12.7</v>
      </c>
      <c r="Y500">
        <v>14.9</v>
      </c>
      <c r="Z500">
        <v>46.1</v>
      </c>
      <c r="AA500">
        <v>5.7</v>
      </c>
      <c r="AB500">
        <v>1.1000000000000001</v>
      </c>
      <c r="AC500">
        <v>46.7</v>
      </c>
      <c r="AD500">
        <v>0.4</v>
      </c>
      <c r="AE500">
        <v>1.4837310195227766</v>
      </c>
      <c r="AF500">
        <v>0.75976138828633411</v>
      </c>
      <c r="AG500">
        <v>12.7</v>
      </c>
      <c r="AH500">
        <v>16</v>
      </c>
      <c r="AI500">
        <v>93</v>
      </c>
      <c r="AJ500" t="s">
        <v>138</v>
      </c>
    </row>
    <row r="501" spans="1:36" x14ac:dyDescent="0.5">
      <c r="A501">
        <v>120</v>
      </c>
      <c r="B501">
        <v>210</v>
      </c>
      <c r="C501">
        <v>0.1</v>
      </c>
      <c r="D501">
        <v>150</v>
      </c>
      <c r="E501">
        <v>4500</v>
      </c>
      <c r="F501">
        <v>750</v>
      </c>
      <c r="G501">
        <v>5</v>
      </c>
      <c r="Q501">
        <v>42.4</v>
      </c>
      <c r="R501">
        <v>5.8</v>
      </c>
      <c r="S501">
        <v>1.2</v>
      </c>
      <c r="T501">
        <v>50.2</v>
      </c>
      <c r="U501">
        <v>0.4</v>
      </c>
      <c r="V501">
        <v>1.6415094339622642</v>
      </c>
      <c r="W501">
        <v>0.88797169811320764</v>
      </c>
      <c r="X501">
        <v>12.7</v>
      </c>
      <c r="Y501">
        <v>14.9</v>
      </c>
      <c r="Z501">
        <v>48.7</v>
      </c>
      <c r="AA501">
        <v>5.6</v>
      </c>
      <c r="AB501">
        <v>1.6</v>
      </c>
      <c r="AC501">
        <v>43.6</v>
      </c>
      <c r="AD501">
        <v>0.4</v>
      </c>
      <c r="AE501">
        <v>1.3798767967145789</v>
      </c>
      <c r="AF501">
        <v>0.67145790554414786</v>
      </c>
      <c r="AG501">
        <v>12.8</v>
      </c>
      <c r="AH501">
        <v>16</v>
      </c>
      <c r="AI501">
        <v>88.1</v>
      </c>
    </row>
    <row r="502" spans="1:36" x14ac:dyDescent="0.5">
      <c r="A502">
        <v>30</v>
      </c>
      <c r="B502">
        <v>230</v>
      </c>
      <c r="C502">
        <v>0.1</v>
      </c>
      <c r="D502">
        <v>150</v>
      </c>
      <c r="E502">
        <v>4500</v>
      </c>
      <c r="F502">
        <v>750</v>
      </c>
      <c r="G502">
        <v>5</v>
      </c>
      <c r="Q502">
        <v>42.4</v>
      </c>
      <c r="R502">
        <v>5.8</v>
      </c>
      <c r="S502">
        <v>1.2</v>
      </c>
      <c r="T502">
        <v>50.2</v>
      </c>
      <c r="U502">
        <v>0.4</v>
      </c>
      <c r="V502">
        <v>1.6415094339622642</v>
      </c>
      <c r="W502">
        <v>0.88797169811320764</v>
      </c>
      <c r="X502">
        <v>12.7</v>
      </c>
      <c r="Y502">
        <v>14.9</v>
      </c>
      <c r="Z502">
        <v>49.2</v>
      </c>
      <c r="AA502">
        <v>5.7</v>
      </c>
      <c r="AB502">
        <v>1.5</v>
      </c>
      <c r="AC502">
        <v>43.3</v>
      </c>
      <c r="AD502">
        <v>0.4</v>
      </c>
      <c r="AE502">
        <v>1.3902439024390243</v>
      </c>
      <c r="AF502">
        <v>0.66006097560975596</v>
      </c>
      <c r="AG502">
        <v>13.8</v>
      </c>
      <c r="AH502">
        <v>16.7</v>
      </c>
      <c r="AI502">
        <v>87.4</v>
      </c>
    </row>
    <row r="503" spans="1:36" x14ac:dyDescent="0.5">
      <c r="A503">
        <v>120</v>
      </c>
      <c r="B503">
        <v>230</v>
      </c>
      <c r="C503">
        <v>0.1</v>
      </c>
      <c r="D503">
        <v>150</v>
      </c>
      <c r="E503">
        <v>4500</v>
      </c>
      <c r="F503">
        <v>750</v>
      </c>
      <c r="G503">
        <v>5</v>
      </c>
      <c r="Q503">
        <v>42.4</v>
      </c>
      <c r="R503">
        <v>5.8</v>
      </c>
      <c r="S503">
        <v>1.2</v>
      </c>
      <c r="T503">
        <v>50.2</v>
      </c>
      <c r="U503">
        <v>0.4</v>
      </c>
      <c r="V503">
        <v>1.6415094339622642</v>
      </c>
      <c r="W503">
        <v>0.88797169811320764</v>
      </c>
      <c r="X503">
        <v>12.7</v>
      </c>
      <c r="Y503">
        <v>14.9</v>
      </c>
      <c r="Z503">
        <v>52.4</v>
      </c>
      <c r="AA503">
        <v>5.6</v>
      </c>
      <c r="AB503">
        <v>1.6</v>
      </c>
      <c r="AC503">
        <v>39.9</v>
      </c>
      <c r="AD503">
        <v>0.5</v>
      </c>
      <c r="AE503">
        <v>1.2824427480916032</v>
      </c>
      <c r="AF503">
        <v>0.57108778625954204</v>
      </c>
      <c r="AG503">
        <v>15.3</v>
      </c>
      <c r="AH503">
        <v>17.899999999999999</v>
      </c>
      <c r="AI503">
        <v>79.7</v>
      </c>
    </row>
    <row r="504" spans="1:36" x14ac:dyDescent="0.5">
      <c r="A504">
        <v>30</v>
      </c>
      <c r="B504">
        <v>250</v>
      </c>
      <c r="C504">
        <v>0.1</v>
      </c>
      <c r="D504">
        <v>150</v>
      </c>
      <c r="E504">
        <v>4500</v>
      </c>
      <c r="F504">
        <v>750</v>
      </c>
      <c r="G504">
        <v>5</v>
      </c>
      <c r="Q504">
        <v>42.4</v>
      </c>
      <c r="R504">
        <v>5.8</v>
      </c>
      <c r="S504">
        <v>1.2</v>
      </c>
      <c r="T504">
        <v>50.2</v>
      </c>
      <c r="U504">
        <v>0.4</v>
      </c>
      <c r="V504">
        <v>1.6415094339622642</v>
      </c>
      <c r="W504">
        <v>0.88797169811320764</v>
      </c>
      <c r="X504">
        <v>12.7</v>
      </c>
      <c r="Y504">
        <v>14.9</v>
      </c>
      <c r="Z504">
        <v>52.4</v>
      </c>
      <c r="AA504">
        <v>5.4</v>
      </c>
      <c r="AB504">
        <v>1.5</v>
      </c>
      <c r="AC504">
        <v>40.200000000000003</v>
      </c>
      <c r="AD504">
        <v>0.5</v>
      </c>
      <c r="AE504">
        <v>1.2366412213740461</v>
      </c>
      <c r="AF504">
        <v>0.57538167938931306</v>
      </c>
      <c r="AG504">
        <v>15.5</v>
      </c>
      <c r="AH504">
        <v>20.100000000000001</v>
      </c>
      <c r="AI504">
        <v>73.5</v>
      </c>
    </row>
    <row r="505" spans="1:36" x14ac:dyDescent="0.5">
      <c r="A505">
        <v>120</v>
      </c>
      <c r="B505">
        <v>250</v>
      </c>
      <c r="C505">
        <v>0.1</v>
      </c>
      <c r="D505">
        <v>150</v>
      </c>
      <c r="E505">
        <v>4500</v>
      </c>
      <c r="F505">
        <v>750</v>
      </c>
      <c r="G505">
        <v>5</v>
      </c>
      <c r="Q505">
        <v>42.4</v>
      </c>
      <c r="R505">
        <v>5.8</v>
      </c>
      <c r="S505">
        <v>1.2</v>
      </c>
      <c r="T505">
        <v>50.2</v>
      </c>
      <c r="U505">
        <v>0.4</v>
      </c>
      <c r="V505">
        <v>1.6415094339622642</v>
      </c>
      <c r="W505">
        <v>0.88797169811320764</v>
      </c>
      <c r="X505">
        <v>12.7</v>
      </c>
      <c r="Y505">
        <v>14.9</v>
      </c>
      <c r="Z505">
        <v>55.5</v>
      </c>
      <c r="AA505">
        <v>5.0999999999999996</v>
      </c>
      <c r="AB505">
        <v>1.6</v>
      </c>
      <c r="AC505">
        <v>37.299999999999997</v>
      </c>
      <c r="AD505">
        <v>0.5</v>
      </c>
      <c r="AE505">
        <v>1.1027027027027025</v>
      </c>
      <c r="AF505">
        <v>0.50405405405405401</v>
      </c>
      <c r="AG505">
        <v>19.7</v>
      </c>
      <c r="AH505">
        <v>20.399999999999999</v>
      </c>
      <c r="AI505">
        <v>51.6</v>
      </c>
    </row>
    <row r="506" spans="1:36" x14ac:dyDescent="0.5">
      <c r="A506">
        <v>30</v>
      </c>
      <c r="B506">
        <v>210</v>
      </c>
      <c r="C506">
        <v>0.1</v>
      </c>
      <c r="D506">
        <v>150</v>
      </c>
      <c r="E506">
        <v>4500</v>
      </c>
      <c r="F506">
        <v>750</v>
      </c>
      <c r="G506">
        <v>5</v>
      </c>
      <c r="Q506">
        <v>42.6</v>
      </c>
      <c r="R506">
        <v>5.8</v>
      </c>
      <c r="S506">
        <v>1.7</v>
      </c>
      <c r="T506">
        <v>49.4</v>
      </c>
      <c r="U506">
        <v>0.5</v>
      </c>
      <c r="V506">
        <v>1.6338028169014083</v>
      </c>
      <c r="W506">
        <v>0.86971830985915488</v>
      </c>
      <c r="X506">
        <v>11.9</v>
      </c>
      <c r="Y506">
        <v>15</v>
      </c>
      <c r="Z506">
        <v>46.1</v>
      </c>
      <c r="AA506">
        <v>5.8</v>
      </c>
      <c r="AB506">
        <v>0.9</v>
      </c>
      <c r="AC506">
        <v>47</v>
      </c>
      <c r="AD506">
        <v>0.3</v>
      </c>
      <c r="AE506">
        <v>1.5097613882863339</v>
      </c>
      <c r="AF506">
        <v>0.76464208242950105</v>
      </c>
      <c r="AG506">
        <v>12</v>
      </c>
      <c r="AH506">
        <v>16.100000000000001</v>
      </c>
      <c r="AI506">
        <v>93.2</v>
      </c>
    </row>
    <row r="507" spans="1:36" x14ac:dyDescent="0.5">
      <c r="A507">
        <v>120</v>
      </c>
      <c r="B507">
        <v>210</v>
      </c>
      <c r="C507">
        <v>0.1</v>
      </c>
      <c r="D507">
        <v>150</v>
      </c>
      <c r="E507">
        <v>4500</v>
      </c>
      <c r="F507">
        <v>750</v>
      </c>
      <c r="G507">
        <v>5</v>
      </c>
      <c r="Q507">
        <v>42.6</v>
      </c>
      <c r="R507">
        <v>5.8</v>
      </c>
      <c r="S507">
        <v>1.7</v>
      </c>
      <c r="T507">
        <v>49.4</v>
      </c>
      <c r="U507">
        <v>0.5</v>
      </c>
      <c r="V507">
        <v>1.6338028169014083</v>
      </c>
      <c r="W507">
        <v>0.86971830985915488</v>
      </c>
      <c r="X507">
        <v>11.9</v>
      </c>
      <c r="Y507">
        <v>15</v>
      </c>
      <c r="Z507">
        <v>47.6</v>
      </c>
      <c r="AA507">
        <v>5.7</v>
      </c>
      <c r="AB507">
        <v>1.2</v>
      </c>
      <c r="AC507">
        <v>45.2</v>
      </c>
      <c r="AD507">
        <v>0.3</v>
      </c>
      <c r="AE507">
        <v>1.4369747899159664</v>
      </c>
      <c r="AF507">
        <v>0.71218487394957986</v>
      </c>
      <c r="AG507">
        <v>12.5</v>
      </c>
      <c r="AH507">
        <v>16.600000000000001</v>
      </c>
      <c r="AI507">
        <v>85</v>
      </c>
    </row>
    <row r="508" spans="1:36" x14ac:dyDescent="0.5">
      <c r="A508">
        <v>30</v>
      </c>
      <c r="B508">
        <v>230</v>
      </c>
      <c r="C508">
        <v>0.1</v>
      </c>
      <c r="D508">
        <v>150</v>
      </c>
      <c r="E508">
        <v>4500</v>
      </c>
      <c r="F508">
        <v>750</v>
      </c>
      <c r="G508">
        <v>5</v>
      </c>
      <c r="Q508">
        <v>42.6</v>
      </c>
      <c r="R508">
        <v>5.8</v>
      </c>
      <c r="S508">
        <v>1.7</v>
      </c>
      <c r="T508">
        <v>49.4</v>
      </c>
      <c r="U508">
        <v>0.5</v>
      </c>
      <c r="V508">
        <v>1.6338028169014083</v>
      </c>
      <c r="W508">
        <v>0.86971830985915488</v>
      </c>
      <c r="X508">
        <v>11.9</v>
      </c>
      <c r="Y508">
        <v>15</v>
      </c>
      <c r="Z508">
        <v>47.5</v>
      </c>
      <c r="AA508">
        <v>5.8</v>
      </c>
      <c r="AB508">
        <v>1.1000000000000001</v>
      </c>
      <c r="AC508">
        <v>45.4</v>
      </c>
      <c r="AD508">
        <v>0.3</v>
      </c>
      <c r="AE508">
        <v>1.4652631578947368</v>
      </c>
      <c r="AF508">
        <v>0.71684210526315784</v>
      </c>
      <c r="AG508">
        <v>13.2</v>
      </c>
      <c r="AH508">
        <v>16.5</v>
      </c>
      <c r="AI508">
        <v>86.3</v>
      </c>
    </row>
    <row r="509" spans="1:36" x14ac:dyDescent="0.5">
      <c r="A509">
        <v>120</v>
      </c>
      <c r="B509">
        <v>230</v>
      </c>
      <c r="C509">
        <v>0.1</v>
      </c>
      <c r="D509">
        <v>150</v>
      </c>
      <c r="E509">
        <v>4500</v>
      </c>
      <c r="F509">
        <v>750</v>
      </c>
      <c r="G509">
        <v>5</v>
      </c>
      <c r="Q509">
        <v>42.6</v>
      </c>
      <c r="R509">
        <v>5.8</v>
      </c>
      <c r="S509">
        <v>1.7</v>
      </c>
      <c r="T509">
        <v>49.4</v>
      </c>
      <c r="U509">
        <v>0.5</v>
      </c>
      <c r="V509">
        <v>1.6338028169014083</v>
      </c>
      <c r="W509">
        <v>0.86971830985915488</v>
      </c>
      <c r="X509">
        <v>11.9</v>
      </c>
      <c r="Y509">
        <v>15</v>
      </c>
      <c r="Z509">
        <v>50.6</v>
      </c>
      <c r="AA509">
        <v>5.6</v>
      </c>
      <c r="AB509">
        <v>1.3</v>
      </c>
      <c r="AC509">
        <v>42.2</v>
      </c>
      <c r="AD509">
        <v>0.3</v>
      </c>
      <c r="AE509">
        <v>1.3280632411067192</v>
      </c>
      <c r="AF509">
        <v>0.62549407114624511</v>
      </c>
      <c r="AG509">
        <v>15.5</v>
      </c>
      <c r="AH509">
        <v>18.100000000000001</v>
      </c>
      <c r="AI509">
        <v>64</v>
      </c>
    </row>
    <row r="510" spans="1:36" x14ac:dyDescent="0.5">
      <c r="A510">
        <v>30</v>
      </c>
      <c r="B510">
        <v>250</v>
      </c>
      <c r="C510">
        <v>0.1</v>
      </c>
      <c r="D510">
        <v>150</v>
      </c>
      <c r="E510">
        <v>4500</v>
      </c>
      <c r="F510">
        <v>750</v>
      </c>
      <c r="G510">
        <v>5</v>
      </c>
      <c r="Q510">
        <v>42.6</v>
      </c>
      <c r="R510">
        <v>5.8</v>
      </c>
      <c r="S510">
        <v>1.7</v>
      </c>
      <c r="T510">
        <v>49.4</v>
      </c>
      <c r="U510">
        <v>0.5</v>
      </c>
      <c r="V510">
        <v>1.6338028169014083</v>
      </c>
      <c r="W510">
        <v>0.86971830985915488</v>
      </c>
      <c r="X510">
        <v>11.9</v>
      </c>
      <c r="Y510">
        <v>15</v>
      </c>
      <c r="Z510">
        <v>53</v>
      </c>
      <c r="AA510">
        <v>5.6</v>
      </c>
      <c r="AB510">
        <v>1.5</v>
      </c>
      <c r="AC510">
        <v>39.6</v>
      </c>
      <c r="AD510">
        <v>0.4</v>
      </c>
      <c r="AE510">
        <v>1.2679245283018867</v>
      </c>
      <c r="AF510">
        <v>0.56037735849056602</v>
      </c>
      <c r="AG510">
        <v>16.100000000000001</v>
      </c>
      <c r="AH510">
        <v>18.8</v>
      </c>
      <c r="AI510">
        <v>66.900000000000006</v>
      </c>
    </row>
    <row r="511" spans="1:36" x14ac:dyDescent="0.5">
      <c r="A511">
        <v>120</v>
      </c>
      <c r="B511">
        <v>250</v>
      </c>
      <c r="C511">
        <v>0.1</v>
      </c>
      <c r="D511">
        <v>150</v>
      </c>
      <c r="E511">
        <v>4500</v>
      </c>
      <c r="F511">
        <v>750</v>
      </c>
      <c r="G511">
        <v>5</v>
      </c>
      <c r="Q511">
        <v>42.6</v>
      </c>
      <c r="R511">
        <v>5.8</v>
      </c>
      <c r="S511">
        <v>1.7</v>
      </c>
      <c r="T511">
        <v>49.4</v>
      </c>
      <c r="U511">
        <v>0.5</v>
      </c>
      <c r="V511">
        <v>1.6338028169014083</v>
      </c>
      <c r="W511">
        <v>0.86971830985915488</v>
      </c>
      <c r="X511">
        <v>11.9</v>
      </c>
      <c r="Y511">
        <v>15</v>
      </c>
      <c r="Z511">
        <v>56.8</v>
      </c>
      <c r="AA511">
        <v>5.2</v>
      </c>
      <c r="AB511">
        <v>1.8</v>
      </c>
      <c r="AC511">
        <v>35.799999999999997</v>
      </c>
      <c r="AD511">
        <v>0.4</v>
      </c>
      <c r="AE511">
        <v>1.0985915492957747</v>
      </c>
      <c r="AF511">
        <v>0.47271126760563376</v>
      </c>
      <c r="AG511">
        <v>19.600000000000001</v>
      </c>
      <c r="AH511">
        <v>20.5</v>
      </c>
      <c r="AI511">
        <v>48.4</v>
      </c>
    </row>
    <row r="512" spans="1:36" x14ac:dyDescent="0.5">
      <c r="A512">
        <v>30</v>
      </c>
      <c r="B512">
        <v>210</v>
      </c>
      <c r="C512">
        <v>0.1</v>
      </c>
      <c r="D512">
        <v>20</v>
      </c>
      <c r="E512">
        <v>250</v>
      </c>
      <c r="F512">
        <v>150</v>
      </c>
      <c r="G512">
        <v>7.5</v>
      </c>
      <c r="O512">
        <v>56.8</v>
      </c>
      <c r="P512">
        <v>14</v>
      </c>
      <c r="Q512">
        <v>40</v>
      </c>
      <c r="R512">
        <v>4.5999999999999996</v>
      </c>
      <c r="S512">
        <v>1.9</v>
      </c>
      <c r="T512">
        <v>24</v>
      </c>
      <c r="U512">
        <v>0.31</v>
      </c>
      <c r="V512">
        <v>1.38</v>
      </c>
      <c r="W512">
        <v>0.44999999999999996</v>
      </c>
      <c r="X512">
        <v>29.2</v>
      </c>
      <c r="Y512">
        <v>16.3</v>
      </c>
      <c r="Z512">
        <v>41.9</v>
      </c>
      <c r="AA512">
        <v>3.8</v>
      </c>
      <c r="AB512">
        <v>2.2999999999999998</v>
      </c>
      <c r="AC512">
        <v>22</v>
      </c>
      <c r="AD512">
        <v>0.28000000000000003</v>
      </c>
      <c r="AE512">
        <v>1.0883054892601431</v>
      </c>
      <c r="AF512">
        <v>0.3937947494033413</v>
      </c>
      <c r="AG512">
        <v>29.6</v>
      </c>
      <c r="AH512">
        <v>16.3</v>
      </c>
      <c r="AI512">
        <v>75.400000000000006</v>
      </c>
      <c r="AJ512" t="s">
        <v>140</v>
      </c>
    </row>
    <row r="513" spans="1:36" x14ac:dyDescent="0.5">
      <c r="A513">
        <v>60</v>
      </c>
      <c r="B513">
        <v>210</v>
      </c>
      <c r="C513">
        <v>0.1</v>
      </c>
      <c r="D513">
        <v>20</v>
      </c>
      <c r="E513">
        <v>250</v>
      </c>
      <c r="F513">
        <v>150</v>
      </c>
      <c r="G513">
        <v>7.5</v>
      </c>
      <c r="O513">
        <v>56.8</v>
      </c>
      <c r="P513">
        <v>14</v>
      </c>
      <c r="Q513">
        <v>40</v>
      </c>
      <c r="R513">
        <v>4.5999999999999996</v>
      </c>
      <c r="S513">
        <v>1.9</v>
      </c>
      <c r="T513">
        <v>24</v>
      </c>
      <c r="U513">
        <v>0.31</v>
      </c>
      <c r="V513">
        <v>1.38</v>
      </c>
      <c r="W513">
        <v>0.44999999999999996</v>
      </c>
      <c r="X513">
        <v>29.2</v>
      </c>
      <c r="Y513">
        <v>16.3</v>
      </c>
      <c r="Z513">
        <v>42.4</v>
      </c>
      <c r="AA513">
        <v>3.7</v>
      </c>
      <c r="AB513">
        <v>2.2999999999999998</v>
      </c>
      <c r="AC513">
        <v>21.1</v>
      </c>
      <c r="AD513">
        <v>0.26</v>
      </c>
      <c r="AE513">
        <v>1.0471698113207548</v>
      </c>
      <c r="AF513">
        <v>0.37323113207547176</v>
      </c>
      <c r="AG513">
        <v>30.2</v>
      </c>
      <c r="AH513">
        <v>16.3</v>
      </c>
      <c r="AI513">
        <v>75.599999999999994</v>
      </c>
    </row>
    <row r="514" spans="1:36" x14ac:dyDescent="0.5">
      <c r="A514">
        <v>180</v>
      </c>
      <c r="B514">
        <v>210</v>
      </c>
      <c r="C514">
        <v>0.1</v>
      </c>
      <c r="D514">
        <v>20</v>
      </c>
      <c r="E514">
        <v>250</v>
      </c>
      <c r="F514">
        <v>150</v>
      </c>
      <c r="G514">
        <v>7.5</v>
      </c>
      <c r="O514">
        <v>56.8</v>
      </c>
      <c r="P514">
        <v>14</v>
      </c>
      <c r="Q514">
        <v>40</v>
      </c>
      <c r="R514">
        <v>4.5999999999999996</v>
      </c>
      <c r="S514">
        <v>1.9</v>
      </c>
      <c r="T514">
        <v>24</v>
      </c>
      <c r="U514">
        <v>0.31</v>
      </c>
      <c r="V514">
        <v>1.38</v>
      </c>
      <c r="W514">
        <v>0.44999999999999996</v>
      </c>
      <c r="X514">
        <v>29.2</v>
      </c>
      <c r="Y514">
        <v>16.3</v>
      </c>
      <c r="Z514">
        <v>42.3</v>
      </c>
      <c r="AA514">
        <v>3.5</v>
      </c>
      <c r="AB514">
        <v>2.4</v>
      </c>
      <c r="AC514">
        <v>20.399999999999999</v>
      </c>
      <c r="AD514">
        <v>0.27</v>
      </c>
      <c r="AE514">
        <v>0.99290780141843971</v>
      </c>
      <c r="AF514">
        <v>0.36170212765957444</v>
      </c>
      <c r="AG514">
        <v>31.2</v>
      </c>
      <c r="AH514">
        <v>16.100000000000001</v>
      </c>
      <c r="AI514">
        <v>73</v>
      </c>
    </row>
    <row r="515" spans="1:36" x14ac:dyDescent="0.5">
      <c r="A515">
        <v>300</v>
      </c>
      <c r="B515">
        <v>210</v>
      </c>
      <c r="C515">
        <v>0.1</v>
      </c>
      <c r="D515">
        <v>20</v>
      </c>
      <c r="E515">
        <v>250</v>
      </c>
      <c r="F515">
        <v>150</v>
      </c>
      <c r="G515">
        <v>7.5</v>
      </c>
      <c r="O515">
        <v>56.8</v>
      </c>
      <c r="P515">
        <v>14</v>
      </c>
      <c r="Q515">
        <v>40</v>
      </c>
      <c r="R515">
        <v>4.5999999999999996</v>
      </c>
      <c r="S515">
        <v>1.9</v>
      </c>
      <c r="T515">
        <v>24</v>
      </c>
      <c r="U515">
        <v>0.31</v>
      </c>
      <c r="V515">
        <v>1.38</v>
      </c>
      <c r="W515">
        <v>0.44999999999999996</v>
      </c>
      <c r="X515">
        <v>29.2</v>
      </c>
      <c r="Y515">
        <v>16.3</v>
      </c>
      <c r="Z515">
        <v>42.2</v>
      </c>
      <c r="AA515">
        <v>3.4</v>
      </c>
      <c r="AB515">
        <v>2.4</v>
      </c>
      <c r="AC515">
        <v>19.8</v>
      </c>
      <c r="AD515">
        <v>0.26</v>
      </c>
      <c r="AE515">
        <v>0.96682464454976291</v>
      </c>
      <c r="AF515">
        <v>0.3518957345971564</v>
      </c>
      <c r="AG515">
        <v>32</v>
      </c>
      <c r="AH515">
        <v>16</v>
      </c>
      <c r="AI515">
        <v>70</v>
      </c>
    </row>
    <row r="516" spans="1:36" x14ac:dyDescent="0.5">
      <c r="A516">
        <v>30</v>
      </c>
      <c r="B516">
        <v>175</v>
      </c>
      <c r="C516">
        <v>0.1</v>
      </c>
      <c r="D516">
        <v>15</v>
      </c>
      <c r="E516">
        <v>100</v>
      </c>
      <c r="F516">
        <v>60</v>
      </c>
      <c r="G516">
        <v>4</v>
      </c>
      <c r="O516">
        <v>72.599999999999994</v>
      </c>
      <c r="P516">
        <v>21.9</v>
      </c>
      <c r="Q516">
        <v>49.1</v>
      </c>
      <c r="R516">
        <v>6.3</v>
      </c>
      <c r="S516">
        <v>2.29</v>
      </c>
      <c r="T516">
        <v>42.31</v>
      </c>
      <c r="U516">
        <v>0</v>
      </c>
      <c r="V516">
        <v>1.539714867617108</v>
      </c>
      <c r="W516">
        <v>0.64628309572301423</v>
      </c>
      <c r="X516">
        <v>5.4</v>
      </c>
      <c r="Y516">
        <v>20.04</v>
      </c>
      <c r="Z516">
        <v>58.64</v>
      </c>
      <c r="AA516">
        <v>6.21</v>
      </c>
      <c r="AB516">
        <v>2.19</v>
      </c>
      <c r="AC516">
        <v>32.950000000000003</v>
      </c>
      <c r="AD516">
        <v>0</v>
      </c>
      <c r="AE516">
        <v>1.2708049113233288</v>
      </c>
      <c r="AF516">
        <v>0.42142735334242842</v>
      </c>
      <c r="AG516">
        <v>1.4</v>
      </c>
      <c r="AH516">
        <v>24.32</v>
      </c>
      <c r="AI516">
        <v>73.89</v>
      </c>
      <c r="AJ516" t="s">
        <v>142</v>
      </c>
    </row>
    <row r="517" spans="1:36" x14ac:dyDescent="0.5">
      <c r="A517">
        <v>30</v>
      </c>
      <c r="B517">
        <v>200</v>
      </c>
      <c r="C517">
        <v>0.1</v>
      </c>
      <c r="D517">
        <v>15</v>
      </c>
      <c r="E517">
        <v>100</v>
      </c>
      <c r="F517">
        <v>60</v>
      </c>
      <c r="G517">
        <v>4</v>
      </c>
      <c r="O517">
        <v>72.599999999999994</v>
      </c>
      <c r="P517">
        <v>21.9</v>
      </c>
      <c r="Q517">
        <v>49.1</v>
      </c>
      <c r="R517">
        <v>6.3</v>
      </c>
      <c r="S517">
        <v>2.29</v>
      </c>
      <c r="T517">
        <v>42.31</v>
      </c>
      <c r="U517">
        <v>0</v>
      </c>
      <c r="V517">
        <v>1.539714867617108</v>
      </c>
      <c r="W517">
        <v>0.64628309572301423</v>
      </c>
      <c r="X517">
        <v>5.4</v>
      </c>
      <c r="Y517">
        <v>20.04</v>
      </c>
      <c r="Z517">
        <v>60.16</v>
      </c>
      <c r="AA517">
        <v>6.11</v>
      </c>
      <c r="AB517">
        <v>1.72</v>
      </c>
      <c r="AC517">
        <v>32.01</v>
      </c>
      <c r="AD517">
        <v>0</v>
      </c>
      <c r="AE517">
        <v>1.2187500000000002</v>
      </c>
      <c r="AF517">
        <v>0.39906083776595747</v>
      </c>
      <c r="AG517">
        <v>1.1000000000000001</v>
      </c>
      <c r="AH517">
        <v>24.84</v>
      </c>
      <c r="AI517">
        <v>74.900000000000006</v>
      </c>
    </row>
    <row r="518" spans="1:36" x14ac:dyDescent="0.5">
      <c r="A518">
        <v>10</v>
      </c>
      <c r="B518">
        <v>225</v>
      </c>
      <c r="C518">
        <v>0.1</v>
      </c>
      <c r="D518">
        <v>15</v>
      </c>
      <c r="E518">
        <v>100</v>
      </c>
      <c r="F518">
        <v>60</v>
      </c>
      <c r="G518">
        <v>4</v>
      </c>
      <c r="O518">
        <v>72.599999999999994</v>
      </c>
      <c r="P518">
        <v>21.9</v>
      </c>
      <c r="Q518">
        <v>49.1</v>
      </c>
      <c r="R518">
        <v>6.3</v>
      </c>
      <c r="S518">
        <v>2.29</v>
      </c>
      <c r="T518">
        <v>42.31</v>
      </c>
      <c r="U518">
        <v>0</v>
      </c>
      <c r="V518">
        <v>1.539714867617108</v>
      </c>
      <c r="W518">
        <v>0.64628309572301423</v>
      </c>
      <c r="X518">
        <v>5.4</v>
      </c>
      <c r="Y518">
        <v>20.04</v>
      </c>
      <c r="Z518">
        <v>61.39</v>
      </c>
      <c r="AA518">
        <v>6.4</v>
      </c>
      <c r="AB518">
        <v>1.72</v>
      </c>
      <c r="AC518">
        <v>30.49</v>
      </c>
      <c r="AD518">
        <v>0</v>
      </c>
      <c r="AE518">
        <v>1.2510180811207037</v>
      </c>
      <c r="AF518">
        <v>0.37249552044306888</v>
      </c>
      <c r="AG518">
        <v>1.9</v>
      </c>
      <c r="AH518">
        <v>25.75</v>
      </c>
      <c r="AI518">
        <v>77.400000000000006</v>
      </c>
    </row>
    <row r="519" spans="1:36" x14ac:dyDescent="0.5">
      <c r="A519">
        <v>30</v>
      </c>
      <c r="B519">
        <v>225</v>
      </c>
      <c r="C519">
        <v>0.1</v>
      </c>
      <c r="D519">
        <v>15</v>
      </c>
      <c r="E519">
        <v>100</v>
      </c>
      <c r="F519">
        <v>60</v>
      </c>
      <c r="G519">
        <v>4</v>
      </c>
      <c r="O519">
        <v>72.599999999999994</v>
      </c>
      <c r="P519">
        <v>21.9</v>
      </c>
      <c r="Q519">
        <v>49.1</v>
      </c>
      <c r="R519">
        <v>6.3</v>
      </c>
      <c r="S519">
        <v>2.29</v>
      </c>
      <c r="T519">
        <v>42.31</v>
      </c>
      <c r="U519">
        <v>0</v>
      </c>
      <c r="V519">
        <v>1.539714867617108</v>
      </c>
      <c r="W519">
        <v>0.64628309572301423</v>
      </c>
      <c r="X519">
        <v>5.4</v>
      </c>
      <c r="Y519">
        <v>20.04</v>
      </c>
      <c r="Z519">
        <v>61.87</v>
      </c>
      <c r="AA519">
        <v>6.14</v>
      </c>
      <c r="AB519">
        <v>1.79</v>
      </c>
      <c r="AC519">
        <v>30.2</v>
      </c>
      <c r="AD519">
        <v>0</v>
      </c>
      <c r="AE519">
        <v>1.190884111847422</v>
      </c>
      <c r="AF519">
        <v>0.3660901891061904</v>
      </c>
      <c r="AG519">
        <v>1.7</v>
      </c>
      <c r="AH519">
        <v>25.65</v>
      </c>
      <c r="AI519">
        <v>75.349999999999994</v>
      </c>
    </row>
    <row r="520" spans="1:36" x14ac:dyDescent="0.5">
      <c r="A520">
        <v>60</v>
      </c>
      <c r="B520">
        <v>225</v>
      </c>
      <c r="C520">
        <v>0.1</v>
      </c>
      <c r="D520">
        <v>15</v>
      </c>
      <c r="E520">
        <v>100</v>
      </c>
      <c r="F520">
        <v>60</v>
      </c>
      <c r="G520">
        <v>4</v>
      </c>
      <c r="O520">
        <v>72.599999999999994</v>
      </c>
      <c r="P520">
        <v>21.9</v>
      </c>
      <c r="Q520">
        <v>49.1</v>
      </c>
      <c r="R520">
        <v>6.3</v>
      </c>
      <c r="S520">
        <v>2.29</v>
      </c>
      <c r="T520">
        <v>42.31</v>
      </c>
      <c r="U520">
        <v>0</v>
      </c>
      <c r="V520">
        <v>1.539714867617108</v>
      </c>
      <c r="W520">
        <v>0.64628309572301423</v>
      </c>
      <c r="X520">
        <v>5.4</v>
      </c>
      <c r="Y520">
        <v>20.04</v>
      </c>
      <c r="Z520">
        <v>63.05</v>
      </c>
      <c r="AA520">
        <v>6.31</v>
      </c>
      <c r="AB520">
        <v>1.87</v>
      </c>
      <c r="AC520">
        <v>28.77</v>
      </c>
      <c r="AD520">
        <v>0</v>
      </c>
      <c r="AE520">
        <v>1.2009516256938937</v>
      </c>
      <c r="AF520">
        <v>0.3422283901665345</v>
      </c>
      <c r="AG520">
        <v>2.1</v>
      </c>
      <c r="AH520">
        <v>26.4</v>
      </c>
      <c r="AI520">
        <v>76.430000000000007</v>
      </c>
    </row>
    <row r="521" spans="1:36" x14ac:dyDescent="0.5">
      <c r="A521">
        <v>30</v>
      </c>
      <c r="B521">
        <v>250</v>
      </c>
      <c r="C521">
        <v>0.1</v>
      </c>
      <c r="D521">
        <v>15</v>
      </c>
      <c r="E521">
        <v>100</v>
      </c>
      <c r="F521">
        <v>60</v>
      </c>
      <c r="G521">
        <v>4</v>
      </c>
      <c r="O521">
        <v>72.599999999999994</v>
      </c>
      <c r="P521">
        <v>21.9</v>
      </c>
      <c r="Q521">
        <v>49.1</v>
      </c>
      <c r="R521">
        <v>6.3</v>
      </c>
      <c r="S521">
        <v>2.29</v>
      </c>
      <c r="T521">
        <v>42.31</v>
      </c>
      <c r="U521">
        <v>0</v>
      </c>
      <c r="V521">
        <v>1.539714867617108</v>
      </c>
      <c r="W521">
        <v>0.64628309572301423</v>
      </c>
      <c r="X521">
        <v>5.4</v>
      </c>
      <c r="Y521">
        <v>20.04</v>
      </c>
      <c r="Z521">
        <v>65.89</v>
      </c>
      <c r="AA521">
        <v>5.8</v>
      </c>
      <c r="AB521">
        <v>2.17</v>
      </c>
      <c r="AC521">
        <v>26.13</v>
      </c>
      <c r="AD521">
        <v>0</v>
      </c>
      <c r="AE521">
        <v>1.0563059644862649</v>
      </c>
      <c r="AF521">
        <v>0.2974275307330399</v>
      </c>
      <c r="AG521">
        <v>3.4</v>
      </c>
      <c r="AH521">
        <v>27.03</v>
      </c>
      <c r="AI521">
        <v>68.930000000000007</v>
      </c>
    </row>
    <row r="522" spans="1:36" x14ac:dyDescent="0.5">
      <c r="A522">
        <v>30</v>
      </c>
      <c r="B522">
        <v>275</v>
      </c>
      <c r="C522">
        <v>0.1</v>
      </c>
      <c r="D522">
        <v>15</v>
      </c>
      <c r="E522">
        <v>100</v>
      </c>
      <c r="F522">
        <v>60</v>
      </c>
      <c r="G522">
        <v>4</v>
      </c>
      <c r="O522">
        <v>72.599999999999994</v>
      </c>
      <c r="P522">
        <v>21.9</v>
      </c>
      <c r="Q522">
        <v>49.1</v>
      </c>
      <c r="R522">
        <v>6.3</v>
      </c>
      <c r="S522">
        <v>2.29</v>
      </c>
      <c r="T522">
        <v>42.31</v>
      </c>
      <c r="U522">
        <v>0</v>
      </c>
      <c r="V522">
        <v>1.539714867617108</v>
      </c>
      <c r="W522">
        <v>0.64628309572301423</v>
      </c>
      <c r="X522">
        <v>5.4</v>
      </c>
      <c r="Y522">
        <v>20.04</v>
      </c>
      <c r="Z522">
        <v>68.319999999999993</v>
      </c>
      <c r="AA522">
        <v>5.92</v>
      </c>
      <c r="AB522">
        <v>2.3199999999999998</v>
      </c>
      <c r="AC522">
        <v>23.45</v>
      </c>
      <c r="AD522">
        <v>0</v>
      </c>
      <c r="AE522">
        <v>1.0398126463700235</v>
      </c>
      <c r="AF522">
        <v>0.25742827868852464</v>
      </c>
      <c r="AG522">
        <v>2.7</v>
      </c>
      <c r="AH522">
        <v>28.31</v>
      </c>
      <c r="AI522">
        <v>66.03</v>
      </c>
    </row>
    <row r="523" spans="1:36" x14ac:dyDescent="0.5">
      <c r="A523">
        <v>30</v>
      </c>
      <c r="B523">
        <v>250</v>
      </c>
      <c r="C523">
        <v>0.1</v>
      </c>
      <c r="D523">
        <v>15</v>
      </c>
      <c r="E523">
        <v>100</v>
      </c>
      <c r="F523">
        <v>60</v>
      </c>
      <c r="G523">
        <v>4</v>
      </c>
      <c r="O523">
        <v>72.599999999999994</v>
      </c>
      <c r="P523">
        <v>21.9</v>
      </c>
      <c r="Q523">
        <v>49.1</v>
      </c>
      <c r="R523">
        <v>6.3</v>
      </c>
      <c r="S523">
        <v>2.29</v>
      </c>
      <c r="T523">
        <v>42.31</v>
      </c>
      <c r="U523">
        <v>0</v>
      </c>
      <c r="V523">
        <v>1.539714867617108</v>
      </c>
      <c r="W523">
        <v>0.64628309572301423</v>
      </c>
      <c r="X523">
        <v>5.4</v>
      </c>
      <c r="Y523">
        <v>20.04</v>
      </c>
      <c r="Z523">
        <v>55.92</v>
      </c>
      <c r="AA523">
        <v>6.35</v>
      </c>
      <c r="AB523">
        <v>2.2000000000000002</v>
      </c>
      <c r="AC523">
        <v>35.5</v>
      </c>
      <c r="AD523">
        <v>0</v>
      </c>
      <c r="AE523">
        <v>1.3626609442060085</v>
      </c>
      <c r="AF523">
        <v>0.47612660944206009</v>
      </c>
      <c r="AG523">
        <v>8.1999999999999993</v>
      </c>
      <c r="AH523">
        <v>23.12</v>
      </c>
      <c r="AI523">
        <v>89.81</v>
      </c>
    </row>
    <row r="524" spans="1:36" x14ac:dyDescent="0.5">
      <c r="A524">
        <v>30</v>
      </c>
      <c r="B524">
        <v>300</v>
      </c>
      <c r="C524">
        <v>0.1</v>
      </c>
      <c r="D524">
        <v>15</v>
      </c>
      <c r="E524">
        <v>100</v>
      </c>
      <c r="F524">
        <v>60</v>
      </c>
      <c r="G524">
        <v>4</v>
      </c>
      <c r="O524">
        <v>72.599999999999994</v>
      </c>
      <c r="P524">
        <v>21.9</v>
      </c>
      <c r="Q524">
        <v>49.1</v>
      </c>
      <c r="R524">
        <v>6.3</v>
      </c>
      <c r="S524">
        <v>2.29</v>
      </c>
      <c r="T524">
        <v>42.31</v>
      </c>
      <c r="U524">
        <v>0</v>
      </c>
      <c r="V524">
        <v>1.539714867617108</v>
      </c>
      <c r="W524">
        <v>0.64628309572301423</v>
      </c>
      <c r="X524">
        <v>5.4</v>
      </c>
      <c r="Y524">
        <v>20.04</v>
      </c>
      <c r="Z524">
        <v>62.9</v>
      </c>
      <c r="AA524">
        <v>5.41</v>
      </c>
      <c r="AB524">
        <v>2.65</v>
      </c>
      <c r="AC524">
        <v>29.04</v>
      </c>
      <c r="AD524">
        <v>0</v>
      </c>
      <c r="AE524">
        <v>1.0321144674085851</v>
      </c>
      <c r="AF524">
        <v>0.34626391096979336</v>
      </c>
      <c r="AG524">
        <v>10.5</v>
      </c>
      <c r="AH524">
        <v>25.29</v>
      </c>
      <c r="AI524">
        <v>74.11</v>
      </c>
    </row>
    <row r="525" spans="1:36" x14ac:dyDescent="0.5">
      <c r="A525">
        <v>30</v>
      </c>
      <c r="B525">
        <v>180</v>
      </c>
      <c r="C525">
        <v>0.1</v>
      </c>
      <c r="D525">
        <v>15</v>
      </c>
      <c r="E525">
        <v>250</v>
      </c>
      <c r="F525">
        <v>150</v>
      </c>
      <c r="G525">
        <v>10</v>
      </c>
      <c r="O525">
        <v>77.099999999999994</v>
      </c>
      <c r="P525">
        <v>17.2</v>
      </c>
      <c r="Q525">
        <v>46.6</v>
      </c>
      <c r="R525">
        <v>5.8</v>
      </c>
      <c r="S525">
        <v>1.1000000000000001</v>
      </c>
      <c r="T525">
        <v>40.700000000000003</v>
      </c>
      <c r="U525">
        <v>0.08</v>
      </c>
      <c r="V525">
        <v>1.4935622317596566</v>
      </c>
      <c r="W525">
        <v>0.65504291845493567</v>
      </c>
      <c r="X525">
        <v>5.6</v>
      </c>
      <c r="Y525">
        <v>18.8</v>
      </c>
      <c r="Z525">
        <v>51.2</v>
      </c>
      <c r="AA525">
        <v>5.8</v>
      </c>
      <c r="AB525">
        <v>1.7</v>
      </c>
      <c r="AC525">
        <v>36.799999999999997</v>
      </c>
      <c r="AD525">
        <v>0.06</v>
      </c>
      <c r="AE525">
        <v>1.359375</v>
      </c>
      <c r="AF525">
        <v>0.5390625</v>
      </c>
      <c r="AG525">
        <v>4.5</v>
      </c>
      <c r="AH525">
        <v>20.7</v>
      </c>
      <c r="AI525">
        <v>70</v>
      </c>
      <c r="AJ525" t="s">
        <v>144</v>
      </c>
    </row>
    <row r="526" spans="1:36" x14ac:dyDescent="0.5">
      <c r="A526">
        <v>30</v>
      </c>
      <c r="B526">
        <v>200</v>
      </c>
      <c r="C526">
        <v>0.1</v>
      </c>
      <c r="D526">
        <v>15</v>
      </c>
      <c r="E526">
        <v>250</v>
      </c>
      <c r="F526">
        <v>150</v>
      </c>
      <c r="G526">
        <v>10</v>
      </c>
      <c r="O526">
        <v>77.099999999999994</v>
      </c>
      <c r="P526">
        <v>17.2</v>
      </c>
      <c r="Q526">
        <v>46.6</v>
      </c>
      <c r="R526">
        <v>5.8</v>
      </c>
      <c r="S526">
        <v>1.1000000000000001</v>
      </c>
      <c r="T526">
        <v>40.700000000000003</v>
      </c>
      <c r="U526">
        <v>0.08</v>
      </c>
      <c r="V526">
        <v>1.4935622317596566</v>
      </c>
      <c r="W526">
        <v>0.65504291845493567</v>
      </c>
      <c r="X526">
        <v>5.6</v>
      </c>
      <c r="Y526">
        <v>18.8</v>
      </c>
      <c r="Z526">
        <v>54.4</v>
      </c>
      <c r="AA526">
        <v>5.6</v>
      </c>
      <c r="AB526">
        <v>1.8</v>
      </c>
      <c r="AC526">
        <v>33.5</v>
      </c>
      <c r="AD526">
        <v>0.06</v>
      </c>
      <c r="AE526">
        <v>1.2352941176470589</v>
      </c>
      <c r="AF526">
        <v>0.46185661764705882</v>
      </c>
      <c r="AG526">
        <v>4.5999999999999996</v>
      </c>
      <c r="AH526">
        <v>22</v>
      </c>
      <c r="AI526">
        <v>67.7</v>
      </c>
    </row>
    <row r="527" spans="1:36" x14ac:dyDescent="0.5">
      <c r="A527">
        <v>30</v>
      </c>
      <c r="B527">
        <v>220</v>
      </c>
      <c r="C527">
        <v>0.1</v>
      </c>
      <c r="D527">
        <v>15</v>
      </c>
      <c r="E527">
        <v>250</v>
      </c>
      <c r="F527">
        <v>150</v>
      </c>
      <c r="G527">
        <v>10</v>
      </c>
      <c r="O527">
        <v>77.099999999999994</v>
      </c>
      <c r="P527">
        <v>17.2</v>
      </c>
      <c r="Q527">
        <v>46.6</v>
      </c>
      <c r="R527">
        <v>5.8</v>
      </c>
      <c r="S527">
        <v>1.1000000000000001</v>
      </c>
      <c r="T527">
        <v>40.700000000000003</v>
      </c>
      <c r="U527">
        <v>0.08</v>
      </c>
      <c r="V527">
        <v>1.4935622317596566</v>
      </c>
      <c r="W527">
        <v>0.65504291845493567</v>
      </c>
      <c r="X527">
        <v>5.6</v>
      </c>
      <c r="Y527">
        <v>18.8</v>
      </c>
      <c r="Z527">
        <v>56.4</v>
      </c>
      <c r="AA527">
        <v>5.6</v>
      </c>
      <c r="AB527">
        <v>1.9</v>
      </c>
      <c r="AC527">
        <v>31.4</v>
      </c>
      <c r="AD527">
        <v>0.06</v>
      </c>
      <c r="AE527">
        <v>1.1914893617021276</v>
      </c>
      <c r="AF527">
        <v>0.41755319148936165</v>
      </c>
      <c r="AG527">
        <v>4.7</v>
      </c>
      <c r="AH527">
        <v>22.9</v>
      </c>
      <c r="AI527">
        <v>60.7</v>
      </c>
    </row>
    <row r="528" spans="1:36" x14ac:dyDescent="0.5">
      <c r="A528">
        <v>225</v>
      </c>
      <c r="B528">
        <v>10</v>
      </c>
      <c r="C528">
        <v>0.1</v>
      </c>
      <c r="D528">
        <v>15</v>
      </c>
      <c r="E528">
        <v>100</v>
      </c>
      <c r="F528">
        <v>75</v>
      </c>
      <c r="G528">
        <v>5</v>
      </c>
      <c r="K528">
        <v>29.8</v>
      </c>
      <c r="L528">
        <v>35.700000000000003</v>
      </c>
      <c r="M528">
        <v>21.9</v>
      </c>
      <c r="O528">
        <v>72.599999999999994</v>
      </c>
      <c r="Q528">
        <v>52.76</v>
      </c>
      <c r="R528">
        <v>5.56</v>
      </c>
      <c r="S528">
        <v>1.89</v>
      </c>
      <c r="T528">
        <v>34.28</v>
      </c>
      <c r="U528">
        <v>0.11</v>
      </c>
      <c r="V528">
        <v>1.2645943896891585</v>
      </c>
      <c r="W528">
        <v>0.4873009855951479</v>
      </c>
      <c r="X528">
        <v>5.4</v>
      </c>
      <c r="Y528">
        <v>21.3</v>
      </c>
      <c r="Z528">
        <v>61.61</v>
      </c>
      <c r="AA528">
        <v>5.86</v>
      </c>
      <c r="AB528">
        <v>1.8</v>
      </c>
      <c r="AC528">
        <v>27.68</v>
      </c>
      <c r="AD528">
        <v>0.12</v>
      </c>
      <c r="AE528">
        <v>1.1413731537088136</v>
      </c>
      <c r="AF528">
        <v>0.33695828599253369</v>
      </c>
      <c r="AG528">
        <v>2.93</v>
      </c>
      <c r="AH528">
        <v>25.47</v>
      </c>
      <c r="AI528">
        <v>76.55</v>
      </c>
      <c r="AJ528" t="s">
        <v>146</v>
      </c>
    </row>
    <row r="529" spans="1:36" x14ac:dyDescent="0.5">
      <c r="A529">
        <v>225</v>
      </c>
      <c r="B529">
        <v>10</v>
      </c>
      <c r="C529">
        <v>0.1</v>
      </c>
      <c r="D529">
        <v>15</v>
      </c>
      <c r="E529">
        <v>100</v>
      </c>
      <c r="F529">
        <v>60</v>
      </c>
      <c r="G529">
        <v>4</v>
      </c>
      <c r="K529">
        <v>29.8</v>
      </c>
      <c r="L529">
        <v>35.700000000000003</v>
      </c>
      <c r="M529">
        <v>21.9</v>
      </c>
      <c r="O529">
        <v>72.599999999999994</v>
      </c>
      <c r="Q529">
        <v>52.76</v>
      </c>
      <c r="R529">
        <v>5.56</v>
      </c>
      <c r="S529">
        <v>1.89</v>
      </c>
      <c r="T529">
        <v>34.28</v>
      </c>
      <c r="U529">
        <v>0.11</v>
      </c>
      <c r="V529">
        <v>1.2645943896891585</v>
      </c>
      <c r="W529">
        <v>0.4873009855951479</v>
      </c>
      <c r="X529">
        <v>5.4</v>
      </c>
      <c r="Y529">
        <v>21.3</v>
      </c>
      <c r="Z529">
        <v>61.89</v>
      </c>
      <c r="AA529">
        <v>6.09</v>
      </c>
      <c r="AB529">
        <v>2.12</v>
      </c>
      <c r="AC529">
        <v>27.44</v>
      </c>
      <c r="AD529">
        <v>0.09</v>
      </c>
      <c r="AE529">
        <v>1.1808046534173533</v>
      </c>
      <c r="AF529">
        <v>0.33252544837615128</v>
      </c>
      <c r="AG529">
        <v>2.37</v>
      </c>
      <c r="AH529">
        <v>25.87</v>
      </c>
      <c r="AI529">
        <v>83.97</v>
      </c>
    </row>
    <row r="530" spans="1:36" x14ac:dyDescent="0.5">
      <c r="A530">
        <v>225</v>
      </c>
      <c r="B530">
        <v>15</v>
      </c>
      <c r="C530">
        <v>0.1</v>
      </c>
      <c r="D530">
        <v>15</v>
      </c>
      <c r="E530">
        <v>100</v>
      </c>
      <c r="F530">
        <v>60</v>
      </c>
      <c r="G530">
        <v>4</v>
      </c>
      <c r="K530">
        <v>29.8</v>
      </c>
      <c r="L530">
        <v>35.700000000000003</v>
      </c>
      <c r="M530">
        <v>21.9</v>
      </c>
      <c r="O530">
        <v>72.599999999999994</v>
      </c>
      <c r="Q530">
        <v>52.76</v>
      </c>
      <c r="R530">
        <v>5.56</v>
      </c>
      <c r="S530">
        <v>1.89</v>
      </c>
      <c r="T530">
        <v>34.28</v>
      </c>
      <c r="U530">
        <v>0.11</v>
      </c>
      <c r="V530">
        <v>1.2645943896891585</v>
      </c>
      <c r="W530">
        <v>0.4873009855951479</v>
      </c>
      <c r="X530">
        <v>5.4</v>
      </c>
      <c r="Y530">
        <v>21.3</v>
      </c>
      <c r="Z530">
        <v>61.3</v>
      </c>
      <c r="AA530">
        <v>5.82</v>
      </c>
      <c r="AB530">
        <v>2.0099999999999998</v>
      </c>
      <c r="AC530">
        <v>26.8</v>
      </c>
      <c r="AD530">
        <v>0.09</v>
      </c>
      <c r="AE530">
        <v>1.1393148450244699</v>
      </c>
      <c r="AF530">
        <v>0.32789559543230018</v>
      </c>
      <c r="AG530">
        <v>3.98</v>
      </c>
      <c r="AH530">
        <v>25.38</v>
      </c>
      <c r="AI530">
        <v>89.55</v>
      </c>
    </row>
    <row r="531" spans="1:36" x14ac:dyDescent="0.5">
      <c r="A531">
        <v>225</v>
      </c>
      <c r="B531">
        <v>30</v>
      </c>
      <c r="C531">
        <v>0.1</v>
      </c>
      <c r="D531">
        <v>15</v>
      </c>
      <c r="E531">
        <v>100</v>
      </c>
      <c r="F531">
        <v>60</v>
      </c>
      <c r="G531">
        <v>4</v>
      </c>
      <c r="K531">
        <v>29.8</v>
      </c>
      <c r="L531">
        <v>35.700000000000003</v>
      </c>
      <c r="M531">
        <v>21.9</v>
      </c>
      <c r="O531">
        <v>72.599999999999994</v>
      </c>
      <c r="Q531">
        <v>52.76</v>
      </c>
      <c r="R531">
        <v>5.56</v>
      </c>
      <c r="S531">
        <v>1.89</v>
      </c>
      <c r="T531">
        <v>34.28</v>
      </c>
      <c r="U531">
        <v>0.11</v>
      </c>
      <c r="V531">
        <v>1.2645943896891585</v>
      </c>
      <c r="W531">
        <v>0.4873009855951479</v>
      </c>
      <c r="X531">
        <v>5.4</v>
      </c>
      <c r="Y531">
        <v>21.3</v>
      </c>
      <c r="Z531">
        <v>61.28</v>
      </c>
      <c r="AA531">
        <v>5.89</v>
      </c>
      <c r="AB531">
        <v>2.2000000000000002</v>
      </c>
      <c r="AC531">
        <v>26.78</v>
      </c>
      <c r="AD531">
        <v>0.1</v>
      </c>
      <c r="AE531">
        <v>1.1533942558746737</v>
      </c>
      <c r="AF531">
        <v>0.32775783289817234</v>
      </c>
      <c r="AG531">
        <v>3.75</v>
      </c>
      <c r="AH531">
        <v>25.46</v>
      </c>
      <c r="AI531">
        <v>88.32</v>
      </c>
    </row>
    <row r="532" spans="1:36" x14ac:dyDescent="0.5">
      <c r="A532">
        <v>225</v>
      </c>
      <c r="B532">
        <v>10</v>
      </c>
      <c r="C532">
        <v>0.1</v>
      </c>
      <c r="D532">
        <v>15</v>
      </c>
      <c r="E532">
        <v>100</v>
      </c>
      <c r="F532">
        <v>75</v>
      </c>
      <c r="G532">
        <v>5</v>
      </c>
      <c r="K532">
        <v>14.3</v>
      </c>
      <c r="L532">
        <v>6.3</v>
      </c>
      <c r="M532">
        <v>3.3</v>
      </c>
      <c r="O532">
        <v>41</v>
      </c>
      <c r="Q532">
        <v>42.75</v>
      </c>
      <c r="R532">
        <v>5.88</v>
      </c>
      <c r="S532">
        <v>1.98</v>
      </c>
      <c r="T532">
        <v>43.21</v>
      </c>
      <c r="U532">
        <v>0.88</v>
      </c>
      <c r="V532">
        <v>1.6505263157894736</v>
      </c>
      <c r="W532">
        <v>0.75807017543859656</v>
      </c>
      <c r="X532">
        <v>5.3</v>
      </c>
      <c r="Y532">
        <v>17.3</v>
      </c>
      <c r="Z532">
        <v>56.59</v>
      </c>
      <c r="AA532">
        <v>5.42</v>
      </c>
      <c r="AB532">
        <v>2.44</v>
      </c>
      <c r="AC532">
        <v>29.29</v>
      </c>
      <c r="AD532">
        <v>0.76</v>
      </c>
      <c r="AE532">
        <v>1.1493196677858279</v>
      </c>
      <c r="AF532">
        <v>0.38818695882664783</v>
      </c>
      <c r="AG532">
        <v>5.5</v>
      </c>
      <c r="AH532">
        <v>24</v>
      </c>
      <c r="AI532">
        <v>68.61</v>
      </c>
    </row>
    <row r="533" spans="1:36" x14ac:dyDescent="0.5">
      <c r="A533">
        <v>225</v>
      </c>
      <c r="B533">
        <v>10</v>
      </c>
      <c r="C533">
        <v>0.1</v>
      </c>
      <c r="D533">
        <v>15</v>
      </c>
      <c r="E533">
        <v>100</v>
      </c>
      <c r="F533">
        <v>60</v>
      </c>
      <c r="G533">
        <v>4</v>
      </c>
      <c r="K533">
        <v>14.3</v>
      </c>
      <c r="L533">
        <v>6.3</v>
      </c>
      <c r="M533">
        <v>3.3</v>
      </c>
      <c r="O533">
        <v>41</v>
      </c>
      <c r="Q533">
        <v>42.75</v>
      </c>
      <c r="R533">
        <v>5.88</v>
      </c>
      <c r="S533">
        <v>1.98</v>
      </c>
      <c r="T533">
        <v>43.21</v>
      </c>
      <c r="U533">
        <v>0.88</v>
      </c>
      <c r="V533">
        <v>1.6505263157894736</v>
      </c>
      <c r="W533">
        <v>0.75807017543859656</v>
      </c>
      <c r="X533">
        <v>5.3</v>
      </c>
      <c r="Y533">
        <v>17.3</v>
      </c>
      <c r="Z533">
        <v>56.76</v>
      </c>
      <c r="AA533">
        <v>5.16</v>
      </c>
      <c r="AB533">
        <v>2.65</v>
      </c>
      <c r="AC533">
        <v>28.43</v>
      </c>
      <c r="AD533">
        <v>0.78</v>
      </c>
      <c r="AE533">
        <v>1.0909090909090911</v>
      </c>
      <c r="AF533">
        <v>0.37566067653276958</v>
      </c>
      <c r="AG533">
        <v>6.22</v>
      </c>
      <c r="AH533">
        <v>23.69</v>
      </c>
      <c r="AI533">
        <v>73.599999999999994</v>
      </c>
    </row>
    <row r="534" spans="1:36" x14ac:dyDescent="0.5">
      <c r="A534">
        <v>225</v>
      </c>
      <c r="B534">
        <v>15</v>
      </c>
      <c r="C534">
        <v>0.1</v>
      </c>
      <c r="D534">
        <v>15</v>
      </c>
      <c r="E534">
        <v>100</v>
      </c>
      <c r="F534">
        <v>60</v>
      </c>
      <c r="G534">
        <v>4</v>
      </c>
      <c r="K534">
        <v>14.3</v>
      </c>
      <c r="L534">
        <v>6.3</v>
      </c>
      <c r="M534">
        <v>3.3</v>
      </c>
      <c r="O534">
        <v>41</v>
      </c>
      <c r="Q534">
        <v>42.75</v>
      </c>
      <c r="R534">
        <v>5.88</v>
      </c>
      <c r="S534">
        <v>1.98</v>
      </c>
      <c r="T534">
        <v>43.21</v>
      </c>
      <c r="U534">
        <v>0.88</v>
      </c>
      <c r="V534">
        <v>1.6505263157894736</v>
      </c>
      <c r="W534">
        <v>0.75807017543859656</v>
      </c>
      <c r="X534">
        <v>5.3</v>
      </c>
      <c r="Y534">
        <v>17.3</v>
      </c>
      <c r="Z534">
        <v>56.22</v>
      </c>
      <c r="AA534">
        <v>5.4</v>
      </c>
      <c r="AB534">
        <v>2.74</v>
      </c>
      <c r="AC534">
        <v>28.31</v>
      </c>
      <c r="AD534">
        <v>0.65</v>
      </c>
      <c r="AE534">
        <v>1.1526147278548562</v>
      </c>
      <c r="AF534">
        <v>0.37766808964781218</v>
      </c>
      <c r="AG534">
        <v>6.68</v>
      </c>
      <c r="AH534">
        <v>23.29</v>
      </c>
      <c r="AI534">
        <v>75.86</v>
      </c>
    </row>
    <row r="535" spans="1:36" x14ac:dyDescent="0.5">
      <c r="A535">
        <v>225</v>
      </c>
      <c r="B535">
        <v>30</v>
      </c>
      <c r="C535">
        <v>0.1</v>
      </c>
      <c r="D535">
        <v>15</v>
      </c>
      <c r="E535">
        <v>100</v>
      </c>
      <c r="F535">
        <v>60</v>
      </c>
      <c r="G535">
        <v>4</v>
      </c>
      <c r="K535">
        <v>14.3</v>
      </c>
      <c r="L535">
        <v>6.3</v>
      </c>
      <c r="M535">
        <v>3.3</v>
      </c>
      <c r="O535">
        <v>41</v>
      </c>
      <c r="Q535">
        <v>42.75</v>
      </c>
      <c r="R535">
        <v>5.88</v>
      </c>
      <c r="S535">
        <v>1.98</v>
      </c>
      <c r="T535">
        <v>43.21</v>
      </c>
      <c r="U535">
        <v>0.88</v>
      </c>
      <c r="V535">
        <v>1.6505263157894736</v>
      </c>
      <c r="W535">
        <v>0.75807017543859656</v>
      </c>
      <c r="X535">
        <v>5.3</v>
      </c>
      <c r="Y535">
        <v>17.3</v>
      </c>
      <c r="Z535">
        <v>58.31</v>
      </c>
      <c r="AA535">
        <v>5.14</v>
      </c>
      <c r="AB535">
        <v>2.8</v>
      </c>
      <c r="AC535">
        <v>26.07</v>
      </c>
      <c r="AD535">
        <v>0.62</v>
      </c>
      <c r="AE535">
        <v>1.0577945463899845</v>
      </c>
      <c r="AF535">
        <v>0.3353198422226033</v>
      </c>
      <c r="AG535">
        <v>7.06</v>
      </c>
      <c r="AH535">
        <v>23.23</v>
      </c>
      <c r="AI535">
        <v>78.260000000000005</v>
      </c>
    </row>
    <row r="536" spans="1:36" x14ac:dyDescent="0.5">
      <c r="A536">
        <v>225</v>
      </c>
      <c r="B536">
        <v>10</v>
      </c>
      <c r="C536">
        <v>0.1</v>
      </c>
      <c r="D536">
        <v>15</v>
      </c>
      <c r="E536">
        <v>100</v>
      </c>
      <c r="F536">
        <v>75</v>
      </c>
      <c r="G536">
        <v>5</v>
      </c>
      <c r="H536">
        <v>25.95</v>
      </c>
      <c r="O536">
        <v>60.2</v>
      </c>
      <c r="Q536">
        <v>40.880000000000003</v>
      </c>
      <c r="R536">
        <v>5.47</v>
      </c>
      <c r="S536">
        <v>4.3899999999999997</v>
      </c>
      <c r="T536">
        <v>38.54</v>
      </c>
      <c r="U536">
        <v>0.2</v>
      </c>
      <c r="V536">
        <v>1.6056751467710371</v>
      </c>
      <c r="W536">
        <v>0.70706947162426614</v>
      </c>
      <c r="X536">
        <v>10.5</v>
      </c>
      <c r="Y536">
        <v>16.5</v>
      </c>
      <c r="Z536">
        <v>51.75</v>
      </c>
      <c r="AA536">
        <v>5.36</v>
      </c>
      <c r="AB536">
        <v>3.94</v>
      </c>
      <c r="AC536">
        <v>27.55</v>
      </c>
      <c r="AD536">
        <v>0.08</v>
      </c>
      <c r="AE536">
        <v>1.2428985507246377</v>
      </c>
      <c r="AF536">
        <v>0.39927536231884059</v>
      </c>
      <c r="AG536">
        <v>11.32</v>
      </c>
      <c r="AH536">
        <v>21.24</v>
      </c>
      <c r="AI536">
        <v>68.41</v>
      </c>
    </row>
    <row r="537" spans="1:36" x14ac:dyDescent="0.5">
      <c r="A537">
        <v>225</v>
      </c>
      <c r="B537">
        <v>10</v>
      </c>
      <c r="C537">
        <v>0.1</v>
      </c>
      <c r="D537">
        <v>15</v>
      </c>
      <c r="E537">
        <v>100</v>
      </c>
      <c r="F537">
        <v>60</v>
      </c>
      <c r="G537">
        <v>4</v>
      </c>
      <c r="H537">
        <v>25.95</v>
      </c>
      <c r="O537">
        <v>60.2</v>
      </c>
      <c r="Q537">
        <v>40.880000000000003</v>
      </c>
      <c r="R537">
        <v>5.47</v>
      </c>
      <c r="S537">
        <v>4.3899999999999997</v>
      </c>
      <c r="T537">
        <v>38.54</v>
      </c>
      <c r="U537">
        <v>0.2</v>
      </c>
      <c r="V537">
        <v>1.6056751467710371</v>
      </c>
      <c r="W537">
        <v>0.70706947162426614</v>
      </c>
      <c r="X537">
        <v>10.5</v>
      </c>
      <c r="Y537">
        <v>16.5</v>
      </c>
      <c r="Z537">
        <v>50.96</v>
      </c>
      <c r="AA537">
        <v>5.26</v>
      </c>
      <c r="AB537">
        <v>4.1900000000000004</v>
      </c>
      <c r="AC537">
        <v>27.86</v>
      </c>
      <c r="AD537">
        <v>0.05</v>
      </c>
      <c r="AE537">
        <v>1.2386185243328098</v>
      </c>
      <c r="AF537">
        <v>0.41002747252747246</v>
      </c>
      <c r="AG537">
        <v>11.68</v>
      </c>
      <c r="AH537">
        <v>20.8</v>
      </c>
      <c r="AI537">
        <v>73.94</v>
      </c>
    </row>
    <row r="538" spans="1:36" x14ac:dyDescent="0.5">
      <c r="A538">
        <v>225</v>
      </c>
      <c r="B538">
        <v>15</v>
      </c>
      <c r="C538">
        <v>0.1</v>
      </c>
      <c r="D538">
        <v>15</v>
      </c>
      <c r="E538">
        <v>100</v>
      </c>
      <c r="F538">
        <v>60</v>
      </c>
      <c r="G538">
        <v>4</v>
      </c>
      <c r="H538">
        <v>25.95</v>
      </c>
      <c r="O538">
        <v>60.2</v>
      </c>
      <c r="Q538">
        <v>40.880000000000003</v>
      </c>
      <c r="R538">
        <v>5.47</v>
      </c>
      <c r="S538">
        <v>4.3899999999999997</v>
      </c>
      <c r="T538">
        <v>38.54</v>
      </c>
      <c r="U538">
        <v>0.2</v>
      </c>
      <c r="V538">
        <v>1.6056751467710371</v>
      </c>
      <c r="W538">
        <v>0.70706947162426614</v>
      </c>
      <c r="X538">
        <v>10.5</v>
      </c>
      <c r="Y538">
        <v>16.5</v>
      </c>
      <c r="Z538">
        <v>50.11</v>
      </c>
      <c r="AA538">
        <v>5.38</v>
      </c>
      <c r="AB538">
        <v>4.5</v>
      </c>
      <c r="AC538">
        <v>28.1</v>
      </c>
      <c r="AD538">
        <v>0.18</v>
      </c>
      <c r="AE538">
        <v>1.2883655956894831</v>
      </c>
      <c r="AF538">
        <v>0.42057473558172026</v>
      </c>
      <c r="AG538">
        <v>11.73</v>
      </c>
      <c r="AH538">
        <v>20.63</v>
      </c>
      <c r="AI538">
        <v>74.319999999999993</v>
      </c>
    </row>
    <row r="539" spans="1:36" x14ac:dyDescent="0.5">
      <c r="A539">
        <v>225</v>
      </c>
      <c r="B539">
        <v>30</v>
      </c>
      <c r="C539">
        <v>0.1</v>
      </c>
      <c r="D539">
        <v>15</v>
      </c>
      <c r="E539">
        <v>100</v>
      </c>
      <c r="F539">
        <v>60</v>
      </c>
      <c r="G539">
        <v>4</v>
      </c>
      <c r="H539">
        <v>25.95</v>
      </c>
      <c r="O539">
        <v>60.2</v>
      </c>
      <c r="Q539">
        <v>40.880000000000003</v>
      </c>
      <c r="R539">
        <v>5.47</v>
      </c>
      <c r="S539">
        <v>4.3899999999999997</v>
      </c>
      <c r="T539">
        <v>38.54</v>
      </c>
      <c r="U539">
        <v>0.2</v>
      </c>
      <c r="V539">
        <v>1.6056751467710371</v>
      </c>
      <c r="W539">
        <v>0.70706947162426614</v>
      </c>
      <c r="X539">
        <v>10.5</v>
      </c>
      <c r="Y539">
        <v>16.5</v>
      </c>
      <c r="Z539">
        <v>49.96</v>
      </c>
      <c r="AA539">
        <v>5.22</v>
      </c>
      <c r="AB539">
        <v>4.45</v>
      </c>
      <c r="AC539">
        <v>28.64</v>
      </c>
      <c r="AD539">
        <v>7.0000000000000007E-2</v>
      </c>
      <c r="AE539">
        <v>1.2538030424339472</v>
      </c>
      <c r="AF539">
        <v>0.42994395516413136</v>
      </c>
      <c r="AG539">
        <v>11.66</v>
      </c>
      <c r="AH539">
        <v>20.329999999999998</v>
      </c>
      <c r="AI539">
        <v>76.81</v>
      </c>
    </row>
    <row r="540" spans="1:36" x14ac:dyDescent="0.5">
      <c r="A540">
        <v>60</v>
      </c>
      <c r="B540">
        <v>120</v>
      </c>
      <c r="C540">
        <v>0.1</v>
      </c>
      <c r="D540">
        <v>80</v>
      </c>
      <c r="E540">
        <v>1000</v>
      </c>
      <c r="F540">
        <v>800</v>
      </c>
      <c r="G540">
        <v>10</v>
      </c>
      <c r="O540">
        <v>36.85</v>
      </c>
      <c r="P540">
        <v>2.25</v>
      </c>
      <c r="Q540">
        <v>20.72</v>
      </c>
      <c r="R540">
        <v>2.78</v>
      </c>
      <c r="S540">
        <v>2.96</v>
      </c>
      <c r="T540">
        <v>11.45</v>
      </c>
      <c r="U540">
        <v>1.19</v>
      </c>
      <c r="V540">
        <v>1.6100386100386099</v>
      </c>
      <c r="W540">
        <v>0.41445463320463322</v>
      </c>
      <c r="X540">
        <v>60.9</v>
      </c>
      <c r="Y540">
        <v>8.9293750000000003</v>
      </c>
      <c r="Z540">
        <v>18.190000000000001</v>
      </c>
      <c r="AA540">
        <v>2.57</v>
      </c>
      <c r="AB540">
        <v>2.5299999999999998</v>
      </c>
      <c r="AC540">
        <v>8.77</v>
      </c>
      <c r="AD540">
        <v>0.92</v>
      </c>
      <c r="AE540">
        <v>1.6954370533260033</v>
      </c>
      <c r="AF540">
        <v>0.36159978009895544</v>
      </c>
      <c r="AG540">
        <v>67.02</v>
      </c>
      <c r="AH540">
        <v>8.2527350000000013</v>
      </c>
      <c r="AI540">
        <v>89.22</v>
      </c>
      <c r="AJ540" t="s">
        <v>147</v>
      </c>
    </row>
    <row r="541" spans="1:36" x14ac:dyDescent="0.5">
      <c r="A541">
        <v>60</v>
      </c>
      <c r="B541">
        <v>150</v>
      </c>
      <c r="C541">
        <v>0.1</v>
      </c>
      <c r="D541">
        <v>80</v>
      </c>
      <c r="E541">
        <v>1000</v>
      </c>
      <c r="F541">
        <v>800</v>
      </c>
      <c r="G541">
        <v>10</v>
      </c>
      <c r="O541">
        <v>36.85</v>
      </c>
      <c r="P541">
        <v>2.25</v>
      </c>
      <c r="Q541">
        <v>20.72</v>
      </c>
      <c r="R541">
        <v>2.78</v>
      </c>
      <c r="S541">
        <v>2.96</v>
      </c>
      <c r="T541">
        <v>11.45</v>
      </c>
      <c r="U541">
        <v>1.19</v>
      </c>
      <c r="V541">
        <v>1.6100386100386099</v>
      </c>
      <c r="W541">
        <v>0.41445463320463322</v>
      </c>
      <c r="X541">
        <v>60.9</v>
      </c>
      <c r="Y541">
        <v>8.9293750000000003</v>
      </c>
      <c r="Z541">
        <v>16.27</v>
      </c>
      <c r="AA541">
        <v>2.2799999999999998</v>
      </c>
      <c r="AB541">
        <v>2.0499999999999998</v>
      </c>
      <c r="AC541">
        <v>7.81</v>
      </c>
      <c r="AD541">
        <v>0.82</v>
      </c>
      <c r="AE541">
        <v>1.6816226183159189</v>
      </c>
      <c r="AF541">
        <v>0.36001843884449908</v>
      </c>
      <c r="AG541">
        <v>70.760000000000005</v>
      </c>
      <c r="AH541">
        <v>7.3610150000000001</v>
      </c>
      <c r="AI541">
        <v>84.11</v>
      </c>
    </row>
    <row r="542" spans="1:36" x14ac:dyDescent="0.5">
      <c r="A542">
        <v>60</v>
      </c>
      <c r="B542">
        <v>180</v>
      </c>
      <c r="C542">
        <v>0.1</v>
      </c>
      <c r="D542">
        <v>80</v>
      </c>
      <c r="E542">
        <v>1000</v>
      </c>
      <c r="F542">
        <v>800</v>
      </c>
      <c r="G542">
        <v>10</v>
      </c>
      <c r="O542">
        <v>36.85</v>
      </c>
      <c r="P542">
        <v>2.25</v>
      </c>
      <c r="Q542">
        <v>20.72</v>
      </c>
      <c r="R542">
        <v>2.78</v>
      </c>
      <c r="S542">
        <v>2.96</v>
      </c>
      <c r="T542">
        <v>11.45</v>
      </c>
      <c r="U542">
        <v>1.19</v>
      </c>
      <c r="V542">
        <v>1.6100386100386099</v>
      </c>
      <c r="W542">
        <v>0.41445463320463322</v>
      </c>
      <c r="X542">
        <v>60.9</v>
      </c>
      <c r="Y542">
        <v>8.9293750000000003</v>
      </c>
      <c r="Z542">
        <v>13.91</v>
      </c>
      <c r="AA542">
        <v>1.92</v>
      </c>
      <c r="AB542">
        <v>1.41</v>
      </c>
      <c r="AC542">
        <v>6.68</v>
      </c>
      <c r="AD542">
        <v>0.8</v>
      </c>
      <c r="AE542">
        <v>1.6563623292595255</v>
      </c>
      <c r="AF542">
        <v>0.36017253774263119</v>
      </c>
      <c r="AG542">
        <v>75.28</v>
      </c>
      <c r="AH542">
        <v>6.250960000000001</v>
      </c>
      <c r="AI542">
        <v>78.61</v>
      </c>
    </row>
    <row r="543" spans="1:36" x14ac:dyDescent="0.5">
      <c r="A543">
        <v>60</v>
      </c>
      <c r="B543">
        <v>210</v>
      </c>
      <c r="C543">
        <v>0.1</v>
      </c>
      <c r="D543">
        <v>80</v>
      </c>
      <c r="E543">
        <v>1000</v>
      </c>
      <c r="F543">
        <v>800</v>
      </c>
      <c r="G543">
        <v>10</v>
      </c>
      <c r="O543">
        <v>36.85</v>
      </c>
      <c r="P543">
        <v>2.25</v>
      </c>
      <c r="Q543">
        <v>20.72</v>
      </c>
      <c r="R543">
        <v>2.78</v>
      </c>
      <c r="S543">
        <v>2.96</v>
      </c>
      <c r="T543">
        <v>11.45</v>
      </c>
      <c r="U543">
        <v>1.19</v>
      </c>
      <c r="V543">
        <v>1.6100386100386099</v>
      </c>
      <c r="W543">
        <v>0.41445463320463322</v>
      </c>
      <c r="X543">
        <v>60.9</v>
      </c>
      <c r="Y543">
        <v>8.9293750000000003</v>
      </c>
      <c r="Z543">
        <v>13.18</v>
      </c>
      <c r="AA543">
        <v>1.65</v>
      </c>
      <c r="AB543">
        <v>1.1499999999999999</v>
      </c>
      <c r="AC543">
        <v>6.62</v>
      </c>
      <c r="AD543">
        <v>0.76</v>
      </c>
      <c r="AE543">
        <v>1.5022761760242791</v>
      </c>
      <c r="AF543">
        <v>0.37670713201820938</v>
      </c>
      <c r="AG543">
        <v>76.3</v>
      </c>
      <c r="AH543">
        <v>5.6293699999999998</v>
      </c>
      <c r="AI543">
        <v>77.5</v>
      </c>
    </row>
    <row r="544" spans="1:36" x14ac:dyDescent="0.5">
      <c r="A544">
        <v>60</v>
      </c>
      <c r="B544">
        <v>240</v>
      </c>
      <c r="C544">
        <v>0.1</v>
      </c>
      <c r="D544">
        <v>80</v>
      </c>
      <c r="E544">
        <v>1000</v>
      </c>
      <c r="F544">
        <v>800</v>
      </c>
      <c r="G544">
        <v>10</v>
      </c>
      <c r="O544">
        <v>36.85</v>
      </c>
      <c r="P544">
        <v>2.25</v>
      </c>
      <c r="Q544">
        <v>20.72</v>
      </c>
      <c r="R544">
        <v>2.78</v>
      </c>
      <c r="S544">
        <v>2.96</v>
      </c>
      <c r="T544">
        <v>11.45</v>
      </c>
      <c r="U544">
        <v>1.19</v>
      </c>
      <c r="V544">
        <v>1.6100386100386099</v>
      </c>
      <c r="W544">
        <v>0.41445463320463322</v>
      </c>
      <c r="X544">
        <v>60.9</v>
      </c>
      <c r="Y544">
        <v>8.9293750000000003</v>
      </c>
      <c r="Z544">
        <v>12.77</v>
      </c>
      <c r="AA544">
        <v>1.56</v>
      </c>
      <c r="AB544">
        <v>1</v>
      </c>
      <c r="AC544">
        <v>5.93</v>
      </c>
      <c r="AD544">
        <v>0.68</v>
      </c>
      <c r="AE544">
        <v>1.465935787000783</v>
      </c>
      <c r="AF544">
        <v>0.3482772122161315</v>
      </c>
      <c r="AG544">
        <v>78.06</v>
      </c>
      <c r="AH544">
        <v>5.4854349999999998</v>
      </c>
      <c r="AI544">
        <v>75.95</v>
      </c>
    </row>
    <row r="545" spans="1:36" x14ac:dyDescent="0.5">
      <c r="A545">
        <v>60</v>
      </c>
      <c r="B545">
        <v>220</v>
      </c>
      <c r="C545">
        <v>0.1</v>
      </c>
      <c r="D545">
        <v>12</v>
      </c>
      <c r="E545">
        <v>250</v>
      </c>
      <c r="F545">
        <v>90</v>
      </c>
      <c r="G545">
        <v>7.5</v>
      </c>
      <c r="O545">
        <v>71.53</v>
      </c>
      <c r="P545">
        <v>7.56</v>
      </c>
      <c r="Q545">
        <v>39.72</v>
      </c>
      <c r="R545">
        <v>5.91</v>
      </c>
      <c r="S545">
        <v>7.15</v>
      </c>
      <c r="T545">
        <v>25.35</v>
      </c>
      <c r="U545">
        <v>0</v>
      </c>
      <c r="V545">
        <v>1.785498489425982</v>
      </c>
      <c r="W545">
        <v>0.47866314199395771</v>
      </c>
      <c r="X545">
        <v>20.91</v>
      </c>
      <c r="Y545">
        <v>17.339865</v>
      </c>
      <c r="Z545">
        <v>40.42</v>
      </c>
      <c r="AA545">
        <v>4.6500000000000004</v>
      </c>
      <c r="AB545">
        <v>3.88</v>
      </c>
      <c r="AC545">
        <v>41.73</v>
      </c>
      <c r="AD545">
        <v>0</v>
      </c>
      <c r="AE545">
        <v>1.3805047006432458</v>
      </c>
      <c r="AF545">
        <v>0.7743072736269172</v>
      </c>
      <c r="AG545">
        <v>38.549999999999997</v>
      </c>
      <c r="AH545">
        <v>12.853355000000004</v>
      </c>
      <c r="AI545">
        <v>39.78</v>
      </c>
      <c r="AJ545" t="s">
        <v>148</v>
      </c>
    </row>
    <row r="546" spans="1:36" x14ac:dyDescent="0.5">
      <c r="A546">
        <v>60</v>
      </c>
      <c r="B546">
        <v>220</v>
      </c>
      <c r="C546">
        <v>0.1</v>
      </c>
      <c r="D546">
        <v>12</v>
      </c>
      <c r="E546">
        <v>250</v>
      </c>
      <c r="F546">
        <v>90</v>
      </c>
      <c r="G546">
        <v>7.5</v>
      </c>
      <c r="O546">
        <v>86.28</v>
      </c>
      <c r="P546">
        <v>13.33</v>
      </c>
      <c r="Q546">
        <v>49.06</v>
      </c>
      <c r="R546">
        <v>6.17</v>
      </c>
      <c r="S546">
        <v>0.02</v>
      </c>
      <c r="T546">
        <v>41.73</v>
      </c>
      <c r="U546">
        <v>0</v>
      </c>
      <c r="V546">
        <v>1.5091724419078678</v>
      </c>
      <c r="W546">
        <v>0.63794333469221354</v>
      </c>
      <c r="X546">
        <v>0.39</v>
      </c>
      <c r="Y546">
        <v>17.944235000000003</v>
      </c>
      <c r="Z546">
        <v>56.2</v>
      </c>
      <c r="AA546">
        <v>5.81</v>
      </c>
      <c r="AB546">
        <v>0.08</v>
      </c>
      <c r="AC546">
        <v>36.86</v>
      </c>
      <c r="AD546">
        <v>0</v>
      </c>
      <c r="AE546">
        <v>1.2405693950177934</v>
      </c>
      <c r="AF546">
        <v>0.49190391459074728</v>
      </c>
      <c r="AG546">
        <v>0.11</v>
      </c>
      <c r="AH546">
        <v>20.712770000000003</v>
      </c>
      <c r="AI546">
        <v>67.42</v>
      </c>
    </row>
    <row r="547" spans="1:36" x14ac:dyDescent="0.5">
      <c r="A547">
        <v>120</v>
      </c>
      <c r="B547">
        <v>180</v>
      </c>
      <c r="C547">
        <v>0.1</v>
      </c>
      <c r="D547">
        <v>20</v>
      </c>
      <c r="E547">
        <v>500</v>
      </c>
      <c r="F547">
        <v>200</v>
      </c>
      <c r="G547">
        <v>10</v>
      </c>
      <c r="Q547">
        <v>38.700000000000003</v>
      </c>
      <c r="R547">
        <v>1.64</v>
      </c>
      <c r="S547">
        <v>2.48</v>
      </c>
      <c r="T547">
        <v>23.8</v>
      </c>
      <c r="U547">
        <v>0</v>
      </c>
      <c r="V547">
        <v>0.50852713178294573</v>
      </c>
      <c r="W547">
        <v>0.46124031007751937</v>
      </c>
      <c r="X547">
        <v>33.299999999999997</v>
      </c>
      <c r="Y547">
        <v>11.174220000000002</v>
      </c>
      <c r="Z547">
        <v>38.299999999999997</v>
      </c>
      <c r="AA547">
        <v>2.77</v>
      </c>
      <c r="AB547">
        <v>2.41</v>
      </c>
      <c r="AC547">
        <v>19.7</v>
      </c>
      <c r="AD547">
        <v>0</v>
      </c>
      <c r="AE547">
        <v>0.86788511749347264</v>
      </c>
      <c r="AF547">
        <v>0.38577023498694518</v>
      </c>
      <c r="AG547">
        <v>36.799999999999997</v>
      </c>
      <c r="AH547">
        <v>13.384509999999999</v>
      </c>
      <c r="AI547">
        <v>81.8</v>
      </c>
      <c r="AJ547" t="s">
        <v>150</v>
      </c>
    </row>
    <row r="548" spans="1:36" x14ac:dyDescent="0.5">
      <c r="A548">
        <v>360</v>
      </c>
      <c r="B548">
        <v>180</v>
      </c>
      <c r="C548">
        <v>0.1</v>
      </c>
      <c r="D548">
        <v>20</v>
      </c>
      <c r="E548">
        <v>500</v>
      </c>
      <c r="F548">
        <v>200</v>
      </c>
      <c r="G548">
        <v>10</v>
      </c>
      <c r="Q548">
        <v>38.700000000000003</v>
      </c>
      <c r="R548">
        <v>1.64</v>
      </c>
      <c r="S548">
        <v>2.48</v>
      </c>
      <c r="T548">
        <v>23.8</v>
      </c>
      <c r="U548">
        <v>0</v>
      </c>
      <c r="V548">
        <v>0.50852713178294573</v>
      </c>
      <c r="W548">
        <v>0.46124031007751937</v>
      </c>
      <c r="X548">
        <v>33.299999999999997</v>
      </c>
      <c r="Y548">
        <v>11.174220000000002</v>
      </c>
      <c r="Z548">
        <v>38.5</v>
      </c>
      <c r="AA548">
        <v>2.96</v>
      </c>
      <c r="AB548">
        <v>1.94</v>
      </c>
      <c r="AC548">
        <v>18.399999999999999</v>
      </c>
      <c r="AD548">
        <v>0</v>
      </c>
      <c r="AE548">
        <v>0.92259740259740253</v>
      </c>
      <c r="AF548">
        <v>0.35844155844155839</v>
      </c>
      <c r="AG548">
        <v>38.200000000000003</v>
      </c>
      <c r="AH548">
        <v>13.955480000000001</v>
      </c>
      <c r="AI548">
        <v>76.900000000000006</v>
      </c>
    </row>
    <row r="549" spans="1:36" x14ac:dyDescent="0.5">
      <c r="A549">
        <v>600</v>
      </c>
      <c r="B549">
        <v>180</v>
      </c>
      <c r="C549">
        <v>0.1</v>
      </c>
      <c r="D549">
        <v>20</v>
      </c>
      <c r="E549">
        <v>500</v>
      </c>
      <c r="F549">
        <v>200</v>
      </c>
      <c r="G549">
        <v>10</v>
      </c>
      <c r="Q549">
        <v>38.700000000000003</v>
      </c>
      <c r="R549">
        <v>1.64</v>
      </c>
      <c r="S549">
        <v>2.48</v>
      </c>
      <c r="T549">
        <v>23.8</v>
      </c>
      <c r="U549">
        <v>0</v>
      </c>
      <c r="V549">
        <v>0.50852713178294573</v>
      </c>
      <c r="W549">
        <v>0.46124031007751937</v>
      </c>
      <c r="X549">
        <v>33.299999999999997</v>
      </c>
      <c r="Y549">
        <v>11.174220000000002</v>
      </c>
      <c r="Z549">
        <v>37.4</v>
      </c>
      <c r="AA549">
        <v>2.82</v>
      </c>
      <c r="AB549">
        <v>1.5</v>
      </c>
      <c r="AC549">
        <v>19.7</v>
      </c>
      <c r="AD549">
        <v>0</v>
      </c>
      <c r="AE549">
        <v>0.90481283422459891</v>
      </c>
      <c r="AF549">
        <v>0.39505347593582885</v>
      </c>
      <c r="AG549">
        <v>38.299999999999997</v>
      </c>
      <c r="AH549">
        <v>13.15171</v>
      </c>
      <c r="AI549">
        <v>75.599999999999994</v>
      </c>
    </row>
    <row r="550" spans="1:36" x14ac:dyDescent="0.5">
      <c r="A550">
        <v>900</v>
      </c>
      <c r="B550">
        <v>180</v>
      </c>
      <c r="C550">
        <v>0.1</v>
      </c>
      <c r="D550">
        <v>20</v>
      </c>
      <c r="E550">
        <v>500</v>
      </c>
      <c r="F550">
        <v>200</v>
      </c>
      <c r="G550">
        <v>10</v>
      </c>
      <c r="Q550">
        <v>38.700000000000003</v>
      </c>
      <c r="R550">
        <v>1.64</v>
      </c>
      <c r="S550">
        <v>2.48</v>
      </c>
      <c r="T550">
        <v>23.8</v>
      </c>
      <c r="U550">
        <v>0</v>
      </c>
      <c r="V550">
        <v>0.50852713178294573</v>
      </c>
      <c r="W550">
        <v>0.46124031007751937</v>
      </c>
      <c r="X550">
        <v>33.299999999999997</v>
      </c>
      <c r="Y550">
        <v>11.174220000000002</v>
      </c>
      <c r="Z550">
        <v>37</v>
      </c>
      <c r="AA550">
        <v>2.63</v>
      </c>
      <c r="AB550">
        <v>1.35</v>
      </c>
      <c r="AC550">
        <v>20.6</v>
      </c>
      <c r="AD550">
        <v>0</v>
      </c>
      <c r="AE550">
        <v>0.85297297297297292</v>
      </c>
      <c r="AF550">
        <v>0.41756756756756758</v>
      </c>
      <c r="AG550">
        <v>38.4</v>
      </c>
      <c r="AH550">
        <v>12.584540000000001</v>
      </c>
      <c r="AI550">
        <v>74.400000000000006</v>
      </c>
    </row>
    <row r="551" spans="1:36" x14ac:dyDescent="0.5">
      <c r="A551">
        <v>120</v>
      </c>
      <c r="B551">
        <v>240</v>
      </c>
      <c r="C551">
        <v>0.1</v>
      </c>
      <c r="D551">
        <v>20</v>
      </c>
      <c r="E551">
        <v>500</v>
      </c>
      <c r="F551">
        <v>200</v>
      </c>
      <c r="G551">
        <v>10</v>
      </c>
      <c r="Q551">
        <v>38.700000000000003</v>
      </c>
      <c r="R551">
        <v>1.64</v>
      </c>
      <c r="S551">
        <v>2.48</v>
      </c>
      <c r="T551">
        <v>23.8</v>
      </c>
      <c r="U551">
        <v>0</v>
      </c>
      <c r="V551">
        <v>0.50852713178294573</v>
      </c>
      <c r="W551">
        <v>0.46124031007751937</v>
      </c>
      <c r="X551">
        <v>33.299999999999997</v>
      </c>
      <c r="Y551">
        <v>11.174220000000002</v>
      </c>
      <c r="Z551">
        <v>42.6</v>
      </c>
      <c r="AA551">
        <v>2.08</v>
      </c>
      <c r="AB551">
        <v>1.69</v>
      </c>
      <c r="AC551">
        <v>16.600000000000001</v>
      </c>
      <c r="AD551">
        <v>0</v>
      </c>
      <c r="AE551">
        <v>0.58591549295774648</v>
      </c>
      <c r="AF551">
        <v>0.29225352112676056</v>
      </c>
      <c r="AG551">
        <v>42.6</v>
      </c>
      <c r="AH551">
        <v>14.405940000000001</v>
      </c>
      <c r="AI551">
        <v>73.099999999999994</v>
      </c>
    </row>
    <row r="552" spans="1:36" x14ac:dyDescent="0.5">
      <c r="A552">
        <v>360</v>
      </c>
      <c r="B552">
        <v>240</v>
      </c>
      <c r="C552">
        <v>0.1</v>
      </c>
      <c r="D552">
        <v>20</v>
      </c>
      <c r="E552">
        <v>500</v>
      </c>
      <c r="F552">
        <v>200</v>
      </c>
      <c r="G552">
        <v>10</v>
      </c>
      <c r="Q552">
        <v>38.700000000000003</v>
      </c>
      <c r="R552">
        <v>1.64</v>
      </c>
      <c r="S552">
        <v>2.48</v>
      </c>
      <c r="T552">
        <v>23.8</v>
      </c>
      <c r="U552">
        <v>0</v>
      </c>
      <c r="V552">
        <v>0.50852713178294573</v>
      </c>
      <c r="W552">
        <v>0.46124031007751937</v>
      </c>
      <c r="X552">
        <v>33.299999999999997</v>
      </c>
      <c r="Y552">
        <v>11.174220000000002</v>
      </c>
      <c r="Z552">
        <v>43.7</v>
      </c>
      <c r="AA552">
        <v>2.12</v>
      </c>
      <c r="AB552">
        <v>1.74</v>
      </c>
      <c r="AC552">
        <v>14.2</v>
      </c>
      <c r="AD552">
        <v>0</v>
      </c>
      <c r="AE552">
        <v>0.5821510297482837</v>
      </c>
      <c r="AF552">
        <v>0.24370709382151026</v>
      </c>
      <c r="AG552">
        <v>43.7</v>
      </c>
      <c r="AH552">
        <v>15.263260000000002</v>
      </c>
      <c r="AI552">
        <v>71.900000000000006</v>
      </c>
    </row>
    <row r="553" spans="1:36" x14ac:dyDescent="0.5">
      <c r="A553">
        <v>600</v>
      </c>
      <c r="B553">
        <v>240</v>
      </c>
      <c r="C553">
        <v>0.1</v>
      </c>
      <c r="D553">
        <v>20</v>
      </c>
      <c r="E553">
        <v>500</v>
      </c>
      <c r="F553">
        <v>200</v>
      </c>
      <c r="G553">
        <v>10</v>
      </c>
      <c r="Q553">
        <v>38.700000000000003</v>
      </c>
      <c r="R553">
        <v>1.64</v>
      </c>
      <c r="S553">
        <v>2.48</v>
      </c>
      <c r="T553">
        <v>23.8</v>
      </c>
      <c r="U553">
        <v>0</v>
      </c>
      <c r="V553">
        <v>0.50852713178294573</v>
      </c>
      <c r="W553">
        <v>0.46124031007751937</v>
      </c>
      <c r="X553">
        <v>33.299999999999997</v>
      </c>
      <c r="Y553">
        <v>11.174220000000002</v>
      </c>
      <c r="Z553">
        <v>46.1</v>
      </c>
      <c r="AA553">
        <v>2.25</v>
      </c>
      <c r="AB553">
        <v>1.65</v>
      </c>
      <c r="AC553">
        <v>12.6</v>
      </c>
      <c r="AD553">
        <v>0</v>
      </c>
      <c r="AE553">
        <v>0.58568329718004342</v>
      </c>
      <c r="AF553">
        <v>0.20498915401301518</v>
      </c>
      <c r="AG553">
        <v>46.1</v>
      </c>
      <c r="AH553">
        <v>16.5457</v>
      </c>
      <c r="AI553">
        <v>69.7</v>
      </c>
    </row>
    <row r="554" spans="1:36" x14ac:dyDescent="0.5">
      <c r="A554">
        <v>900</v>
      </c>
      <c r="B554">
        <v>240</v>
      </c>
      <c r="C554">
        <v>0.1</v>
      </c>
      <c r="D554">
        <v>20</v>
      </c>
      <c r="E554">
        <v>500</v>
      </c>
      <c r="F554">
        <v>200</v>
      </c>
      <c r="G554">
        <v>10</v>
      </c>
      <c r="Q554">
        <v>38.700000000000003</v>
      </c>
      <c r="R554">
        <v>1.64</v>
      </c>
      <c r="S554">
        <v>2.48</v>
      </c>
      <c r="T554">
        <v>23.8</v>
      </c>
      <c r="U554">
        <v>0</v>
      </c>
      <c r="V554">
        <v>0.50852713178294573</v>
      </c>
      <c r="W554">
        <v>0.46124031007751937</v>
      </c>
      <c r="X554">
        <v>33.299999999999997</v>
      </c>
      <c r="Y554">
        <v>11.174220000000002</v>
      </c>
      <c r="Z554">
        <v>45.9</v>
      </c>
      <c r="AA554">
        <v>1.87</v>
      </c>
      <c r="AB554">
        <v>1.48</v>
      </c>
      <c r="AC554">
        <v>12.1</v>
      </c>
      <c r="AD554">
        <v>0</v>
      </c>
      <c r="AE554">
        <v>0.48888888888888893</v>
      </c>
      <c r="AF554">
        <v>0.19771241830065361</v>
      </c>
      <c r="AG554">
        <v>45.9</v>
      </c>
      <c r="AH554">
        <v>16.024710000000002</v>
      </c>
      <c r="AI554">
        <v>68.7</v>
      </c>
    </row>
    <row r="555" spans="1:36" x14ac:dyDescent="0.5">
      <c r="A555">
        <v>120</v>
      </c>
      <c r="B555">
        <v>300</v>
      </c>
      <c r="C555">
        <v>0.1</v>
      </c>
      <c r="D555">
        <v>20</v>
      </c>
      <c r="E555">
        <v>500</v>
      </c>
      <c r="F555">
        <v>200</v>
      </c>
      <c r="G555">
        <v>10</v>
      </c>
      <c r="Q555">
        <v>38.700000000000003</v>
      </c>
      <c r="R555">
        <v>1.64</v>
      </c>
      <c r="S555">
        <v>2.48</v>
      </c>
      <c r="T555">
        <v>23.8</v>
      </c>
      <c r="U555">
        <v>0</v>
      </c>
      <c r="V555">
        <v>0.50852713178294573</v>
      </c>
      <c r="W555">
        <v>0.46124031007751937</v>
      </c>
      <c r="X555">
        <v>33.299999999999997</v>
      </c>
      <c r="Y555">
        <v>11.174220000000002</v>
      </c>
      <c r="Z555">
        <v>47.9</v>
      </c>
      <c r="AA555">
        <v>2.08</v>
      </c>
      <c r="AB555">
        <v>1.47</v>
      </c>
      <c r="AC555">
        <v>9.09</v>
      </c>
      <c r="AD555">
        <v>0</v>
      </c>
      <c r="AE555">
        <v>0.52108559498956164</v>
      </c>
      <c r="AF555">
        <v>0.14232776617954071</v>
      </c>
      <c r="AG555">
        <v>47.9</v>
      </c>
      <c r="AH555">
        <v>17.537875</v>
      </c>
      <c r="AI555">
        <v>68.099999999999994</v>
      </c>
    </row>
    <row r="556" spans="1:36" x14ac:dyDescent="0.5">
      <c r="A556">
        <v>360</v>
      </c>
      <c r="B556">
        <v>300</v>
      </c>
      <c r="C556">
        <v>0.1</v>
      </c>
      <c r="D556">
        <v>20</v>
      </c>
      <c r="E556">
        <v>500</v>
      </c>
      <c r="F556">
        <v>200</v>
      </c>
      <c r="G556">
        <v>10</v>
      </c>
      <c r="Q556">
        <v>38.700000000000003</v>
      </c>
      <c r="R556">
        <v>1.64</v>
      </c>
      <c r="S556">
        <v>2.48</v>
      </c>
      <c r="T556">
        <v>23.8</v>
      </c>
      <c r="U556">
        <v>0</v>
      </c>
      <c r="V556">
        <v>0.50852713178294573</v>
      </c>
      <c r="W556">
        <v>0.46124031007751937</v>
      </c>
      <c r="X556">
        <v>33.299999999999997</v>
      </c>
      <c r="Y556">
        <v>11.174220000000002</v>
      </c>
      <c r="Z556">
        <v>48</v>
      </c>
      <c r="AA556">
        <v>1.78</v>
      </c>
      <c r="AB556">
        <v>1.32</v>
      </c>
      <c r="AC556">
        <v>9.25</v>
      </c>
      <c r="AD556">
        <v>0</v>
      </c>
      <c r="AE556">
        <v>0.44500000000000001</v>
      </c>
      <c r="AF556">
        <v>0.14453125</v>
      </c>
      <c r="AG556">
        <v>48</v>
      </c>
      <c r="AH556">
        <v>17.114715</v>
      </c>
      <c r="AI556">
        <v>67.099999999999994</v>
      </c>
    </row>
    <row r="557" spans="1:36" x14ac:dyDescent="0.5">
      <c r="A557">
        <v>600</v>
      </c>
      <c r="B557">
        <v>300</v>
      </c>
      <c r="C557">
        <v>0.1</v>
      </c>
      <c r="D557">
        <v>20</v>
      </c>
      <c r="E557">
        <v>500</v>
      </c>
      <c r="F557">
        <v>200</v>
      </c>
      <c r="G557">
        <v>10</v>
      </c>
      <c r="Q557">
        <v>38.700000000000003</v>
      </c>
      <c r="R557">
        <v>1.64</v>
      </c>
      <c r="S557">
        <v>2.48</v>
      </c>
      <c r="T557">
        <v>23.8</v>
      </c>
      <c r="U557">
        <v>0</v>
      </c>
      <c r="V557">
        <v>0.50852713178294573</v>
      </c>
      <c r="W557">
        <v>0.46124031007751937</v>
      </c>
      <c r="X557">
        <v>33.299999999999997</v>
      </c>
      <c r="Y557">
        <v>11.174220000000002</v>
      </c>
      <c r="Z557">
        <v>50</v>
      </c>
      <c r="AA557">
        <v>1.26</v>
      </c>
      <c r="AB557">
        <v>0.91</v>
      </c>
      <c r="AC557">
        <v>7.69</v>
      </c>
      <c r="AD557">
        <v>0</v>
      </c>
      <c r="AE557">
        <v>0.3024</v>
      </c>
      <c r="AF557">
        <v>0.11534999999999999</v>
      </c>
      <c r="AG557">
        <v>50</v>
      </c>
      <c r="AH557">
        <v>17.326615</v>
      </c>
      <c r="AI557">
        <v>66.900000000000006</v>
      </c>
    </row>
    <row r="558" spans="1:36" x14ac:dyDescent="0.5">
      <c r="A558">
        <v>900</v>
      </c>
      <c r="B558">
        <v>300</v>
      </c>
      <c r="C558">
        <v>0.1</v>
      </c>
      <c r="D558">
        <v>20</v>
      </c>
      <c r="E558">
        <v>500</v>
      </c>
      <c r="F558">
        <v>200</v>
      </c>
      <c r="G558">
        <v>10</v>
      </c>
      <c r="Q558">
        <v>38.700000000000003</v>
      </c>
      <c r="R558">
        <v>1.64</v>
      </c>
      <c r="S558">
        <v>2.48</v>
      </c>
      <c r="T558">
        <v>23.8</v>
      </c>
      <c r="U558">
        <v>0</v>
      </c>
      <c r="V558">
        <v>0.50852713178294573</v>
      </c>
      <c r="W558">
        <v>0.46124031007751937</v>
      </c>
      <c r="X558">
        <v>33.299999999999997</v>
      </c>
      <c r="Y558">
        <v>11.174220000000002</v>
      </c>
      <c r="Z558">
        <v>52</v>
      </c>
      <c r="AA558">
        <v>1.69</v>
      </c>
      <c r="AB558">
        <v>1.84</v>
      </c>
      <c r="AC558">
        <v>8.2200000000000006</v>
      </c>
      <c r="AD558">
        <v>0</v>
      </c>
      <c r="AE558">
        <v>0.39</v>
      </c>
      <c r="AF558">
        <v>0.11855769230769232</v>
      </c>
      <c r="AG558">
        <v>52</v>
      </c>
      <c r="AH558">
        <v>18.52205</v>
      </c>
      <c r="AI558">
        <v>65.900000000000006</v>
      </c>
    </row>
    <row r="559" spans="1:36" x14ac:dyDescent="0.5">
      <c r="A559">
        <v>240</v>
      </c>
      <c r="B559">
        <v>180</v>
      </c>
      <c r="C559">
        <v>0.1</v>
      </c>
      <c r="D559">
        <v>7</v>
      </c>
      <c r="E559">
        <v>100</v>
      </c>
      <c r="F559">
        <v>50</v>
      </c>
      <c r="G559">
        <v>7.1428571428571432</v>
      </c>
      <c r="O559">
        <v>79.34</v>
      </c>
      <c r="P559">
        <v>17.149999999999999</v>
      </c>
      <c r="Q559">
        <v>45.12</v>
      </c>
      <c r="R559">
        <v>5.77</v>
      </c>
      <c r="S559">
        <v>0.41</v>
      </c>
      <c r="T559">
        <v>45.19</v>
      </c>
      <c r="U559">
        <v>0</v>
      </c>
      <c r="V559">
        <v>1.5345744680851063</v>
      </c>
      <c r="W559">
        <v>0.75116356382978722</v>
      </c>
      <c r="X559">
        <v>3.51</v>
      </c>
      <c r="Y559">
        <v>15.423705</v>
      </c>
      <c r="Z559">
        <v>48.05</v>
      </c>
      <c r="AA559">
        <v>5.34</v>
      </c>
      <c r="AB559">
        <v>0.36</v>
      </c>
      <c r="AC559">
        <v>43.85</v>
      </c>
      <c r="AD559">
        <v>0</v>
      </c>
      <c r="AE559">
        <v>1.3336108220603538</v>
      </c>
      <c r="AF559">
        <v>0.6844432882414152</v>
      </c>
      <c r="AG559">
        <v>2.4</v>
      </c>
      <c r="AH559">
        <v>16.039194999999999</v>
      </c>
      <c r="AI559">
        <v>67.900000000000006</v>
      </c>
      <c r="AJ559" t="s">
        <v>151</v>
      </c>
    </row>
    <row r="560" spans="1:36" x14ac:dyDescent="0.5">
      <c r="A560">
        <v>240</v>
      </c>
      <c r="B560">
        <v>200</v>
      </c>
      <c r="C560">
        <v>0.1</v>
      </c>
      <c r="D560">
        <v>7</v>
      </c>
      <c r="E560">
        <v>100</v>
      </c>
      <c r="F560">
        <v>50</v>
      </c>
      <c r="G560">
        <v>7.1428571428571432</v>
      </c>
      <c r="O560">
        <v>79.34</v>
      </c>
      <c r="P560">
        <v>17.149999999999999</v>
      </c>
      <c r="Q560">
        <v>45.12</v>
      </c>
      <c r="R560">
        <v>5.77</v>
      </c>
      <c r="S560">
        <v>0.41</v>
      </c>
      <c r="T560">
        <v>45.19</v>
      </c>
      <c r="U560">
        <v>0</v>
      </c>
      <c r="V560">
        <v>1.5345744680851063</v>
      </c>
      <c r="W560">
        <v>0.75116356382978722</v>
      </c>
      <c r="X560">
        <v>3.51</v>
      </c>
      <c r="Y560">
        <v>15.423705</v>
      </c>
      <c r="Z560">
        <v>50.1</v>
      </c>
      <c r="AA560">
        <v>5.26</v>
      </c>
      <c r="AB560">
        <v>0.39</v>
      </c>
      <c r="AC560">
        <v>41.87</v>
      </c>
      <c r="AD560">
        <v>0</v>
      </c>
      <c r="AE560">
        <v>1.2598802395209581</v>
      </c>
      <c r="AF560">
        <v>0.62679640718562868</v>
      </c>
      <c r="AG560">
        <v>2.38</v>
      </c>
      <c r="AH560">
        <v>16.971285000000002</v>
      </c>
      <c r="AI560">
        <v>62.24</v>
      </c>
    </row>
    <row r="561" spans="1:36" x14ac:dyDescent="0.5">
      <c r="A561">
        <v>60</v>
      </c>
      <c r="B561">
        <v>220</v>
      </c>
      <c r="C561">
        <v>0.1</v>
      </c>
      <c r="D561">
        <v>7</v>
      </c>
      <c r="E561">
        <v>100</v>
      </c>
      <c r="F561">
        <v>50</v>
      </c>
      <c r="G561">
        <v>7.1428571428571432</v>
      </c>
      <c r="O561">
        <v>79.34</v>
      </c>
      <c r="P561">
        <v>17.149999999999999</v>
      </c>
      <c r="Q561">
        <v>45.12</v>
      </c>
      <c r="R561">
        <v>5.77</v>
      </c>
      <c r="S561">
        <v>0.41</v>
      </c>
      <c r="T561">
        <v>45.19</v>
      </c>
      <c r="U561">
        <v>0</v>
      </c>
      <c r="V561">
        <v>1.5345744680851063</v>
      </c>
      <c r="W561">
        <v>0.75116356382978722</v>
      </c>
      <c r="X561">
        <v>3.51</v>
      </c>
      <c r="Y561">
        <v>15.423705</v>
      </c>
      <c r="Z561">
        <v>55.62</v>
      </c>
      <c r="AA561">
        <v>5.27</v>
      </c>
      <c r="AB561">
        <v>0.37</v>
      </c>
      <c r="AC561">
        <v>36.229999999999997</v>
      </c>
      <c r="AD561">
        <v>0</v>
      </c>
      <c r="AE561">
        <v>1.1370010787486515</v>
      </c>
      <c r="AF561">
        <v>0.48853829557713052</v>
      </c>
      <c r="AG561">
        <v>2.5099999999999998</v>
      </c>
      <c r="AH561">
        <v>19.858065</v>
      </c>
      <c r="AI561">
        <v>58.59</v>
      </c>
    </row>
    <row r="562" spans="1:36" x14ac:dyDescent="0.5">
      <c r="A562">
        <v>120</v>
      </c>
      <c r="B562">
        <v>220</v>
      </c>
      <c r="C562">
        <v>0.1</v>
      </c>
      <c r="D562">
        <v>7</v>
      </c>
      <c r="E562">
        <v>100</v>
      </c>
      <c r="F562">
        <v>50</v>
      </c>
      <c r="G562">
        <v>7.1428571428571432</v>
      </c>
      <c r="O562">
        <v>79.34</v>
      </c>
      <c r="P562">
        <v>17.149999999999999</v>
      </c>
      <c r="Q562">
        <v>45.12</v>
      </c>
      <c r="R562">
        <v>5.77</v>
      </c>
      <c r="S562">
        <v>0.41</v>
      </c>
      <c r="T562">
        <v>45.19</v>
      </c>
      <c r="U562">
        <v>0</v>
      </c>
      <c r="V562">
        <v>1.5345744680851063</v>
      </c>
      <c r="W562">
        <v>0.75116356382978722</v>
      </c>
      <c r="X562">
        <v>3.51</v>
      </c>
      <c r="Y562">
        <v>15.423705</v>
      </c>
      <c r="Z562">
        <v>61.21</v>
      </c>
      <c r="AA562">
        <v>5.22</v>
      </c>
      <c r="AB562">
        <v>0.38</v>
      </c>
      <c r="AC562">
        <v>30.61</v>
      </c>
      <c r="AD562">
        <v>0</v>
      </c>
      <c r="AE562">
        <v>1.0233621957196537</v>
      </c>
      <c r="AF562">
        <v>0.37506126449926486</v>
      </c>
      <c r="AG562">
        <v>2.58</v>
      </c>
      <c r="AH562">
        <v>22.679255000000001</v>
      </c>
      <c r="AI562">
        <v>56.26</v>
      </c>
    </row>
    <row r="563" spans="1:36" x14ac:dyDescent="0.5">
      <c r="A563">
        <v>240</v>
      </c>
      <c r="B563">
        <v>220</v>
      </c>
      <c r="C563">
        <v>0.1</v>
      </c>
      <c r="D563">
        <v>7</v>
      </c>
      <c r="E563">
        <v>100</v>
      </c>
      <c r="F563">
        <v>50</v>
      </c>
      <c r="G563">
        <v>7.1428571428571432</v>
      </c>
      <c r="O563">
        <v>79.34</v>
      </c>
      <c r="P563">
        <v>17.149999999999999</v>
      </c>
      <c r="Q563">
        <v>45.12</v>
      </c>
      <c r="R563">
        <v>5.77</v>
      </c>
      <c r="S563">
        <v>0.41</v>
      </c>
      <c r="T563">
        <v>45.19</v>
      </c>
      <c r="U563">
        <v>0</v>
      </c>
      <c r="V563">
        <v>1.5345744680851063</v>
      </c>
      <c r="W563">
        <v>0.75116356382978722</v>
      </c>
      <c r="X563">
        <v>3.51</v>
      </c>
      <c r="Y563">
        <v>15.423705</v>
      </c>
      <c r="Z563">
        <v>62.64</v>
      </c>
      <c r="AA563">
        <v>5.21</v>
      </c>
      <c r="AB563">
        <v>0.41</v>
      </c>
      <c r="AC563">
        <v>28.95</v>
      </c>
      <c r="AD563">
        <v>0</v>
      </c>
      <c r="AE563">
        <v>0.99808429118773956</v>
      </c>
      <c r="AF563">
        <v>0.34662356321839083</v>
      </c>
      <c r="AG563">
        <v>2.79</v>
      </c>
      <c r="AH563">
        <v>23.444625000000002</v>
      </c>
      <c r="AI563">
        <v>51.22</v>
      </c>
    </row>
    <row r="564" spans="1:36" x14ac:dyDescent="0.5">
      <c r="A564">
        <v>720</v>
      </c>
      <c r="B564">
        <v>220</v>
      </c>
      <c r="C564">
        <v>0.1</v>
      </c>
      <c r="D564">
        <v>7</v>
      </c>
      <c r="E564">
        <v>100</v>
      </c>
      <c r="F564">
        <v>50</v>
      </c>
      <c r="G564">
        <v>7.1428571428571432</v>
      </c>
      <c r="O564">
        <v>79.34</v>
      </c>
      <c r="P564">
        <v>17.149999999999999</v>
      </c>
      <c r="Q564">
        <v>45.12</v>
      </c>
      <c r="R564">
        <v>5.77</v>
      </c>
      <c r="S564">
        <v>0.41</v>
      </c>
      <c r="T564">
        <v>45.19</v>
      </c>
      <c r="U564">
        <v>0</v>
      </c>
      <c r="V564">
        <v>1.5345744680851063</v>
      </c>
      <c r="W564">
        <v>0.75116356382978722</v>
      </c>
      <c r="X564">
        <v>3.51</v>
      </c>
      <c r="Y564">
        <v>15.423705</v>
      </c>
      <c r="Z564">
        <v>67.36</v>
      </c>
      <c r="AA564">
        <v>5.01</v>
      </c>
      <c r="AB564">
        <v>0.4</v>
      </c>
      <c r="AC564">
        <v>24.26</v>
      </c>
      <c r="AD564">
        <v>0</v>
      </c>
      <c r="AE564">
        <v>0.89251781472684077</v>
      </c>
      <c r="AF564">
        <v>0.27011579572446559</v>
      </c>
      <c r="AG564">
        <v>2.97</v>
      </c>
      <c r="AH564">
        <v>25.591550000000002</v>
      </c>
      <c r="AI564">
        <v>49.78</v>
      </c>
    </row>
    <row r="565" spans="1:36" x14ac:dyDescent="0.5">
      <c r="A565">
        <v>1440</v>
      </c>
      <c r="B565">
        <v>220</v>
      </c>
      <c r="C565">
        <v>0.1</v>
      </c>
      <c r="D565">
        <v>7</v>
      </c>
      <c r="E565">
        <v>100</v>
      </c>
      <c r="F565">
        <v>50</v>
      </c>
      <c r="G565">
        <v>7.1428571428571432</v>
      </c>
      <c r="O565">
        <v>79.34</v>
      </c>
      <c r="P565">
        <v>17.149999999999999</v>
      </c>
      <c r="Q565">
        <v>45.12</v>
      </c>
      <c r="R565">
        <v>5.77</v>
      </c>
      <c r="S565">
        <v>0.41</v>
      </c>
      <c r="T565">
        <v>45.19</v>
      </c>
      <c r="U565">
        <v>0</v>
      </c>
      <c r="V565">
        <v>1.5345744680851063</v>
      </c>
      <c r="W565">
        <v>0.75116356382978722</v>
      </c>
      <c r="X565">
        <v>3.51</v>
      </c>
      <c r="Y565">
        <v>15.423705</v>
      </c>
      <c r="Z565">
        <v>68.45</v>
      </c>
      <c r="AA565">
        <v>4.93</v>
      </c>
      <c r="AB565">
        <v>0.38</v>
      </c>
      <c r="AC565">
        <v>22.88</v>
      </c>
      <c r="AD565">
        <v>0</v>
      </c>
      <c r="AE565">
        <v>0.86428049671292906</v>
      </c>
      <c r="AF565">
        <v>0.25069393718042365</v>
      </c>
      <c r="AG565">
        <v>3.36</v>
      </c>
      <c r="AH565">
        <v>26.092060000000004</v>
      </c>
      <c r="AI565">
        <v>48.75</v>
      </c>
    </row>
    <row r="566" spans="1:36" x14ac:dyDescent="0.5">
      <c r="A566">
        <v>240</v>
      </c>
      <c r="B566">
        <v>240</v>
      </c>
      <c r="C566">
        <v>0.1</v>
      </c>
      <c r="D566">
        <v>7</v>
      </c>
      <c r="E566">
        <v>100</v>
      </c>
      <c r="F566">
        <v>50</v>
      </c>
      <c r="G566">
        <v>7.1428571428571432</v>
      </c>
      <c r="O566">
        <v>79.34</v>
      </c>
      <c r="P566">
        <v>17.149999999999999</v>
      </c>
      <c r="Q566">
        <v>45.12</v>
      </c>
      <c r="R566">
        <v>5.77</v>
      </c>
      <c r="S566">
        <v>0.41</v>
      </c>
      <c r="T566">
        <v>45.19</v>
      </c>
      <c r="U566">
        <v>0</v>
      </c>
      <c r="V566">
        <v>1.5345744680851063</v>
      </c>
      <c r="W566">
        <v>0.75116356382978722</v>
      </c>
      <c r="X566">
        <v>3.51</v>
      </c>
      <c r="Y566">
        <v>15.423705</v>
      </c>
      <c r="Z566">
        <v>65.27</v>
      </c>
      <c r="AA566">
        <v>4.92</v>
      </c>
      <c r="AB566">
        <v>0.35</v>
      </c>
      <c r="AC566">
        <v>26.47</v>
      </c>
      <c r="AD566">
        <v>0</v>
      </c>
      <c r="AE566">
        <v>0.90455032940095004</v>
      </c>
      <c r="AF566">
        <v>0.30415964455339362</v>
      </c>
      <c r="AG566">
        <v>2.99</v>
      </c>
      <c r="AH566">
        <v>24.362124999999999</v>
      </c>
      <c r="AI566">
        <v>46.23</v>
      </c>
    </row>
    <row r="567" spans="1:36" x14ac:dyDescent="0.5">
      <c r="A567">
        <v>240</v>
      </c>
      <c r="B567">
        <v>260</v>
      </c>
      <c r="C567">
        <v>0.1</v>
      </c>
      <c r="D567">
        <v>7</v>
      </c>
      <c r="E567">
        <v>100</v>
      </c>
      <c r="F567">
        <v>50</v>
      </c>
      <c r="G567">
        <v>7.1428571428571432</v>
      </c>
      <c r="O567">
        <v>79.34</v>
      </c>
      <c r="P567">
        <v>17.149999999999999</v>
      </c>
      <c r="Q567">
        <v>45.12</v>
      </c>
      <c r="R567">
        <v>5.77</v>
      </c>
      <c r="S567">
        <v>0.41</v>
      </c>
      <c r="T567">
        <v>45.19</v>
      </c>
      <c r="U567">
        <v>0</v>
      </c>
      <c r="V567">
        <v>1.5345744680851063</v>
      </c>
      <c r="W567">
        <v>0.75116356382978722</v>
      </c>
      <c r="X567">
        <v>3.51</v>
      </c>
      <c r="Y567">
        <v>15.423705</v>
      </c>
      <c r="Z567">
        <v>73.16</v>
      </c>
      <c r="AA567">
        <v>4.95</v>
      </c>
      <c r="AB567">
        <v>0.3</v>
      </c>
      <c r="AC567">
        <v>18.52</v>
      </c>
      <c r="AD567">
        <v>0</v>
      </c>
      <c r="AE567">
        <v>0.81191908146528158</v>
      </c>
      <c r="AF567">
        <v>0.18985784581738654</v>
      </c>
      <c r="AG567">
        <v>3.07</v>
      </c>
      <c r="AH567">
        <v>28.490860000000001</v>
      </c>
      <c r="AI567">
        <v>44.17</v>
      </c>
    </row>
    <row r="568" spans="1:36" x14ac:dyDescent="0.5">
      <c r="A568">
        <v>30</v>
      </c>
      <c r="B568">
        <v>180</v>
      </c>
      <c r="C568">
        <v>0.1</v>
      </c>
      <c r="D568">
        <v>4</v>
      </c>
      <c r="E568">
        <v>250</v>
      </c>
      <c r="F568">
        <v>80</v>
      </c>
      <c r="G568">
        <v>20</v>
      </c>
      <c r="O568">
        <v>46.57</v>
      </c>
      <c r="P568">
        <v>7.22</v>
      </c>
      <c r="Q568">
        <v>25.74</v>
      </c>
      <c r="R568">
        <v>3.99</v>
      </c>
      <c r="S568">
        <v>4.29</v>
      </c>
      <c r="T568">
        <v>18.73</v>
      </c>
      <c r="U568">
        <v>0.68</v>
      </c>
      <c r="V568">
        <v>1.8601398601398602</v>
      </c>
      <c r="W568">
        <v>0.54574592074592077</v>
      </c>
      <c r="X568">
        <v>46.57</v>
      </c>
      <c r="Y568">
        <v>11.054535</v>
      </c>
      <c r="Z568">
        <v>18.670000000000002</v>
      </c>
      <c r="AA568">
        <v>3.2</v>
      </c>
      <c r="AB568">
        <v>2.06</v>
      </c>
      <c r="AC568">
        <v>12.88</v>
      </c>
      <c r="AD568">
        <v>0</v>
      </c>
      <c r="AE568">
        <v>2.0567755757900374</v>
      </c>
      <c r="AF568">
        <v>0.51740760578468137</v>
      </c>
      <c r="AG568">
        <v>63.19</v>
      </c>
      <c r="AH568">
        <v>7.59</v>
      </c>
      <c r="AI568">
        <v>61.1</v>
      </c>
      <c r="AJ568" t="s">
        <v>153</v>
      </c>
    </row>
    <row r="569" spans="1:36" x14ac:dyDescent="0.5">
      <c r="A569">
        <v>30</v>
      </c>
      <c r="B569">
        <v>200</v>
      </c>
      <c r="C569">
        <v>0.1</v>
      </c>
      <c r="D569">
        <v>4</v>
      </c>
      <c r="E569">
        <v>250</v>
      </c>
      <c r="F569">
        <v>80</v>
      </c>
      <c r="G569">
        <v>20</v>
      </c>
      <c r="O569">
        <v>46.57</v>
      </c>
      <c r="P569">
        <v>7.22</v>
      </c>
      <c r="Q569">
        <v>25.74</v>
      </c>
      <c r="R569">
        <v>3.99</v>
      </c>
      <c r="S569">
        <v>4.29</v>
      </c>
      <c r="T569">
        <v>18.73</v>
      </c>
      <c r="U569">
        <v>0.68</v>
      </c>
      <c r="V569">
        <v>1.8601398601398602</v>
      </c>
      <c r="W569">
        <v>0.54574592074592077</v>
      </c>
      <c r="X569">
        <v>46.57</v>
      </c>
      <c r="Y569">
        <v>11.054535</v>
      </c>
      <c r="Z569">
        <v>17.09</v>
      </c>
      <c r="AA569">
        <v>2.95</v>
      </c>
      <c r="AB569">
        <v>1.67</v>
      </c>
      <c r="AC569">
        <v>11.31</v>
      </c>
      <c r="AD569">
        <v>0</v>
      </c>
      <c r="AE569">
        <v>2.0713867758923348</v>
      </c>
      <c r="AF569">
        <v>0.49634289057928621</v>
      </c>
      <c r="AG569">
        <v>66.98</v>
      </c>
      <c r="AH569">
        <v>6.83</v>
      </c>
      <c r="AI569">
        <v>65.7</v>
      </c>
    </row>
    <row r="570" spans="1:36" x14ac:dyDescent="0.5">
      <c r="A570">
        <v>30</v>
      </c>
      <c r="B570">
        <v>220</v>
      </c>
      <c r="C570">
        <v>0.1</v>
      </c>
      <c r="D570">
        <v>4</v>
      </c>
      <c r="E570">
        <v>250</v>
      </c>
      <c r="F570">
        <v>80</v>
      </c>
      <c r="G570">
        <v>20</v>
      </c>
      <c r="O570">
        <v>46.57</v>
      </c>
      <c r="P570">
        <v>7.22</v>
      </c>
      <c r="Q570">
        <v>25.74</v>
      </c>
      <c r="R570">
        <v>3.99</v>
      </c>
      <c r="S570">
        <v>4.29</v>
      </c>
      <c r="T570">
        <v>18.73</v>
      </c>
      <c r="U570">
        <v>0.68</v>
      </c>
      <c r="V570">
        <v>1.8601398601398602</v>
      </c>
      <c r="W570">
        <v>0.54574592074592077</v>
      </c>
      <c r="X570">
        <v>46.57</v>
      </c>
      <c r="Y570">
        <v>11.054535</v>
      </c>
      <c r="Z570">
        <v>16.71</v>
      </c>
      <c r="AA570">
        <v>2.65</v>
      </c>
      <c r="AB570">
        <v>1.52</v>
      </c>
      <c r="AC570">
        <v>10.09</v>
      </c>
      <c r="AD570">
        <v>0</v>
      </c>
      <c r="AE570">
        <v>1.9030520646319566</v>
      </c>
      <c r="AF570">
        <v>0.45287253141831235</v>
      </c>
      <c r="AG570">
        <v>69.03</v>
      </c>
      <c r="AH570">
        <v>6.43</v>
      </c>
      <c r="AI570">
        <v>67.7</v>
      </c>
    </row>
    <row r="571" spans="1:36" x14ac:dyDescent="0.5">
      <c r="A571">
        <v>240</v>
      </c>
      <c r="B571">
        <v>180</v>
      </c>
      <c r="C571">
        <v>0.1</v>
      </c>
      <c r="D571">
        <v>65</v>
      </c>
      <c r="E571">
        <v>2000</v>
      </c>
      <c r="F571">
        <v>1300</v>
      </c>
      <c r="G571">
        <v>20</v>
      </c>
      <c r="K571">
        <v>43.9</v>
      </c>
      <c r="L571">
        <v>26.7</v>
      </c>
      <c r="M571">
        <v>24.9</v>
      </c>
      <c r="Q571">
        <v>48.8</v>
      </c>
      <c r="R571">
        <v>6.5</v>
      </c>
      <c r="S571">
        <v>0.1</v>
      </c>
      <c r="T571">
        <v>43.8</v>
      </c>
      <c r="U571">
        <v>0</v>
      </c>
      <c r="V571">
        <v>1.598360655737705</v>
      </c>
      <c r="W571">
        <v>0.67315573770491799</v>
      </c>
      <c r="X571">
        <v>0.8</v>
      </c>
      <c r="Y571">
        <v>17.958099999999998</v>
      </c>
      <c r="Z571">
        <v>51.2</v>
      </c>
      <c r="AA571">
        <v>6.1</v>
      </c>
      <c r="AB571">
        <v>0.3</v>
      </c>
      <c r="AC571">
        <v>42.2</v>
      </c>
      <c r="AD571">
        <v>0</v>
      </c>
      <c r="AE571">
        <v>1.4296875</v>
      </c>
      <c r="AF571">
        <v>0.6181640625</v>
      </c>
      <c r="AG571">
        <v>0.2</v>
      </c>
      <c r="AH571">
        <v>18.483700000000002</v>
      </c>
      <c r="AI571">
        <v>69</v>
      </c>
      <c r="AJ571" t="s">
        <v>154</v>
      </c>
    </row>
    <row r="572" spans="1:36" x14ac:dyDescent="0.5">
      <c r="A572">
        <v>360</v>
      </c>
      <c r="B572">
        <v>180</v>
      </c>
      <c r="C572">
        <v>0.1</v>
      </c>
      <c r="D572">
        <v>65</v>
      </c>
      <c r="E572">
        <v>2000</v>
      </c>
      <c r="F572">
        <v>1300</v>
      </c>
      <c r="G572">
        <v>20</v>
      </c>
      <c r="K572">
        <v>43.9</v>
      </c>
      <c r="L572">
        <v>26.7</v>
      </c>
      <c r="M572">
        <v>24.9</v>
      </c>
      <c r="Q572">
        <v>48.8</v>
      </c>
      <c r="R572">
        <v>6.5</v>
      </c>
      <c r="S572">
        <v>0.1</v>
      </c>
      <c r="T572">
        <v>43.8</v>
      </c>
      <c r="U572">
        <v>0</v>
      </c>
      <c r="V572">
        <v>1.598360655737705</v>
      </c>
      <c r="W572">
        <v>0.67315573770491799</v>
      </c>
      <c r="X572">
        <v>0.8</v>
      </c>
      <c r="Y572">
        <v>17.958099999999998</v>
      </c>
      <c r="Z572">
        <v>49.9</v>
      </c>
      <c r="AA572">
        <v>6.2</v>
      </c>
      <c r="AB572">
        <v>0.2</v>
      </c>
      <c r="AC572">
        <v>43.5</v>
      </c>
      <c r="AD572">
        <v>0</v>
      </c>
      <c r="AE572">
        <v>1.4909819639278559</v>
      </c>
      <c r="AF572">
        <v>0.65380761523046094</v>
      </c>
      <c r="AG572">
        <v>0.2</v>
      </c>
      <c r="AH572">
        <v>17.95505</v>
      </c>
      <c r="AI572">
        <v>64</v>
      </c>
    </row>
    <row r="573" spans="1:36" x14ac:dyDescent="0.5">
      <c r="A573">
        <v>720</v>
      </c>
      <c r="B573">
        <v>180</v>
      </c>
      <c r="C573">
        <v>0.1</v>
      </c>
      <c r="D573">
        <v>65</v>
      </c>
      <c r="E573">
        <v>2000</v>
      </c>
      <c r="F573">
        <v>1300</v>
      </c>
      <c r="G573">
        <v>20</v>
      </c>
      <c r="K573">
        <v>43.9</v>
      </c>
      <c r="L573">
        <v>26.7</v>
      </c>
      <c r="M573">
        <v>24.9</v>
      </c>
      <c r="Q573">
        <v>48.8</v>
      </c>
      <c r="R573">
        <v>6.5</v>
      </c>
      <c r="S573">
        <v>0.1</v>
      </c>
      <c r="T573">
        <v>43.8</v>
      </c>
      <c r="U573">
        <v>0</v>
      </c>
      <c r="V573">
        <v>1.598360655737705</v>
      </c>
      <c r="W573">
        <v>0.67315573770491799</v>
      </c>
      <c r="X573">
        <v>0.8</v>
      </c>
      <c r="Y573">
        <v>17.958099999999998</v>
      </c>
      <c r="Z573">
        <v>52.5</v>
      </c>
      <c r="AA573">
        <v>6</v>
      </c>
      <c r="AB573">
        <v>0.2</v>
      </c>
      <c r="AC573">
        <v>41.1</v>
      </c>
      <c r="AD573">
        <v>0</v>
      </c>
      <c r="AE573">
        <v>1.3714285714285714</v>
      </c>
      <c r="AF573">
        <v>0.58714285714285719</v>
      </c>
      <c r="AG573">
        <v>0.2</v>
      </c>
      <c r="AH573">
        <v>18.976649999999999</v>
      </c>
      <c r="AI573">
        <v>58</v>
      </c>
    </row>
    <row r="574" spans="1:36" x14ac:dyDescent="0.5">
      <c r="A574">
        <v>240</v>
      </c>
      <c r="B574">
        <v>200</v>
      </c>
      <c r="C574">
        <v>0.1</v>
      </c>
      <c r="D574">
        <v>65</v>
      </c>
      <c r="E574">
        <v>2000</v>
      </c>
      <c r="F574">
        <v>1300</v>
      </c>
      <c r="G574">
        <v>20</v>
      </c>
      <c r="K574">
        <v>43.9</v>
      </c>
      <c r="L574">
        <v>26.7</v>
      </c>
      <c r="M574">
        <v>24.9</v>
      </c>
      <c r="Q574">
        <v>48.8</v>
      </c>
      <c r="R574">
        <v>6.5</v>
      </c>
      <c r="S574">
        <v>0.1</v>
      </c>
      <c r="T574">
        <v>43.8</v>
      </c>
      <c r="U574">
        <v>0</v>
      </c>
      <c r="V574">
        <v>1.598360655737705</v>
      </c>
      <c r="W574">
        <v>0.67315573770491799</v>
      </c>
      <c r="X574">
        <v>0.8</v>
      </c>
      <c r="Y574">
        <v>17.958099999999998</v>
      </c>
      <c r="Z574">
        <v>52.8</v>
      </c>
      <c r="AA574">
        <v>6.1</v>
      </c>
      <c r="AB574">
        <v>0.3</v>
      </c>
      <c r="AC574">
        <v>40.700000000000003</v>
      </c>
      <c r="AD574">
        <v>0</v>
      </c>
      <c r="AE574">
        <v>1.3863636363636365</v>
      </c>
      <c r="AF574">
        <v>0.57812500000000011</v>
      </c>
      <c r="AG574">
        <v>0.2</v>
      </c>
      <c r="AH574">
        <v>19.292249999999999</v>
      </c>
      <c r="AI574">
        <v>65</v>
      </c>
    </row>
    <row r="575" spans="1:36" x14ac:dyDescent="0.5">
      <c r="A575">
        <v>360</v>
      </c>
      <c r="B575">
        <v>200</v>
      </c>
      <c r="C575">
        <v>0.1</v>
      </c>
      <c r="D575">
        <v>65</v>
      </c>
      <c r="E575">
        <v>2000</v>
      </c>
      <c r="F575">
        <v>1300</v>
      </c>
      <c r="G575">
        <v>20</v>
      </c>
      <c r="K575">
        <v>43.9</v>
      </c>
      <c r="L575">
        <v>26.7</v>
      </c>
      <c r="M575">
        <v>24.9</v>
      </c>
      <c r="Q575">
        <v>48.8</v>
      </c>
      <c r="R575">
        <v>6.5</v>
      </c>
      <c r="S575">
        <v>0.1</v>
      </c>
      <c r="T575">
        <v>43.8</v>
      </c>
      <c r="U575">
        <v>0</v>
      </c>
      <c r="V575">
        <v>1.598360655737705</v>
      </c>
      <c r="W575">
        <v>0.67315573770491799</v>
      </c>
      <c r="X575">
        <v>0.8</v>
      </c>
      <c r="Y575">
        <v>17.958099999999998</v>
      </c>
      <c r="Z575">
        <v>53.4</v>
      </c>
      <c r="AA575">
        <v>6</v>
      </c>
      <c r="AB575">
        <v>0.2</v>
      </c>
      <c r="AC575">
        <v>40.1</v>
      </c>
      <c r="AD575">
        <v>0</v>
      </c>
      <c r="AE575">
        <v>1.348314606741573</v>
      </c>
      <c r="AF575">
        <v>0.5632022471910112</v>
      </c>
      <c r="AG575">
        <v>0.2</v>
      </c>
      <c r="AH575">
        <v>19.459350000000001</v>
      </c>
      <c r="AI575">
        <v>60</v>
      </c>
    </row>
    <row r="576" spans="1:36" x14ac:dyDescent="0.5">
      <c r="A576">
        <v>720</v>
      </c>
      <c r="B576">
        <v>200</v>
      </c>
      <c r="C576">
        <v>0.1</v>
      </c>
      <c r="D576">
        <v>65</v>
      </c>
      <c r="E576">
        <v>2000</v>
      </c>
      <c r="F576">
        <v>1300</v>
      </c>
      <c r="G576">
        <v>20</v>
      </c>
      <c r="K576">
        <v>43.9</v>
      </c>
      <c r="L576">
        <v>26.7</v>
      </c>
      <c r="M576">
        <v>24.9</v>
      </c>
      <c r="Q576">
        <v>48.8</v>
      </c>
      <c r="R576">
        <v>6.5</v>
      </c>
      <c r="S576">
        <v>0.1</v>
      </c>
      <c r="T576">
        <v>43.8</v>
      </c>
      <c r="U576">
        <v>0</v>
      </c>
      <c r="V576">
        <v>1.598360655737705</v>
      </c>
      <c r="W576">
        <v>0.67315573770491799</v>
      </c>
      <c r="X576">
        <v>0.8</v>
      </c>
      <c r="Y576">
        <v>17.958099999999998</v>
      </c>
      <c r="Z576">
        <v>54.9</v>
      </c>
      <c r="AA576">
        <v>5.8</v>
      </c>
      <c r="AB576">
        <v>0.3</v>
      </c>
      <c r="AC576">
        <v>38.799999999999997</v>
      </c>
      <c r="AD576">
        <v>0</v>
      </c>
      <c r="AE576">
        <v>1.2677595628415299</v>
      </c>
      <c r="AF576">
        <v>0.53005464480874309</v>
      </c>
      <c r="AG576">
        <v>0.2</v>
      </c>
      <c r="AH576">
        <v>19.912800000000001</v>
      </c>
      <c r="AI576">
        <v>55</v>
      </c>
    </row>
    <row r="577" spans="1:36" x14ac:dyDescent="0.5">
      <c r="A577">
        <v>240</v>
      </c>
      <c r="B577">
        <v>220</v>
      </c>
      <c r="C577">
        <v>0.1</v>
      </c>
      <c r="D577">
        <v>65</v>
      </c>
      <c r="E577">
        <v>2000</v>
      </c>
      <c r="F577">
        <v>1300</v>
      </c>
      <c r="G577">
        <v>20</v>
      </c>
      <c r="K577">
        <v>43.9</v>
      </c>
      <c r="L577">
        <v>26.7</v>
      </c>
      <c r="M577">
        <v>24.9</v>
      </c>
      <c r="Q577">
        <v>48.8</v>
      </c>
      <c r="R577">
        <v>6.5</v>
      </c>
      <c r="S577">
        <v>0.1</v>
      </c>
      <c r="T577">
        <v>43.8</v>
      </c>
      <c r="U577">
        <v>0</v>
      </c>
      <c r="V577">
        <v>1.598360655737705</v>
      </c>
      <c r="W577">
        <v>0.67315573770491799</v>
      </c>
      <c r="X577">
        <v>0.8</v>
      </c>
      <c r="Y577">
        <v>17.958099999999998</v>
      </c>
      <c r="Z577">
        <v>56.7</v>
      </c>
      <c r="AA577">
        <v>5.9</v>
      </c>
      <c r="AB577">
        <v>0.2</v>
      </c>
      <c r="AC577">
        <v>36.9</v>
      </c>
      <c r="AD577">
        <v>0</v>
      </c>
      <c r="AE577">
        <v>1.2486772486772486</v>
      </c>
      <c r="AF577">
        <v>0.48809523809523803</v>
      </c>
      <c r="AG577">
        <v>0.2</v>
      </c>
      <c r="AH577">
        <v>21.003150000000005</v>
      </c>
      <c r="AI577">
        <v>63</v>
      </c>
    </row>
    <row r="578" spans="1:36" x14ac:dyDescent="0.5">
      <c r="A578">
        <v>360</v>
      </c>
      <c r="B578">
        <v>220</v>
      </c>
      <c r="C578">
        <v>0.1</v>
      </c>
      <c r="D578">
        <v>65</v>
      </c>
      <c r="E578">
        <v>2000</v>
      </c>
      <c r="F578">
        <v>1300</v>
      </c>
      <c r="G578">
        <v>20</v>
      </c>
      <c r="K578">
        <v>43.9</v>
      </c>
      <c r="L578">
        <v>26.7</v>
      </c>
      <c r="M578">
        <v>24.9</v>
      </c>
      <c r="Q578">
        <v>48.8</v>
      </c>
      <c r="R578">
        <v>6.5</v>
      </c>
      <c r="S578">
        <v>0.1</v>
      </c>
      <c r="T578">
        <v>43.8</v>
      </c>
      <c r="U578">
        <v>0</v>
      </c>
      <c r="V578">
        <v>1.598360655737705</v>
      </c>
      <c r="W578">
        <v>0.67315573770491799</v>
      </c>
      <c r="X578">
        <v>0.8</v>
      </c>
      <c r="Y578">
        <v>17.958099999999998</v>
      </c>
      <c r="Z578">
        <v>58.4</v>
      </c>
      <c r="AA578">
        <v>5.8</v>
      </c>
      <c r="AB578">
        <v>0.3</v>
      </c>
      <c r="AC578">
        <v>35.4</v>
      </c>
      <c r="AD578">
        <v>0</v>
      </c>
      <c r="AE578">
        <v>1.1917808219178083</v>
      </c>
      <c r="AF578">
        <v>0.45462328767123289</v>
      </c>
      <c r="AG578">
        <v>0.2</v>
      </c>
      <c r="AH578">
        <v>21.7027</v>
      </c>
      <c r="AI578">
        <v>61</v>
      </c>
    </row>
    <row r="579" spans="1:36" x14ac:dyDescent="0.5">
      <c r="A579">
        <v>720</v>
      </c>
      <c r="B579">
        <v>220</v>
      </c>
      <c r="C579">
        <v>0.1</v>
      </c>
      <c r="D579">
        <v>65</v>
      </c>
      <c r="E579">
        <v>2000</v>
      </c>
      <c r="F579">
        <v>1300</v>
      </c>
      <c r="G579">
        <v>20</v>
      </c>
      <c r="K579">
        <v>43.9</v>
      </c>
      <c r="L579">
        <v>26.7</v>
      </c>
      <c r="M579">
        <v>24.9</v>
      </c>
      <c r="Q579">
        <v>48.8</v>
      </c>
      <c r="R579">
        <v>6.5</v>
      </c>
      <c r="S579">
        <v>0.1</v>
      </c>
      <c r="T579">
        <v>43.8</v>
      </c>
      <c r="U579">
        <v>0</v>
      </c>
      <c r="V579">
        <v>1.598360655737705</v>
      </c>
      <c r="W579">
        <v>0.67315573770491799</v>
      </c>
      <c r="X579">
        <v>0.8</v>
      </c>
      <c r="Y579">
        <v>17.958099999999998</v>
      </c>
      <c r="Z579">
        <v>64.8</v>
      </c>
      <c r="AA579">
        <v>5.5</v>
      </c>
      <c r="AB579">
        <v>0.3</v>
      </c>
      <c r="AC579">
        <v>29.1</v>
      </c>
      <c r="AD579">
        <v>0</v>
      </c>
      <c r="AE579">
        <v>1.0185185185185186</v>
      </c>
      <c r="AF579">
        <v>0.33680555555555558</v>
      </c>
      <c r="AG579">
        <v>0.2</v>
      </c>
      <c r="AH579">
        <v>24.562049999999999</v>
      </c>
      <c r="AI579">
        <v>50</v>
      </c>
    </row>
    <row r="580" spans="1:36" x14ac:dyDescent="0.5">
      <c r="A580">
        <v>720</v>
      </c>
      <c r="B580">
        <v>200</v>
      </c>
      <c r="C580">
        <v>0.1</v>
      </c>
      <c r="D580">
        <v>65</v>
      </c>
      <c r="E580">
        <v>2000</v>
      </c>
      <c r="F580">
        <v>1300</v>
      </c>
      <c r="G580">
        <v>20</v>
      </c>
      <c r="K580">
        <v>40.4</v>
      </c>
      <c r="L580">
        <v>29.3</v>
      </c>
      <c r="M580">
        <v>27.7</v>
      </c>
      <c r="Q580">
        <v>53.9</v>
      </c>
      <c r="R580">
        <v>6.1</v>
      </c>
      <c r="S580">
        <v>0.1</v>
      </c>
      <c r="T580">
        <v>39.299999999999997</v>
      </c>
      <c r="U580">
        <v>0</v>
      </c>
      <c r="V580">
        <v>1.3580705009276439</v>
      </c>
      <c r="W580">
        <v>0.54684601113172537</v>
      </c>
      <c r="X580">
        <v>0.1</v>
      </c>
      <c r="Y580">
        <v>19.91395</v>
      </c>
      <c r="Z580">
        <v>57.4</v>
      </c>
      <c r="AA580">
        <v>5.9</v>
      </c>
      <c r="AB580">
        <v>0.2</v>
      </c>
      <c r="AC580">
        <v>36.299999999999997</v>
      </c>
      <c r="AD580">
        <v>0</v>
      </c>
      <c r="AE580">
        <v>1.2334494773519165</v>
      </c>
      <c r="AF580">
        <v>0.4743031358885017</v>
      </c>
      <c r="AG580">
        <v>0.2</v>
      </c>
      <c r="AH580">
        <v>21.34685</v>
      </c>
      <c r="AI580">
        <v>64</v>
      </c>
    </row>
    <row r="581" spans="1:36" x14ac:dyDescent="0.5">
      <c r="A581">
        <v>720</v>
      </c>
      <c r="B581">
        <v>200</v>
      </c>
      <c r="C581">
        <v>0.1</v>
      </c>
      <c r="D581">
        <v>65</v>
      </c>
      <c r="E581">
        <v>2000</v>
      </c>
      <c r="F581">
        <v>1300</v>
      </c>
      <c r="G581">
        <v>20</v>
      </c>
      <c r="K581">
        <v>41</v>
      </c>
      <c r="L581">
        <v>26.5</v>
      </c>
      <c r="M581">
        <v>26.8</v>
      </c>
      <c r="Q581">
        <v>49.5</v>
      </c>
      <c r="R581">
        <v>6.3</v>
      </c>
      <c r="S581">
        <v>0.2</v>
      </c>
      <c r="T581">
        <v>36.299999999999997</v>
      </c>
      <c r="U581">
        <v>0</v>
      </c>
      <c r="V581">
        <v>1.5272727272727273</v>
      </c>
      <c r="W581">
        <v>0.54999999999999993</v>
      </c>
      <c r="X581">
        <v>1.1000000000000001</v>
      </c>
      <c r="Y581">
        <v>19.247850000000003</v>
      </c>
      <c r="Z581">
        <v>55.4</v>
      </c>
      <c r="AA581">
        <v>5.9</v>
      </c>
      <c r="AB581">
        <v>0.2</v>
      </c>
      <c r="AC581">
        <v>38.299999999999997</v>
      </c>
      <c r="AD581">
        <v>0</v>
      </c>
      <c r="AE581">
        <v>1.2779783393501807</v>
      </c>
      <c r="AF581">
        <v>0.51850180505415167</v>
      </c>
      <c r="AG581">
        <v>0.2</v>
      </c>
      <c r="AH581">
        <v>20.313850000000002</v>
      </c>
      <c r="AI581">
        <v>61</v>
      </c>
    </row>
    <row r="582" spans="1:36" x14ac:dyDescent="0.5">
      <c r="A582">
        <v>720</v>
      </c>
      <c r="B582">
        <v>200</v>
      </c>
      <c r="C582">
        <v>0.1</v>
      </c>
      <c r="D582">
        <v>65</v>
      </c>
      <c r="E582">
        <v>2000</v>
      </c>
      <c r="F582">
        <v>1300</v>
      </c>
      <c r="G582">
        <v>20</v>
      </c>
      <c r="K582">
        <v>43.9</v>
      </c>
      <c r="L582">
        <v>22.5</v>
      </c>
      <c r="M582">
        <v>25.1</v>
      </c>
      <c r="Q582">
        <v>48.9</v>
      </c>
      <c r="R582">
        <v>6.3</v>
      </c>
      <c r="S582">
        <v>0.1</v>
      </c>
      <c r="T582">
        <v>43.3</v>
      </c>
      <c r="U582">
        <v>0</v>
      </c>
      <c r="V582">
        <v>1.5460122699386503</v>
      </c>
      <c r="W582">
        <v>0.6641104294478527</v>
      </c>
      <c r="X582">
        <v>1.5</v>
      </c>
      <c r="Y582">
        <v>17.795550000000002</v>
      </c>
      <c r="Z582">
        <v>55</v>
      </c>
      <c r="AA582">
        <v>5.8</v>
      </c>
      <c r="AB582">
        <v>0.2</v>
      </c>
      <c r="AC582">
        <v>38.5</v>
      </c>
      <c r="AD582">
        <v>0</v>
      </c>
      <c r="AE582">
        <v>1.2654545454545454</v>
      </c>
      <c r="AF582">
        <v>0.52500000000000002</v>
      </c>
      <c r="AG582">
        <v>0.5</v>
      </c>
      <c r="AH582">
        <v>20.000149999999998</v>
      </c>
      <c r="AI582">
        <v>62</v>
      </c>
    </row>
    <row r="583" spans="1:36" x14ac:dyDescent="0.5">
      <c r="A583">
        <v>720</v>
      </c>
      <c r="B583">
        <v>200</v>
      </c>
      <c r="C583">
        <v>0.1</v>
      </c>
      <c r="D583">
        <v>65</v>
      </c>
      <c r="E583">
        <v>2000</v>
      </c>
      <c r="F583">
        <v>1300</v>
      </c>
      <c r="G583">
        <v>20</v>
      </c>
      <c r="K583">
        <v>39.6</v>
      </c>
      <c r="L583">
        <v>21.4</v>
      </c>
      <c r="M583">
        <v>29.2</v>
      </c>
      <c r="Q583">
        <v>50.2</v>
      </c>
      <c r="R583">
        <v>6</v>
      </c>
      <c r="S583">
        <v>0.2</v>
      </c>
      <c r="T583">
        <v>41.4</v>
      </c>
      <c r="U583">
        <v>0</v>
      </c>
      <c r="V583">
        <v>1.4342629482071712</v>
      </c>
      <c r="W583">
        <v>0.61852589641434252</v>
      </c>
      <c r="X583">
        <v>2.2000000000000002</v>
      </c>
      <c r="Y583">
        <v>18.145700000000001</v>
      </c>
      <c r="Z583">
        <v>56.2</v>
      </c>
      <c r="AA583">
        <v>5.9</v>
      </c>
      <c r="AB583">
        <v>0.2</v>
      </c>
      <c r="AC583">
        <v>36.299999999999997</v>
      </c>
      <c r="AD583">
        <v>0</v>
      </c>
      <c r="AE583">
        <v>1.2597864768683273</v>
      </c>
      <c r="AF583">
        <v>0.48443060498220636</v>
      </c>
      <c r="AG583">
        <v>1.4</v>
      </c>
      <c r="AH583">
        <v>20.941250000000004</v>
      </c>
      <c r="AI583">
        <v>62</v>
      </c>
    </row>
    <row r="584" spans="1:36" x14ac:dyDescent="0.5">
      <c r="A584">
        <v>720</v>
      </c>
      <c r="B584">
        <v>200</v>
      </c>
      <c r="C584">
        <v>0.1</v>
      </c>
      <c r="D584">
        <v>65</v>
      </c>
      <c r="E584">
        <v>2000</v>
      </c>
      <c r="F584">
        <v>1300</v>
      </c>
      <c r="G584">
        <v>20</v>
      </c>
      <c r="K584">
        <v>16.3</v>
      </c>
      <c r="L584">
        <v>20.6</v>
      </c>
      <c r="M584">
        <v>44.8</v>
      </c>
      <c r="Q584">
        <v>53.5</v>
      </c>
      <c r="R584">
        <v>5.9</v>
      </c>
      <c r="S584">
        <v>0.8</v>
      </c>
      <c r="T584">
        <v>32.4</v>
      </c>
      <c r="U584">
        <v>0</v>
      </c>
      <c r="V584">
        <v>1.3233644859813085</v>
      </c>
      <c r="W584">
        <v>0.45420560747663552</v>
      </c>
      <c r="X584">
        <v>7.4</v>
      </c>
      <c r="Y584">
        <v>20.724800000000002</v>
      </c>
      <c r="Z584">
        <v>58.9</v>
      </c>
      <c r="AA584">
        <v>5.8</v>
      </c>
      <c r="AB584">
        <v>0.7</v>
      </c>
      <c r="AC584">
        <v>26.6</v>
      </c>
      <c r="AD584">
        <v>0</v>
      </c>
      <c r="AE584">
        <v>1.1816638370118846</v>
      </c>
      <c r="AF584">
        <v>0.33870967741935487</v>
      </c>
      <c r="AG584">
        <v>8</v>
      </c>
      <c r="AH584">
        <v>23.442499999999999</v>
      </c>
      <c r="AI584">
        <v>64</v>
      </c>
    </row>
    <row r="585" spans="1:36" x14ac:dyDescent="0.5">
      <c r="A585">
        <v>30</v>
      </c>
      <c r="B585">
        <v>200</v>
      </c>
      <c r="C585">
        <v>2.5</v>
      </c>
      <c r="D585">
        <v>15</v>
      </c>
      <c r="E585">
        <v>500</v>
      </c>
      <c r="F585">
        <v>135</v>
      </c>
      <c r="G585">
        <v>9</v>
      </c>
      <c r="Q585">
        <v>40.299999999999997</v>
      </c>
      <c r="R585">
        <v>5.8</v>
      </c>
      <c r="S585">
        <v>4.7</v>
      </c>
      <c r="T585">
        <v>19.399999999999999</v>
      </c>
      <c r="U585">
        <v>0</v>
      </c>
      <c r="V585">
        <v>1.7270471464019852</v>
      </c>
      <c r="W585">
        <v>0.36104218362282881</v>
      </c>
      <c r="X585">
        <v>20</v>
      </c>
      <c r="Y585">
        <v>18</v>
      </c>
      <c r="Z585">
        <v>38.4</v>
      </c>
      <c r="AA585">
        <v>5.2</v>
      </c>
      <c r="AB585">
        <v>2.7</v>
      </c>
      <c r="AC585">
        <v>11.9</v>
      </c>
      <c r="AD585">
        <v>0</v>
      </c>
      <c r="AE585">
        <v>1.6250000000000002</v>
      </c>
      <c r="AF585">
        <v>0.23242187500000003</v>
      </c>
      <c r="AG585">
        <v>21</v>
      </c>
      <c r="AH585">
        <v>18.280650000000001</v>
      </c>
      <c r="AI585">
        <v>72.900000000000006</v>
      </c>
      <c r="AJ585" t="s">
        <v>156</v>
      </c>
    </row>
    <row r="586" spans="1:36" x14ac:dyDescent="0.5">
      <c r="A586">
        <v>60</v>
      </c>
      <c r="B586">
        <v>200</v>
      </c>
      <c r="C586">
        <v>2.5</v>
      </c>
      <c r="D586">
        <v>15</v>
      </c>
      <c r="E586">
        <v>500</v>
      </c>
      <c r="F586">
        <v>135</v>
      </c>
      <c r="G586">
        <v>9</v>
      </c>
      <c r="Q586">
        <v>40.299999999999997</v>
      </c>
      <c r="R586">
        <v>5.8</v>
      </c>
      <c r="S586">
        <v>4.7</v>
      </c>
      <c r="T586">
        <v>19.399999999999999</v>
      </c>
      <c r="U586">
        <v>0</v>
      </c>
      <c r="V586">
        <v>1.7270471464019852</v>
      </c>
      <c r="W586">
        <v>0.36104218362282881</v>
      </c>
      <c r="X586">
        <v>20</v>
      </c>
      <c r="Y586">
        <v>18</v>
      </c>
      <c r="Z586">
        <v>39</v>
      </c>
      <c r="AA586">
        <v>5.2</v>
      </c>
      <c r="AB586">
        <v>2.7</v>
      </c>
      <c r="AC586">
        <v>12</v>
      </c>
      <c r="AD586">
        <v>0</v>
      </c>
      <c r="AE586">
        <v>1.6</v>
      </c>
      <c r="AF586">
        <v>0.23076923076923078</v>
      </c>
      <c r="AG586">
        <v>22</v>
      </c>
      <c r="AH586">
        <v>18.465600000000002</v>
      </c>
      <c r="AI586">
        <v>64.5</v>
      </c>
    </row>
    <row r="587" spans="1:36" x14ac:dyDescent="0.5">
      <c r="A587">
        <v>120</v>
      </c>
      <c r="B587">
        <v>200</v>
      </c>
      <c r="C587">
        <v>2.5</v>
      </c>
      <c r="D587">
        <v>15</v>
      </c>
      <c r="E587">
        <v>500</v>
      </c>
      <c r="F587">
        <v>135</v>
      </c>
      <c r="G587">
        <v>9</v>
      </c>
      <c r="Q587">
        <v>40.299999999999997</v>
      </c>
      <c r="R587">
        <v>5.8</v>
      </c>
      <c r="S587">
        <v>4.7</v>
      </c>
      <c r="T587">
        <v>19.399999999999999</v>
      </c>
      <c r="U587">
        <v>0</v>
      </c>
      <c r="V587">
        <v>1.7270471464019852</v>
      </c>
      <c r="W587">
        <v>0.36104218362282881</v>
      </c>
      <c r="X587">
        <v>20</v>
      </c>
      <c r="Y587">
        <v>18</v>
      </c>
      <c r="Z587">
        <v>40.1</v>
      </c>
      <c r="AA587">
        <v>5.2</v>
      </c>
      <c r="AB587">
        <v>2.4</v>
      </c>
      <c r="AC587">
        <v>10.7</v>
      </c>
      <c r="AD587">
        <v>0</v>
      </c>
      <c r="AE587">
        <v>1.5561097256857854</v>
      </c>
      <c r="AF587">
        <v>0.20012468827930172</v>
      </c>
      <c r="AG587">
        <v>23</v>
      </c>
      <c r="AH587">
        <v>19.06945</v>
      </c>
      <c r="AI587">
        <v>56.8</v>
      </c>
    </row>
    <row r="588" spans="1:36" x14ac:dyDescent="0.5">
      <c r="A588">
        <v>30</v>
      </c>
      <c r="B588">
        <v>250</v>
      </c>
      <c r="C588">
        <v>2.5</v>
      </c>
      <c r="D588">
        <v>15</v>
      </c>
      <c r="E588">
        <v>500</v>
      </c>
      <c r="F588">
        <v>135</v>
      </c>
      <c r="G588">
        <v>9</v>
      </c>
      <c r="Q588">
        <v>40.299999999999997</v>
      </c>
      <c r="R588">
        <v>5.8</v>
      </c>
      <c r="S588">
        <v>4.7</v>
      </c>
      <c r="T588">
        <v>19.399999999999999</v>
      </c>
      <c r="U588">
        <v>0</v>
      </c>
      <c r="V588">
        <v>1.7270471464019852</v>
      </c>
      <c r="W588">
        <v>0.36104218362282881</v>
      </c>
      <c r="X588">
        <v>20</v>
      </c>
      <c r="Y588">
        <v>18</v>
      </c>
      <c r="Z588">
        <v>41.2</v>
      </c>
      <c r="AA588">
        <v>5.5</v>
      </c>
      <c r="AB588">
        <v>2</v>
      </c>
      <c r="AC588">
        <v>7.5</v>
      </c>
      <c r="AD588">
        <v>0</v>
      </c>
      <c r="AE588">
        <v>1.6019417475728155</v>
      </c>
      <c r="AF588">
        <v>0.13652912621359223</v>
      </c>
      <c r="AG588">
        <v>21</v>
      </c>
      <c r="AH588">
        <v>20.440850000000001</v>
      </c>
      <c r="AI588">
        <v>66</v>
      </c>
    </row>
    <row r="589" spans="1:36" x14ac:dyDescent="0.5">
      <c r="A589">
        <v>60</v>
      </c>
      <c r="B589">
        <v>250</v>
      </c>
      <c r="C589">
        <v>2.5</v>
      </c>
      <c r="D589">
        <v>15</v>
      </c>
      <c r="E589">
        <v>500</v>
      </c>
      <c r="F589">
        <v>135</v>
      </c>
      <c r="G589">
        <v>9</v>
      </c>
      <c r="Q589">
        <v>40.299999999999997</v>
      </c>
      <c r="R589">
        <v>5.8</v>
      </c>
      <c r="S589">
        <v>4.7</v>
      </c>
      <c r="T589">
        <v>19.399999999999999</v>
      </c>
      <c r="U589">
        <v>0</v>
      </c>
      <c r="V589">
        <v>1.7270471464019852</v>
      </c>
      <c r="W589">
        <v>0.36104218362282881</v>
      </c>
      <c r="X589">
        <v>20</v>
      </c>
      <c r="Y589">
        <v>18</v>
      </c>
      <c r="Z589">
        <v>39.5</v>
      </c>
      <c r="AA589">
        <v>5.0999999999999996</v>
      </c>
      <c r="AB589">
        <v>2</v>
      </c>
      <c r="AC589">
        <v>6.1</v>
      </c>
      <c r="AD589">
        <v>0</v>
      </c>
      <c r="AE589">
        <v>1.549367088607595</v>
      </c>
      <c r="AF589">
        <v>0.11582278481012658</v>
      </c>
      <c r="AG589">
        <v>22</v>
      </c>
      <c r="AH589">
        <v>19.54495</v>
      </c>
      <c r="AI589">
        <v>62.8</v>
      </c>
    </row>
    <row r="590" spans="1:36" x14ac:dyDescent="0.5">
      <c r="A590">
        <v>120</v>
      </c>
      <c r="B590">
        <v>250</v>
      </c>
      <c r="C590">
        <v>2.5</v>
      </c>
      <c r="D590">
        <v>15</v>
      </c>
      <c r="E590">
        <v>500</v>
      </c>
      <c r="F590">
        <v>135</v>
      </c>
      <c r="G590">
        <v>9</v>
      </c>
      <c r="Q590">
        <v>40.299999999999997</v>
      </c>
      <c r="R590">
        <v>5.8</v>
      </c>
      <c r="S590">
        <v>4.7</v>
      </c>
      <c r="T590">
        <v>19.399999999999999</v>
      </c>
      <c r="U590">
        <v>0</v>
      </c>
      <c r="V590">
        <v>1.7270471464019852</v>
      </c>
      <c r="W590">
        <v>0.36104218362282881</v>
      </c>
      <c r="X590">
        <v>20</v>
      </c>
      <c r="Y590">
        <v>18</v>
      </c>
      <c r="Z590">
        <v>39.6</v>
      </c>
      <c r="AA590">
        <v>5.0999999999999996</v>
      </c>
      <c r="AB590">
        <v>2.2999999999999998</v>
      </c>
      <c r="AC590">
        <v>6.9</v>
      </c>
      <c r="AD590">
        <v>0</v>
      </c>
      <c r="AE590">
        <v>1.5454545454545452</v>
      </c>
      <c r="AF590">
        <v>0.13068181818181818</v>
      </c>
      <c r="AG590">
        <v>20</v>
      </c>
      <c r="AH590">
        <v>19.435950000000002</v>
      </c>
      <c r="AI590">
        <v>54.7</v>
      </c>
    </row>
    <row r="591" spans="1:36" x14ac:dyDescent="0.5">
      <c r="A591">
        <v>30</v>
      </c>
      <c r="B591">
        <v>300</v>
      </c>
      <c r="C591">
        <v>2.5</v>
      </c>
      <c r="D591">
        <v>15</v>
      </c>
      <c r="E591">
        <v>500</v>
      </c>
      <c r="F591">
        <v>135</v>
      </c>
      <c r="G591">
        <v>9</v>
      </c>
      <c r="Q591">
        <v>40.299999999999997</v>
      </c>
      <c r="R591">
        <v>5.8</v>
      </c>
      <c r="S591">
        <v>4.7</v>
      </c>
      <c r="T591">
        <v>19.399999999999999</v>
      </c>
      <c r="U591">
        <v>0</v>
      </c>
      <c r="V591">
        <v>1.7270471464019852</v>
      </c>
      <c r="W591">
        <v>0.36104218362282881</v>
      </c>
      <c r="X591">
        <v>20</v>
      </c>
      <c r="Y591">
        <v>18</v>
      </c>
      <c r="Z591">
        <v>42.4</v>
      </c>
      <c r="AA591">
        <v>5.6</v>
      </c>
      <c r="AB591">
        <v>1.9</v>
      </c>
      <c r="AC591">
        <v>4.5</v>
      </c>
      <c r="AD591">
        <v>0</v>
      </c>
      <c r="AE591">
        <v>1.5849056603773584</v>
      </c>
      <c r="AF591">
        <v>7.9599056603773588E-2</v>
      </c>
      <c r="AG591">
        <v>22</v>
      </c>
      <c r="AH591">
        <v>21.524750000000001</v>
      </c>
      <c r="AI591">
        <v>63.9</v>
      </c>
    </row>
    <row r="592" spans="1:36" x14ac:dyDescent="0.5">
      <c r="A592">
        <v>60</v>
      </c>
      <c r="B592">
        <v>300</v>
      </c>
      <c r="C592">
        <v>2.5</v>
      </c>
      <c r="D592">
        <v>15</v>
      </c>
      <c r="E592">
        <v>500</v>
      </c>
      <c r="F592">
        <v>135</v>
      </c>
      <c r="G592">
        <v>9</v>
      </c>
      <c r="Q592">
        <v>40.299999999999997</v>
      </c>
      <c r="R592">
        <v>5.8</v>
      </c>
      <c r="S592">
        <v>4.7</v>
      </c>
      <c r="T592">
        <v>19.399999999999999</v>
      </c>
      <c r="U592">
        <v>0</v>
      </c>
      <c r="V592">
        <v>1.7270471464019852</v>
      </c>
      <c r="W592">
        <v>0.36104218362282881</v>
      </c>
      <c r="X592">
        <v>20</v>
      </c>
      <c r="Y592">
        <v>18</v>
      </c>
      <c r="Z592">
        <v>40.1</v>
      </c>
      <c r="AA592">
        <v>5.2</v>
      </c>
      <c r="AB592">
        <v>1.9</v>
      </c>
      <c r="AC592">
        <v>6.9</v>
      </c>
      <c r="AD592">
        <v>0</v>
      </c>
      <c r="AE592">
        <v>1.5561097256857854</v>
      </c>
      <c r="AF592">
        <v>0.12905236907730674</v>
      </c>
      <c r="AG592">
        <v>24</v>
      </c>
      <c r="AH592">
        <v>19.74775</v>
      </c>
      <c r="AI592">
        <v>58.3</v>
      </c>
    </row>
    <row r="593" spans="1:36" x14ac:dyDescent="0.5">
      <c r="A593">
        <v>120</v>
      </c>
      <c r="B593">
        <v>300</v>
      </c>
      <c r="C593">
        <v>2.5</v>
      </c>
      <c r="D593">
        <v>15</v>
      </c>
      <c r="E593">
        <v>500</v>
      </c>
      <c r="F593">
        <v>135</v>
      </c>
      <c r="G593">
        <v>9</v>
      </c>
      <c r="Q593">
        <v>40.299999999999997</v>
      </c>
      <c r="R593">
        <v>5.8</v>
      </c>
      <c r="S593">
        <v>4.7</v>
      </c>
      <c r="T593">
        <v>19.399999999999999</v>
      </c>
      <c r="U593">
        <v>0</v>
      </c>
      <c r="V593">
        <v>1.7270471464019852</v>
      </c>
      <c r="W593">
        <v>0.36104218362282881</v>
      </c>
      <c r="X593">
        <v>20</v>
      </c>
      <c r="Y593">
        <v>18</v>
      </c>
      <c r="Z593">
        <v>40.700000000000003</v>
      </c>
      <c r="AA593">
        <v>5.0999999999999996</v>
      </c>
      <c r="AB593">
        <v>1.9</v>
      </c>
      <c r="AC593">
        <v>4.4000000000000004</v>
      </c>
      <c r="AD593">
        <v>0</v>
      </c>
      <c r="AE593">
        <v>1.5036855036855035</v>
      </c>
      <c r="AF593">
        <v>8.1081081081081072E-2</v>
      </c>
      <c r="AG593">
        <v>25</v>
      </c>
      <c r="AH593">
        <v>20.254000000000001</v>
      </c>
      <c r="AI593">
        <v>48.9</v>
      </c>
    </row>
    <row r="594" spans="1:36" x14ac:dyDescent="0.5">
      <c r="A594">
        <v>30</v>
      </c>
      <c r="B594">
        <v>175</v>
      </c>
      <c r="C594">
        <v>0.1</v>
      </c>
      <c r="D594">
        <v>15</v>
      </c>
      <c r="E594">
        <v>500</v>
      </c>
      <c r="F594">
        <v>135</v>
      </c>
      <c r="G594">
        <v>9</v>
      </c>
      <c r="O594">
        <v>61.6</v>
      </c>
      <c r="P594">
        <v>30.3</v>
      </c>
      <c r="Q594">
        <v>46.7</v>
      </c>
      <c r="R594">
        <v>5.15</v>
      </c>
      <c r="S594">
        <v>2.15</v>
      </c>
      <c r="T594">
        <v>37.76</v>
      </c>
      <c r="U594">
        <v>0.16</v>
      </c>
      <c r="V594">
        <v>1.3233404710920771</v>
      </c>
      <c r="W594">
        <v>0.60642398286937893</v>
      </c>
      <c r="X594">
        <v>8.1</v>
      </c>
      <c r="Y594">
        <v>18.3</v>
      </c>
      <c r="Z594">
        <v>53.28</v>
      </c>
      <c r="AA594">
        <v>5.56</v>
      </c>
      <c r="AB594">
        <v>2.67</v>
      </c>
      <c r="AC594">
        <v>32.549999999999997</v>
      </c>
      <c r="AD594">
        <v>0.12</v>
      </c>
      <c r="AE594">
        <v>1.2522522522522521</v>
      </c>
      <c r="AF594">
        <v>0.45819256756756749</v>
      </c>
      <c r="AG594">
        <v>5.8</v>
      </c>
      <c r="AH594">
        <v>21.6</v>
      </c>
      <c r="AI594">
        <v>47</v>
      </c>
      <c r="AJ594" t="s">
        <v>158</v>
      </c>
    </row>
    <row r="595" spans="1:36" x14ac:dyDescent="0.5">
      <c r="A595">
        <v>15</v>
      </c>
      <c r="B595">
        <v>200</v>
      </c>
      <c r="C595">
        <v>0.1</v>
      </c>
      <c r="D595">
        <v>15</v>
      </c>
      <c r="E595">
        <v>500</v>
      </c>
      <c r="F595">
        <v>135</v>
      </c>
      <c r="G595">
        <v>9</v>
      </c>
      <c r="O595">
        <v>61.6</v>
      </c>
      <c r="P595">
        <v>30.3</v>
      </c>
      <c r="Q595">
        <v>46.7</v>
      </c>
      <c r="R595">
        <v>5.15</v>
      </c>
      <c r="S595">
        <v>2.15</v>
      </c>
      <c r="T595">
        <v>37.76</v>
      </c>
      <c r="U595">
        <v>0.16</v>
      </c>
      <c r="V595">
        <v>1.3233404710920771</v>
      </c>
      <c r="W595">
        <v>0.60642398286937893</v>
      </c>
      <c r="X595">
        <v>8.1</v>
      </c>
      <c r="Y595">
        <v>18.3</v>
      </c>
      <c r="Z595">
        <v>58.21</v>
      </c>
      <c r="AA595">
        <v>5.15</v>
      </c>
      <c r="AB595">
        <v>3.01</v>
      </c>
      <c r="AC595">
        <v>28.08</v>
      </c>
      <c r="AD595">
        <v>0.14000000000000001</v>
      </c>
      <c r="AE595">
        <v>1.0616732520185537</v>
      </c>
      <c r="AF595">
        <v>0.36179350627040024</v>
      </c>
      <c r="AG595">
        <v>5.4</v>
      </c>
      <c r="AH595">
        <v>23.3</v>
      </c>
      <c r="AI595">
        <v>57.1</v>
      </c>
    </row>
    <row r="596" spans="1:36" x14ac:dyDescent="0.5">
      <c r="A596">
        <v>30</v>
      </c>
      <c r="B596">
        <v>200</v>
      </c>
      <c r="C596">
        <v>0.1</v>
      </c>
      <c r="D596">
        <v>15</v>
      </c>
      <c r="E596">
        <v>500</v>
      </c>
      <c r="F596">
        <v>135</v>
      </c>
      <c r="G596">
        <v>9</v>
      </c>
      <c r="O596">
        <v>61.6</v>
      </c>
      <c r="P596">
        <v>30.3</v>
      </c>
      <c r="Q596">
        <v>46.7</v>
      </c>
      <c r="R596">
        <v>5.15</v>
      </c>
      <c r="S596">
        <v>2.15</v>
      </c>
      <c r="T596">
        <v>37.76</v>
      </c>
      <c r="U596">
        <v>0.16</v>
      </c>
      <c r="V596">
        <v>1.3233404710920771</v>
      </c>
      <c r="W596">
        <v>0.60642398286937893</v>
      </c>
      <c r="X596">
        <v>8.1</v>
      </c>
      <c r="Y596">
        <v>18.3</v>
      </c>
      <c r="Z596">
        <v>60.28</v>
      </c>
      <c r="AA596">
        <v>5.48</v>
      </c>
      <c r="AB596">
        <v>2.92</v>
      </c>
      <c r="AC596">
        <v>26.28</v>
      </c>
      <c r="AD596">
        <v>0.12</v>
      </c>
      <c r="AE596">
        <v>1.0909090909090911</v>
      </c>
      <c r="AF596">
        <v>0.32697412076974119</v>
      </c>
      <c r="AG596">
        <v>4.9000000000000004</v>
      </c>
      <c r="AH596">
        <v>24.7</v>
      </c>
      <c r="AI596">
        <v>59.8</v>
      </c>
    </row>
    <row r="597" spans="1:36" x14ac:dyDescent="0.5">
      <c r="A597">
        <v>60</v>
      </c>
      <c r="B597">
        <v>200</v>
      </c>
      <c r="C597">
        <v>0.1</v>
      </c>
      <c r="D597">
        <v>15</v>
      </c>
      <c r="E597">
        <v>500</v>
      </c>
      <c r="F597">
        <v>135</v>
      </c>
      <c r="G597">
        <v>9</v>
      </c>
      <c r="O597">
        <v>61.6</v>
      </c>
      <c r="P597">
        <v>30.3</v>
      </c>
      <c r="Q597">
        <v>46.7</v>
      </c>
      <c r="R597">
        <v>5.15</v>
      </c>
      <c r="S597">
        <v>2.15</v>
      </c>
      <c r="T597">
        <v>37.76</v>
      </c>
      <c r="U597">
        <v>0.16</v>
      </c>
      <c r="V597">
        <v>1.3233404710920771</v>
      </c>
      <c r="W597">
        <v>0.60642398286937893</v>
      </c>
      <c r="X597">
        <v>8.1</v>
      </c>
      <c r="Y597">
        <v>18.3</v>
      </c>
      <c r="Z597">
        <v>59.81</v>
      </c>
      <c r="AA597">
        <v>5.22</v>
      </c>
      <c r="AB597">
        <v>2.85</v>
      </c>
      <c r="AC597">
        <v>26.23</v>
      </c>
      <c r="AD597">
        <v>0.09</v>
      </c>
      <c r="AE597">
        <v>1.0473165022571476</v>
      </c>
      <c r="AF597">
        <v>0.32891656913559603</v>
      </c>
      <c r="AG597">
        <v>5.8</v>
      </c>
      <c r="AH597">
        <v>24.2</v>
      </c>
      <c r="AI597">
        <v>65.8</v>
      </c>
    </row>
    <row r="598" spans="1:36" x14ac:dyDescent="0.5">
      <c r="A598">
        <v>120</v>
      </c>
      <c r="B598">
        <v>200</v>
      </c>
      <c r="C598">
        <v>0.1</v>
      </c>
      <c r="D598">
        <v>15</v>
      </c>
      <c r="E598">
        <v>500</v>
      </c>
      <c r="F598">
        <v>135</v>
      </c>
      <c r="G598">
        <v>9</v>
      </c>
      <c r="O598">
        <v>61.6</v>
      </c>
      <c r="P598">
        <v>30.3</v>
      </c>
      <c r="Q598">
        <v>46.7</v>
      </c>
      <c r="R598">
        <v>5.15</v>
      </c>
      <c r="S598">
        <v>2.15</v>
      </c>
      <c r="T598">
        <v>37.76</v>
      </c>
      <c r="U598">
        <v>0.16</v>
      </c>
      <c r="V598">
        <v>1.3233404710920771</v>
      </c>
      <c r="W598">
        <v>0.60642398286937893</v>
      </c>
      <c r="X598">
        <v>8.1</v>
      </c>
      <c r="Y598">
        <v>18.3</v>
      </c>
      <c r="Z598">
        <v>61.97</v>
      </c>
      <c r="AA598">
        <v>5.31</v>
      </c>
      <c r="AB598">
        <v>2.73</v>
      </c>
      <c r="AC598">
        <v>25.36</v>
      </c>
      <c r="AD598">
        <v>0.1</v>
      </c>
      <c r="AE598">
        <v>1.0282394707116347</v>
      </c>
      <c r="AF598">
        <v>0.30692270453445214</v>
      </c>
      <c r="AG598">
        <v>4.5</v>
      </c>
      <c r="AH598">
        <v>25.1</v>
      </c>
      <c r="AI598">
        <v>69.8</v>
      </c>
    </row>
    <row r="599" spans="1:36" x14ac:dyDescent="0.5">
      <c r="A599">
        <v>30</v>
      </c>
      <c r="B599">
        <v>225</v>
      </c>
      <c r="C599">
        <v>0.1</v>
      </c>
      <c r="D599">
        <v>15</v>
      </c>
      <c r="E599">
        <v>500</v>
      </c>
      <c r="F599">
        <v>135</v>
      </c>
      <c r="G599">
        <v>9</v>
      </c>
      <c r="O599">
        <v>61.6</v>
      </c>
      <c r="P599">
        <v>30.3</v>
      </c>
      <c r="Q599">
        <v>46.7</v>
      </c>
      <c r="R599">
        <v>5.15</v>
      </c>
      <c r="S599">
        <v>2.15</v>
      </c>
      <c r="T599">
        <v>37.76</v>
      </c>
      <c r="U599">
        <v>0.16</v>
      </c>
      <c r="V599">
        <v>1.3233404710920771</v>
      </c>
      <c r="W599">
        <v>0.60642398286937893</v>
      </c>
      <c r="X599">
        <v>8.1</v>
      </c>
      <c r="Y599">
        <v>18.3</v>
      </c>
      <c r="Z599">
        <v>61.46</v>
      </c>
      <c r="AA599">
        <v>5.23</v>
      </c>
      <c r="AB599">
        <v>2.82</v>
      </c>
      <c r="AC599">
        <v>26.45</v>
      </c>
      <c r="AD599">
        <v>0.14000000000000001</v>
      </c>
      <c r="AE599">
        <v>1.0211519687601691</v>
      </c>
      <c r="AF599">
        <v>0.32277090790758212</v>
      </c>
      <c r="AG599">
        <v>3.9</v>
      </c>
      <c r="AH599">
        <v>24.8</v>
      </c>
      <c r="AI599">
        <v>60.7</v>
      </c>
    </row>
    <row r="600" spans="1:36" x14ac:dyDescent="0.5">
      <c r="A600">
        <v>30</v>
      </c>
      <c r="B600">
        <v>250</v>
      </c>
      <c r="C600">
        <v>0.1</v>
      </c>
      <c r="D600">
        <v>15</v>
      </c>
      <c r="E600">
        <v>500</v>
      </c>
      <c r="F600">
        <v>135</v>
      </c>
      <c r="G600">
        <v>9</v>
      </c>
      <c r="O600">
        <v>61.6</v>
      </c>
      <c r="P600">
        <v>30.3</v>
      </c>
      <c r="Q600">
        <v>46.7</v>
      </c>
      <c r="R600">
        <v>5.15</v>
      </c>
      <c r="S600">
        <v>2.15</v>
      </c>
      <c r="T600">
        <v>37.76</v>
      </c>
      <c r="U600">
        <v>0.16</v>
      </c>
      <c r="V600">
        <v>1.3233404710920771</v>
      </c>
      <c r="W600">
        <v>0.60642398286937893</v>
      </c>
      <c r="X600">
        <v>8.1</v>
      </c>
      <c r="Y600">
        <v>18.3</v>
      </c>
      <c r="Z600">
        <v>65.41</v>
      </c>
      <c r="AA600">
        <v>5.22</v>
      </c>
      <c r="AB600">
        <v>3.11</v>
      </c>
      <c r="AC600">
        <v>21.24</v>
      </c>
      <c r="AD600">
        <v>0.15</v>
      </c>
      <c r="AE600">
        <v>0.95765173520868374</v>
      </c>
      <c r="AF600">
        <v>0.24354074300565665</v>
      </c>
      <c r="AG600">
        <v>4.8</v>
      </c>
      <c r="AH600">
        <v>26.7</v>
      </c>
      <c r="AI600">
        <v>63.5</v>
      </c>
    </row>
    <row r="601" spans="1:36" x14ac:dyDescent="0.5">
      <c r="A601">
        <v>30</v>
      </c>
      <c r="B601">
        <v>175</v>
      </c>
      <c r="C601">
        <v>0.1</v>
      </c>
      <c r="D601">
        <v>15</v>
      </c>
      <c r="E601">
        <v>500</v>
      </c>
      <c r="F601">
        <v>135</v>
      </c>
      <c r="G601">
        <v>9</v>
      </c>
      <c r="O601">
        <v>69.599999999999994</v>
      </c>
      <c r="P601">
        <v>22.3</v>
      </c>
      <c r="Q601">
        <v>45.95</v>
      </c>
      <c r="R601">
        <v>6.45</v>
      </c>
      <c r="S601">
        <v>2.68</v>
      </c>
      <c r="T601">
        <v>36.56</v>
      </c>
      <c r="U601">
        <v>0.32</v>
      </c>
      <c r="V601">
        <v>1.6844396082698585</v>
      </c>
      <c r="W601">
        <v>0.59673558215451572</v>
      </c>
      <c r="X601">
        <v>8</v>
      </c>
      <c r="Y601">
        <v>19.7</v>
      </c>
      <c r="Z601">
        <v>51.26</v>
      </c>
      <c r="AA601">
        <v>6.17</v>
      </c>
      <c r="AB601">
        <v>2.78</v>
      </c>
      <c r="AC601">
        <v>32.86</v>
      </c>
      <c r="AD601">
        <v>0.26</v>
      </c>
      <c r="AE601">
        <v>1.4444010924697621</v>
      </c>
      <c r="AF601">
        <v>0.48078423722200547</v>
      </c>
      <c r="AG601">
        <v>6.7</v>
      </c>
      <c r="AH601">
        <v>21.6</v>
      </c>
      <c r="AI601">
        <v>43</v>
      </c>
    </row>
    <row r="602" spans="1:36" x14ac:dyDescent="0.5">
      <c r="A602">
        <v>15</v>
      </c>
      <c r="B602">
        <v>200</v>
      </c>
      <c r="C602">
        <v>0.1</v>
      </c>
      <c r="D602">
        <v>15</v>
      </c>
      <c r="E602">
        <v>500</v>
      </c>
      <c r="F602">
        <v>135</v>
      </c>
      <c r="G602">
        <v>9</v>
      </c>
      <c r="O602">
        <v>69.599999999999994</v>
      </c>
      <c r="P602">
        <v>22.3</v>
      </c>
      <c r="Q602">
        <v>45.95</v>
      </c>
      <c r="R602">
        <v>6.45</v>
      </c>
      <c r="S602">
        <v>2.68</v>
      </c>
      <c r="T602">
        <v>36.56</v>
      </c>
      <c r="U602">
        <v>0.32</v>
      </c>
      <c r="V602">
        <v>1.6844396082698585</v>
      </c>
      <c r="W602">
        <v>0.59673558215451572</v>
      </c>
      <c r="X602">
        <v>8</v>
      </c>
      <c r="Y602">
        <v>19.7</v>
      </c>
      <c r="Z602">
        <v>54.08</v>
      </c>
      <c r="AA602">
        <v>6.42</v>
      </c>
      <c r="AB602">
        <v>2.77</v>
      </c>
      <c r="AC602">
        <v>30.04</v>
      </c>
      <c r="AD602">
        <v>0.26</v>
      </c>
      <c r="AE602">
        <v>1.4245562130177514</v>
      </c>
      <c r="AF602">
        <v>0.41660502958579881</v>
      </c>
      <c r="AG602">
        <v>6.4</v>
      </c>
      <c r="AH602">
        <v>23.2</v>
      </c>
      <c r="AI602">
        <v>47.7</v>
      </c>
    </row>
    <row r="603" spans="1:36" x14ac:dyDescent="0.5">
      <c r="A603">
        <v>30</v>
      </c>
      <c r="B603">
        <v>200</v>
      </c>
      <c r="C603">
        <v>0.1</v>
      </c>
      <c r="D603">
        <v>15</v>
      </c>
      <c r="E603">
        <v>500</v>
      </c>
      <c r="F603">
        <v>135</v>
      </c>
      <c r="G603">
        <v>9</v>
      </c>
      <c r="O603">
        <v>69.599999999999994</v>
      </c>
      <c r="P603">
        <v>22.3</v>
      </c>
      <c r="Q603">
        <v>45.95</v>
      </c>
      <c r="R603">
        <v>6.45</v>
      </c>
      <c r="S603">
        <v>2.68</v>
      </c>
      <c r="T603">
        <v>36.56</v>
      </c>
      <c r="U603">
        <v>0.32</v>
      </c>
      <c r="V603">
        <v>1.6844396082698585</v>
      </c>
      <c r="W603">
        <v>0.59673558215451572</v>
      </c>
      <c r="X603">
        <v>8</v>
      </c>
      <c r="Y603">
        <v>19.7</v>
      </c>
      <c r="Z603">
        <v>57.55</v>
      </c>
      <c r="AA603">
        <v>6.13</v>
      </c>
      <c r="AB603">
        <v>2.75</v>
      </c>
      <c r="AC603">
        <v>27.31</v>
      </c>
      <c r="AD603">
        <v>0.23</v>
      </c>
      <c r="AE603">
        <v>1.2781928757602086</v>
      </c>
      <c r="AF603">
        <v>0.35590790616854906</v>
      </c>
      <c r="AG603">
        <v>6</v>
      </c>
      <c r="AH603">
        <v>24.4</v>
      </c>
      <c r="AI603">
        <v>54.3</v>
      </c>
    </row>
    <row r="604" spans="1:36" x14ac:dyDescent="0.5">
      <c r="A604">
        <v>60</v>
      </c>
      <c r="B604">
        <v>200</v>
      </c>
      <c r="C604">
        <v>0.1</v>
      </c>
      <c r="D604">
        <v>15</v>
      </c>
      <c r="E604">
        <v>500</v>
      </c>
      <c r="F604">
        <v>135</v>
      </c>
      <c r="G604">
        <v>9</v>
      </c>
      <c r="O604">
        <v>69.599999999999994</v>
      </c>
      <c r="P604">
        <v>22.3</v>
      </c>
      <c r="Q604">
        <v>45.95</v>
      </c>
      <c r="R604">
        <v>6.45</v>
      </c>
      <c r="S604">
        <v>2.68</v>
      </c>
      <c r="T604">
        <v>36.56</v>
      </c>
      <c r="U604">
        <v>0.32</v>
      </c>
      <c r="V604">
        <v>1.6844396082698585</v>
      </c>
      <c r="W604">
        <v>0.59673558215451572</v>
      </c>
      <c r="X604">
        <v>8</v>
      </c>
      <c r="Y604">
        <v>19.7</v>
      </c>
      <c r="Z604">
        <v>57.57</v>
      </c>
      <c r="AA604">
        <v>6.65</v>
      </c>
      <c r="AB604">
        <v>2.83</v>
      </c>
      <c r="AC604">
        <v>26.67</v>
      </c>
      <c r="AD604">
        <v>0.24</v>
      </c>
      <c r="AE604">
        <v>1.386138613861386</v>
      </c>
      <c r="AF604">
        <v>0.34744658676393952</v>
      </c>
      <c r="AG604">
        <v>6.1</v>
      </c>
      <c r="AH604">
        <v>25.1</v>
      </c>
      <c r="AI604">
        <v>55</v>
      </c>
    </row>
    <row r="605" spans="1:36" x14ac:dyDescent="0.5">
      <c r="A605">
        <v>120</v>
      </c>
      <c r="B605">
        <v>200</v>
      </c>
      <c r="C605">
        <v>0.1</v>
      </c>
      <c r="D605">
        <v>15</v>
      </c>
      <c r="E605">
        <v>500</v>
      </c>
      <c r="F605">
        <v>135</v>
      </c>
      <c r="G605">
        <v>9</v>
      </c>
      <c r="O605">
        <v>69.599999999999994</v>
      </c>
      <c r="P605">
        <v>22.3</v>
      </c>
      <c r="Q605">
        <v>45.95</v>
      </c>
      <c r="R605">
        <v>6.45</v>
      </c>
      <c r="S605">
        <v>2.68</v>
      </c>
      <c r="T605">
        <v>36.56</v>
      </c>
      <c r="U605">
        <v>0.32</v>
      </c>
      <c r="V605">
        <v>1.6844396082698585</v>
      </c>
      <c r="W605">
        <v>0.59673558215451572</v>
      </c>
      <c r="X605">
        <v>8</v>
      </c>
      <c r="Y605">
        <v>19.7</v>
      </c>
      <c r="Z605">
        <v>60.36</v>
      </c>
      <c r="AA605">
        <v>6.25</v>
      </c>
      <c r="AB605">
        <v>2.58</v>
      </c>
      <c r="AC605">
        <v>24.27</v>
      </c>
      <c r="AD605">
        <v>0.24</v>
      </c>
      <c r="AE605">
        <v>1.242544731610338</v>
      </c>
      <c r="AF605">
        <v>0.301565606361829</v>
      </c>
      <c r="AG605">
        <v>6.3</v>
      </c>
      <c r="AH605">
        <v>25.8</v>
      </c>
      <c r="AI605">
        <v>55.6</v>
      </c>
    </row>
    <row r="606" spans="1:36" x14ac:dyDescent="0.5">
      <c r="A606">
        <v>30</v>
      </c>
      <c r="B606">
        <v>225</v>
      </c>
      <c r="C606">
        <v>0.1</v>
      </c>
      <c r="D606">
        <v>15</v>
      </c>
      <c r="E606">
        <v>500</v>
      </c>
      <c r="F606">
        <v>135</v>
      </c>
      <c r="G606">
        <v>9</v>
      </c>
      <c r="O606">
        <v>69.599999999999994</v>
      </c>
      <c r="P606">
        <v>22.3</v>
      </c>
      <c r="Q606">
        <v>45.95</v>
      </c>
      <c r="R606">
        <v>6.45</v>
      </c>
      <c r="S606">
        <v>2.68</v>
      </c>
      <c r="T606">
        <v>36.56</v>
      </c>
      <c r="U606">
        <v>0.32</v>
      </c>
      <c r="V606">
        <v>1.6844396082698585</v>
      </c>
      <c r="W606">
        <v>0.59673558215451572</v>
      </c>
      <c r="X606">
        <v>8</v>
      </c>
      <c r="Y606">
        <v>19.7</v>
      </c>
      <c r="Z606">
        <v>58.93</v>
      </c>
      <c r="AA606">
        <v>6.28</v>
      </c>
      <c r="AB606">
        <v>2.68</v>
      </c>
      <c r="AC606">
        <v>29.73</v>
      </c>
      <c r="AD606">
        <v>0.22</v>
      </c>
      <c r="AE606">
        <v>1.2788053622942475</v>
      </c>
      <c r="AF606">
        <v>0.37837264551162392</v>
      </c>
      <c r="AG606">
        <v>6.5</v>
      </c>
      <c r="AH606">
        <v>25.3</v>
      </c>
      <c r="AI606">
        <v>58.2</v>
      </c>
    </row>
    <row r="607" spans="1:36" x14ac:dyDescent="0.5">
      <c r="A607">
        <v>30</v>
      </c>
      <c r="B607">
        <v>250</v>
      </c>
      <c r="C607">
        <v>0.1</v>
      </c>
      <c r="D607">
        <v>15</v>
      </c>
      <c r="E607">
        <v>500</v>
      </c>
      <c r="F607">
        <v>135</v>
      </c>
      <c r="G607">
        <v>9</v>
      </c>
      <c r="O607">
        <v>69.599999999999994</v>
      </c>
      <c r="P607">
        <v>22.3</v>
      </c>
      <c r="Q607">
        <v>45.95</v>
      </c>
      <c r="R607">
        <v>6.45</v>
      </c>
      <c r="S607">
        <v>2.68</v>
      </c>
      <c r="T607">
        <v>36.56</v>
      </c>
      <c r="U607">
        <v>0.32</v>
      </c>
      <c r="V607">
        <v>1.6844396082698585</v>
      </c>
      <c r="W607">
        <v>0.59673558215451572</v>
      </c>
      <c r="X607">
        <v>8</v>
      </c>
      <c r="Y607">
        <v>19.7</v>
      </c>
      <c r="Z607">
        <v>63.75</v>
      </c>
      <c r="AA607">
        <v>6.09</v>
      </c>
      <c r="AB607">
        <v>3.58</v>
      </c>
      <c r="AC607">
        <v>18.57</v>
      </c>
      <c r="AD607">
        <v>0.25</v>
      </c>
      <c r="AE607">
        <v>1.1463529411764706</v>
      </c>
      <c r="AF607">
        <v>0.21847058823529411</v>
      </c>
      <c r="AG607">
        <v>7.5</v>
      </c>
      <c r="AH607">
        <v>27.3</v>
      </c>
      <c r="AI607">
        <v>47.9</v>
      </c>
    </row>
    <row r="608" spans="1:36" x14ac:dyDescent="0.5">
      <c r="A608">
        <v>60</v>
      </c>
      <c r="B608">
        <v>200</v>
      </c>
      <c r="C608">
        <v>0.1</v>
      </c>
      <c r="D608">
        <v>10</v>
      </c>
      <c r="E608">
        <v>250</v>
      </c>
      <c r="F608">
        <v>70</v>
      </c>
      <c r="G608">
        <v>7</v>
      </c>
      <c r="Q608">
        <v>46.46</v>
      </c>
      <c r="R608">
        <v>6.03</v>
      </c>
      <c r="S608">
        <v>0.1</v>
      </c>
      <c r="T608">
        <v>47.38</v>
      </c>
      <c r="U608">
        <v>0</v>
      </c>
      <c r="V608">
        <v>1.5574687903572968</v>
      </c>
      <c r="W608">
        <v>0.76485148514851486</v>
      </c>
      <c r="X608">
        <v>10</v>
      </c>
      <c r="Y608">
        <v>18.329999999999998</v>
      </c>
      <c r="Z608">
        <v>47.59</v>
      </c>
      <c r="AA608">
        <v>4.87</v>
      </c>
      <c r="AB608">
        <v>0.02</v>
      </c>
      <c r="AC608">
        <v>15.57</v>
      </c>
      <c r="AD608">
        <v>0</v>
      </c>
      <c r="AE608">
        <v>1.2279890733347341</v>
      </c>
      <c r="AF608">
        <v>0.24537718007984868</v>
      </c>
      <c r="AH608">
        <v>21.03</v>
      </c>
      <c r="AI608">
        <v>77.8</v>
      </c>
      <c r="AJ608" t="s">
        <v>160</v>
      </c>
    </row>
    <row r="609" spans="1:36" x14ac:dyDescent="0.5">
      <c r="A609">
        <v>60</v>
      </c>
      <c r="B609">
        <v>220</v>
      </c>
      <c r="C609">
        <v>0.1</v>
      </c>
      <c r="D609">
        <v>10</v>
      </c>
      <c r="E609">
        <v>250</v>
      </c>
      <c r="F609">
        <v>70</v>
      </c>
      <c r="G609">
        <v>7</v>
      </c>
      <c r="Q609">
        <v>46.46</v>
      </c>
      <c r="R609">
        <v>6.03</v>
      </c>
      <c r="S609">
        <v>0.1</v>
      </c>
      <c r="T609">
        <v>47.38</v>
      </c>
      <c r="U609">
        <v>0</v>
      </c>
      <c r="V609">
        <v>1.5574687903572968</v>
      </c>
      <c r="W609">
        <v>0.76485148514851486</v>
      </c>
      <c r="X609">
        <v>10</v>
      </c>
      <c r="Y609">
        <v>18.329999999999998</v>
      </c>
      <c r="Z609">
        <v>58.04</v>
      </c>
      <c r="AA609">
        <v>5.1100000000000003</v>
      </c>
      <c r="AB609">
        <v>0.02</v>
      </c>
      <c r="AC609">
        <v>9</v>
      </c>
      <c r="AD609">
        <v>0</v>
      </c>
      <c r="AE609">
        <v>1.0565127498277052</v>
      </c>
      <c r="AF609">
        <v>0.11629910406616126</v>
      </c>
      <c r="AH609">
        <v>25.69</v>
      </c>
      <c r="AI609">
        <v>75.989999999999995</v>
      </c>
    </row>
    <row r="610" spans="1:36" x14ac:dyDescent="0.5">
      <c r="A610">
        <v>60</v>
      </c>
      <c r="B610">
        <v>240</v>
      </c>
      <c r="C610">
        <v>0.1</v>
      </c>
      <c r="D610">
        <v>10</v>
      </c>
      <c r="E610">
        <v>250</v>
      </c>
      <c r="F610">
        <v>70</v>
      </c>
      <c r="G610">
        <v>7</v>
      </c>
      <c r="Q610">
        <v>46.46</v>
      </c>
      <c r="R610">
        <v>6.03</v>
      </c>
      <c r="S610">
        <v>0.1</v>
      </c>
      <c r="T610">
        <v>47.38</v>
      </c>
      <c r="U610">
        <v>0</v>
      </c>
      <c r="V610">
        <v>1.5574687903572968</v>
      </c>
      <c r="W610">
        <v>0.76485148514851486</v>
      </c>
      <c r="X610">
        <v>10</v>
      </c>
      <c r="Y610">
        <v>18.329999999999998</v>
      </c>
      <c r="Z610">
        <v>70.25</v>
      </c>
      <c r="AA610">
        <v>5.86</v>
      </c>
      <c r="AB610">
        <v>0.02</v>
      </c>
      <c r="AC610">
        <v>13.78</v>
      </c>
      <c r="AD610">
        <v>0</v>
      </c>
      <c r="AE610">
        <v>1.0009964412811387</v>
      </c>
      <c r="AF610">
        <v>0.14711743772241992</v>
      </c>
      <c r="AH610">
        <v>29.66</v>
      </c>
      <c r="AI610">
        <v>72.94</v>
      </c>
    </row>
    <row r="611" spans="1:36" x14ac:dyDescent="0.5">
      <c r="A611">
        <v>60</v>
      </c>
      <c r="B611">
        <v>260</v>
      </c>
      <c r="C611">
        <v>0.1</v>
      </c>
      <c r="D611">
        <v>10</v>
      </c>
      <c r="E611">
        <v>250</v>
      </c>
      <c r="F611">
        <v>70</v>
      </c>
      <c r="G611">
        <v>7</v>
      </c>
      <c r="Q611">
        <v>46.46</v>
      </c>
      <c r="R611">
        <v>6.03</v>
      </c>
      <c r="S611">
        <v>0.1</v>
      </c>
      <c r="T611">
        <v>47.38</v>
      </c>
      <c r="U611">
        <v>0</v>
      </c>
      <c r="V611">
        <v>1.5574687903572968</v>
      </c>
      <c r="W611">
        <v>0.76485148514851486</v>
      </c>
      <c r="X611">
        <v>10</v>
      </c>
      <c r="Y611">
        <v>18.329999999999998</v>
      </c>
      <c r="Z611">
        <v>72.5</v>
      </c>
      <c r="AA611">
        <v>5.76</v>
      </c>
      <c r="AB611">
        <v>0.02</v>
      </c>
      <c r="AC611">
        <v>15.93</v>
      </c>
      <c r="AD611">
        <v>0</v>
      </c>
      <c r="AE611">
        <v>0.95337931034482748</v>
      </c>
      <c r="AF611">
        <v>0.16479310344827586</v>
      </c>
      <c r="AH611">
        <v>30.06</v>
      </c>
      <c r="AI611">
        <v>71.569999999999993</v>
      </c>
    </row>
    <row r="612" spans="1:36" x14ac:dyDescent="0.5">
      <c r="A612">
        <v>60</v>
      </c>
      <c r="B612">
        <v>280</v>
      </c>
      <c r="C612">
        <v>0.1</v>
      </c>
      <c r="D612">
        <v>10</v>
      </c>
      <c r="E612">
        <v>250</v>
      </c>
      <c r="F612">
        <v>70</v>
      </c>
      <c r="G612">
        <v>7</v>
      </c>
      <c r="Q612">
        <v>46.46</v>
      </c>
      <c r="R612">
        <v>6.03</v>
      </c>
      <c r="S612">
        <v>0.1</v>
      </c>
      <c r="T612">
        <v>47.38</v>
      </c>
      <c r="U612">
        <v>0</v>
      </c>
      <c r="V612">
        <v>1.5574687903572968</v>
      </c>
      <c r="W612">
        <v>0.76485148514851486</v>
      </c>
      <c r="X612">
        <v>10</v>
      </c>
      <c r="Y612">
        <v>18.329999999999998</v>
      </c>
      <c r="Z612">
        <v>74.260000000000005</v>
      </c>
      <c r="AA612">
        <v>5.79</v>
      </c>
      <c r="AB612">
        <v>0.02</v>
      </c>
      <c r="AC612">
        <v>15.97</v>
      </c>
      <c r="AD612">
        <v>0</v>
      </c>
      <c r="AE612">
        <v>0.93563156477242115</v>
      </c>
      <c r="AF612">
        <v>0.16129140856450311</v>
      </c>
      <c r="AH612">
        <v>30.89</v>
      </c>
      <c r="AI612">
        <v>71.209999999999994</v>
      </c>
    </row>
    <row r="613" spans="1:36" x14ac:dyDescent="0.5">
      <c r="A613">
        <v>30</v>
      </c>
      <c r="B613">
        <v>180</v>
      </c>
      <c r="C613">
        <v>0.1</v>
      </c>
      <c r="D613">
        <v>300</v>
      </c>
      <c r="E613">
        <v>1000</v>
      </c>
      <c r="F613">
        <v>300</v>
      </c>
      <c r="G613">
        <v>1</v>
      </c>
      <c r="O613">
        <v>72.33</v>
      </c>
      <c r="P613">
        <v>10.62</v>
      </c>
      <c r="Q613">
        <v>52.29</v>
      </c>
      <c r="R613">
        <v>7.89</v>
      </c>
      <c r="S613">
        <v>6.39</v>
      </c>
      <c r="T613">
        <v>32.619999999999997</v>
      </c>
      <c r="U613">
        <v>0.81</v>
      </c>
      <c r="V613">
        <v>1.810671256454389</v>
      </c>
      <c r="W613">
        <v>0.46787148594377509</v>
      </c>
      <c r="X613">
        <v>17.05</v>
      </c>
      <c r="Y613">
        <v>23.118270000000003</v>
      </c>
      <c r="Z613">
        <v>52.17</v>
      </c>
      <c r="AA613">
        <v>7.91</v>
      </c>
      <c r="AB613">
        <v>6.78</v>
      </c>
      <c r="AC613">
        <v>33.049999999999997</v>
      </c>
      <c r="AD613">
        <v>0.7</v>
      </c>
      <c r="AE613">
        <v>1.81943645773433</v>
      </c>
      <c r="AF613">
        <v>0.47512938470385274</v>
      </c>
      <c r="AG613">
        <v>18.8</v>
      </c>
      <c r="AH613">
        <v>23.029515000000004</v>
      </c>
      <c r="AI613">
        <v>91.13</v>
      </c>
      <c r="AJ613" t="s">
        <v>161</v>
      </c>
    </row>
    <row r="614" spans="1:36" x14ac:dyDescent="0.5">
      <c r="A614">
        <v>30</v>
      </c>
      <c r="B614">
        <v>210</v>
      </c>
      <c r="C614">
        <v>0.1</v>
      </c>
      <c r="D614">
        <v>300</v>
      </c>
      <c r="E614">
        <v>1000</v>
      </c>
      <c r="F614">
        <v>300</v>
      </c>
      <c r="G614">
        <v>1</v>
      </c>
      <c r="O614">
        <v>72.33</v>
      </c>
      <c r="P614">
        <v>10.62</v>
      </c>
      <c r="Q614">
        <v>52.29</v>
      </c>
      <c r="R614">
        <v>7.89</v>
      </c>
      <c r="S614">
        <v>6.39</v>
      </c>
      <c r="T614">
        <v>32.619999999999997</v>
      </c>
      <c r="U614">
        <v>0.81</v>
      </c>
      <c r="V614">
        <v>1.810671256454389</v>
      </c>
      <c r="W614">
        <v>0.46787148594377509</v>
      </c>
      <c r="X614">
        <v>17.05</v>
      </c>
      <c r="Y614">
        <v>23.118270000000003</v>
      </c>
      <c r="Z614">
        <v>55.75</v>
      </c>
      <c r="AA614">
        <v>7.29</v>
      </c>
      <c r="AB614">
        <v>6.41</v>
      </c>
      <c r="AC614">
        <v>29.94</v>
      </c>
      <c r="AD614">
        <v>0.61</v>
      </c>
      <c r="AE614">
        <v>1.5691479820627803</v>
      </c>
      <c r="AF614">
        <v>0.402780269058296</v>
      </c>
      <c r="AG614">
        <v>19.32</v>
      </c>
      <c r="AH614">
        <v>23.909330000000001</v>
      </c>
      <c r="AI614">
        <v>85.84</v>
      </c>
    </row>
    <row r="615" spans="1:36" x14ac:dyDescent="0.5">
      <c r="A615">
        <v>30</v>
      </c>
      <c r="B615">
        <v>240</v>
      </c>
      <c r="C615">
        <v>0.1</v>
      </c>
      <c r="D615">
        <v>300</v>
      </c>
      <c r="E615">
        <v>1000</v>
      </c>
      <c r="F615">
        <v>300</v>
      </c>
      <c r="G615">
        <v>1</v>
      </c>
      <c r="O615">
        <v>72.33</v>
      </c>
      <c r="P615">
        <v>10.62</v>
      </c>
      <c r="Q615">
        <v>52.29</v>
      </c>
      <c r="R615">
        <v>7.89</v>
      </c>
      <c r="S615">
        <v>6.39</v>
      </c>
      <c r="T615">
        <v>32.619999999999997</v>
      </c>
      <c r="U615">
        <v>0.81</v>
      </c>
      <c r="V615">
        <v>1.810671256454389</v>
      </c>
      <c r="W615">
        <v>0.46787148594377509</v>
      </c>
      <c r="X615">
        <v>17.05</v>
      </c>
      <c r="Y615">
        <v>23.118270000000003</v>
      </c>
      <c r="Z615">
        <v>56.78</v>
      </c>
      <c r="AA615">
        <v>6.56</v>
      </c>
      <c r="AB615">
        <v>7.15</v>
      </c>
      <c r="AC615">
        <v>28.98</v>
      </c>
      <c r="AD615">
        <v>0.53</v>
      </c>
      <c r="AE615">
        <v>1.3864036632617118</v>
      </c>
      <c r="AF615">
        <v>0.38279323705530116</v>
      </c>
      <c r="AG615">
        <v>23.23</v>
      </c>
      <c r="AH615">
        <v>23.386390000000002</v>
      </c>
      <c r="AI615">
        <v>67.930000000000007</v>
      </c>
    </row>
    <row r="616" spans="1:36" x14ac:dyDescent="0.5">
      <c r="A616">
        <v>30</v>
      </c>
      <c r="B616">
        <v>270</v>
      </c>
      <c r="C616">
        <v>0.1</v>
      </c>
      <c r="D616">
        <v>300</v>
      </c>
      <c r="E616">
        <v>1000</v>
      </c>
      <c r="F616">
        <v>300</v>
      </c>
      <c r="G616">
        <v>1</v>
      </c>
      <c r="O616">
        <v>72.33</v>
      </c>
      <c r="P616">
        <v>10.62</v>
      </c>
      <c r="Q616">
        <v>52.29</v>
      </c>
      <c r="R616">
        <v>7.89</v>
      </c>
      <c r="S616">
        <v>6.39</v>
      </c>
      <c r="T616">
        <v>32.619999999999997</v>
      </c>
      <c r="U616">
        <v>0.81</v>
      </c>
      <c r="V616">
        <v>1.810671256454389</v>
      </c>
      <c r="W616">
        <v>0.46787148594377509</v>
      </c>
      <c r="X616">
        <v>17.05</v>
      </c>
      <c r="Y616">
        <v>23.118270000000003</v>
      </c>
      <c r="Z616">
        <v>59.87</v>
      </c>
      <c r="AA616">
        <v>6.8</v>
      </c>
      <c r="AB616">
        <v>6.3</v>
      </c>
      <c r="AC616">
        <v>26.39</v>
      </c>
      <c r="AD616">
        <v>0.64</v>
      </c>
      <c r="AE616">
        <v>1.3629530649741106</v>
      </c>
      <c r="AF616">
        <v>0.33059128110906966</v>
      </c>
      <c r="AG616">
        <v>33.51</v>
      </c>
      <c r="AH616">
        <v>25.235845000000001</v>
      </c>
      <c r="AI616">
        <v>40.78</v>
      </c>
    </row>
    <row r="617" spans="1:36" x14ac:dyDescent="0.5">
      <c r="A617">
        <v>30</v>
      </c>
      <c r="B617">
        <v>180</v>
      </c>
      <c r="C617">
        <v>0.1</v>
      </c>
      <c r="D617">
        <v>300</v>
      </c>
      <c r="E617">
        <v>1000</v>
      </c>
      <c r="F617">
        <v>300</v>
      </c>
      <c r="G617">
        <v>1</v>
      </c>
      <c r="O617">
        <v>80.73</v>
      </c>
      <c r="P617">
        <v>12.6</v>
      </c>
      <c r="Q617">
        <v>50.91</v>
      </c>
      <c r="R617">
        <v>6.98</v>
      </c>
      <c r="S617">
        <v>10.25</v>
      </c>
      <c r="T617">
        <v>31.03</v>
      </c>
      <c r="U617">
        <v>0.82</v>
      </c>
      <c r="V617">
        <v>1.6452563347083089</v>
      </c>
      <c r="W617">
        <v>0.45713022981732476</v>
      </c>
      <c r="X617">
        <v>6.67</v>
      </c>
      <c r="Y617">
        <v>21.636164999999998</v>
      </c>
      <c r="Z617">
        <v>54.35</v>
      </c>
      <c r="AA617">
        <v>7.35</v>
      </c>
      <c r="AB617">
        <v>9.84</v>
      </c>
      <c r="AC617">
        <v>27.9</v>
      </c>
      <c r="AD617">
        <v>0.56999999999999995</v>
      </c>
      <c r="AE617">
        <v>1.6228150873965039</v>
      </c>
      <c r="AF617">
        <v>0.38500459981600732</v>
      </c>
      <c r="AG617">
        <v>6.32</v>
      </c>
      <c r="AH617">
        <v>23.885950000000001</v>
      </c>
      <c r="AI617">
        <v>98.23</v>
      </c>
    </row>
    <row r="618" spans="1:36" x14ac:dyDescent="0.5">
      <c r="A618">
        <v>30</v>
      </c>
      <c r="B618">
        <v>210</v>
      </c>
      <c r="C618">
        <v>0.1</v>
      </c>
      <c r="D618">
        <v>300</v>
      </c>
      <c r="E618">
        <v>1000</v>
      </c>
      <c r="F618">
        <v>300</v>
      </c>
      <c r="G618">
        <v>1</v>
      </c>
      <c r="O618">
        <v>80.73</v>
      </c>
      <c r="P618">
        <v>12.6</v>
      </c>
      <c r="Q618">
        <v>50.91</v>
      </c>
      <c r="R618">
        <v>6.98</v>
      </c>
      <c r="S618">
        <v>10.25</v>
      </c>
      <c r="T618">
        <v>31.03</v>
      </c>
      <c r="U618">
        <v>0.82</v>
      </c>
      <c r="V618">
        <v>1.6452563347083089</v>
      </c>
      <c r="W618">
        <v>0.45713022981732476</v>
      </c>
      <c r="X618">
        <v>6.67</v>
      </c>
      <c r="Y618">
        <v>21.636164999999998</v>
      </c>
      <c r="Z618">
        <v>59.36</v>
      </c>
      <c r="AA618">
        <v>7.74</v>
      </c>
      <c r="AB618">
        <v>9.64</v>
      </c>
      <c r="AC618">
        <v>22.76</v>
      </c>
      <c r="AD618">
        <v>0.5</v>
      </c>
      <c r="AE618">
        <v>1.5646900269541781</v>
      </c>
      <c r="AF618">
        <v>0.28756738544474397</v>
      </c>
      <c r="AG618">
        <v>6.86</v>
      </c>
      <c r="AH618">
        <v>27.053740000000001</v>
      </c>
      <c r="AI618">
        <v>97.03</v>
      </c>
    </row>
    <row r="619" spans="1:36" x14ac:dyDescent="0.5">
      <c r="A619">
        <v>30</v>
      </c>
      <c r="B619">
        <v>240</v>
      </c>
      <c r="C619">
        <v>0.1</v>
      </c>
      <c r="D619">
        <v>300</v>
      </c>
      <c r="E619">
        <v>1000</v>
      </c>
      <c r="F619">
        <v>300</v>
      </c>
      <c r="G619">
        <v>1</v>
      </c>
      <c r="O619">
        <v>80.73</v>
      </c>
      <c r="P619">
        <v>12.6</v>
      </c>
      <c r="Q619">
        <v>50.91</v>
      </c>
      <c r="R619">
        <v>6.98</v>
      </c>
      <c r="S619">
        <v>10.25</v>
      </c>
      <c r="T619">
        <v>31.03</v>
      </c>
      <c r="U619">
        <v>0.82</v>
      </c>
      <c r="V619">
        <v>1.6452563347083089</v>
      </c>
      <c r="W619">
        <v>0.45713022981732476</v>
      </c>
      <c r="X619">
        <v>6.67</v>
      </c>
      <c r="Y619">
        <v>21.636164999999998</v>
      </c>
      <c r="Z619">
        <v>55.33</v>
      </c>
      <c r="AA619">
        <v>7.14</v>
      </c>
      <c r="AB619">
        <v>11.01</v>
      </c>
      <c r="AC619">
        <v>26.02</v>
      </c>
      <c r="AD619">
        <v>0.5</v>
      </c>
      <c r="AE619">
        <v>1.5485270196999821</v>
      </c>
      <c r="AF619">
        <v>0.3527019699981927</v>
      </c>
      <c r="AG619">
        <v>8.08</v>
      </c>
      <c r="AH619">
        <v>24.252890000000001</v>
      </c>
      <c r="AI619">
        <v>81.3</v>
      </c>
    </row>
    <row r="620" spans="1:36" x14ac:dyDescent="0.5">
      <c r="A620">
        <v>30</v>
      </c>
      <c r="B620">
        <v>270</v>
      </c>
      <c r="C620">
        <v>0.1</v>
      </c>
      <c r="D620">
        <v>300</v>
      </c>
      <c r="E620">
        <v>1000</v>
      </c>
      <c r="F620">
        <v>300</v>
      </c>
      <c r="G620">
        <v>1</v>
      </c>
      <c r="O620">
        <v>80.73</v>
      </c>
      <c r="P620">
        <v>12.6</v>
      </c>
      <c r="Q620">
        <v>50.91</v>
      </c>
      <c r="R620">
        <v>6.98</v>
      </c>
      <c r="S620">
        <v>10.25</v>
      </c>
      <c r="T620">
        <v>31.03</v>
      </c>
      <c r="U620">
        <v>0.82</v>
      </c>
      <c r="V620">
        <v>1.6452563347083089</v>
      </c>
      <c r="W620">
        <v>0.45713022981732476</v>
      </c>
      <c r="X620">
        <v>6.67</v>
      </c>
      <c r="Y620">
        <v>21.636164999999998</v>
      </c>
      <c r="Z620">
        <v>55.73</v>
      </c>
      <c r="AA620">
        <v>7.24</v>
      </c>
      <c r="AB620">
        <v>9.68</v>
      </c>
      <c r="AC620">
        <v>26.86</v>
      </c>
      <c r="AD620">
        <v>0.49</v>
      </c>
      <c r="AE620">
        <v>1.5589449129732642</v>
      </c>
      <c r="AF620">
        <v>0.36147496859860045</v>
      </c>
      <c r="AG620">
        <v>10.55</v>
      </c>
      <c r="AH620">
        <v>24.380949999999999</v>
      </c>
      <c r="AI620">
        <v>60.59</v>
      </c>
    </row>
    <row r="621" spans="1:36" x14ac:dyDescent="0.5">
      <c r="A621">
        <v>30</v>
      </c>
      <c r="B621">
        <v>180</v>
      </c>
      <c r="C621">
        <v>0.1</v>
      </c>
      <c r="D621">
        <v>300</v>
      </c>
      <c r="E621">
        <v>1000</v>
      </c>
      <c r="F621">
        <v>300</v>
      </c>
      <c r="G621">
        <v>1</v>
      </c>
      <c r="O621">
        <v>74.55</v>
      </c>
      <c r="P621">
        <v>11.13</v>
      </c>
      <c r="Q621">
        <v>51.99</v>
      </c>
      <c r="R621">
        <v>7.18</v>
      </c>
      <c r="S621">
        <v>6.34</v>
      </c>
      <c r="T621">
        <v>33.78</v>
      </c>
      <c r="U621">
        <v>0.7</v>
      </c>
      <c r="V621">
        <v>1.6572417772648584</v>
      </c>
      <c r="W621">
        <v>0.48730525100980954</v>
      </c>
      <c r="X621">
        <v>14.32</v>
      </c>
      <c r="Y621">
        <v>21.795929999999998</v>
      </c>
      <c r="Z621">
        <v>55.26</v>
      </c>
      <c r="AA621">
        <v>7.43</v>
      </c>
      <c r="AB621">
        <v>6.91</v>
      </c>
      <c r="AC621">
        <v>29.75</v>
      </c>
      <c r="AD621">
        <v>0.65</v>
      </c>
      <c r="AE621">
        <v>1.6134636264929425</v>
      </c>
      <c r="AF621">
        <v>0.40377307274701413</v>
      </c>
      <c r="AG621">
        <v>15.1</v>
      </c>
      <c r="AH621">
        <v>23.977544999999999</v>
      </c>
      <c r="AI621">
        <v>93.97</v>
      </c>
    </row>
    <row r="622" spans="1:36" x14ac:dyDescent="0.5">
      <c r="A622">
        <v>30</v>
      </c>
      <c r="B622">
        <v>210</v>
      </c>
      <c r="C622">
        <v>0.1</v>
      </c>
      <c r="D622">
        <v>300</v>
      </c>
      <c r="E622">
        <v>1000</v>
      </c>
      <c r="F622">
        <v>300</v>
      </c>
      <c r="G622">
        <v>1</v>
      </c>
      <c r="O622">
        <v>74.55</v>
      </c>
      <c r="P622">
        <v>11.13</v>
      </c>
      <c r="Q622">
        <v>51.99</v>
      </c>
      <c r="R622">
        <v>7.18</v>
      </c>
      <c r="S622">
        <v>6.34</v>
      </c>
      <c r="T622">
        <v>33.78</v>
      </c>
      <c r="U622">
        <v>0.7</v>
      </c>
      <c r="V622">
        <v>1.6572417772648584</v>
      </c>
      <c r="W622">
        <v>0.48730525100980954</v>
      </c>
      <c r="X622">
        <v>14.32</v>
      </c>
      <c r="Y622">
        <v>21.795929999999998</v>
      </c>
      <c r="Z622">
        <v>55.42</v>
      </c>
      <c r="AA622">
        <v>7.1</v>
      </c>
      <c r="AB622">
        <v>8.08</v>
      </c>
      <c r="AC622">
        <v>28.7</v>
      </c>
      <c r="AD622">
        <v>0.67</v>
      </c>
      <c r="AE622">
        <v>1.5373511367737278</v>
      </c>
      <c r="AF622">
        <v>0.38839769036448935</v>
      </c>
      <c r="AG622">
        <v>16.010000000000002</v>
      </c>
      <c r="AH622">
        <v>23.747810000000001</v>
      </c>
      <c r="AI622">
        <v>87.68</v>
      </c>
    </row>
    <row r="623" spans="1:36" x14ac:dyDescent="0.5">
      <c r="A623">
        <v>30</v>
      </c>
      <c r="B623">
        <v>240</v>
      </c>
      <c r="C623">
        <v>0.1</v>
      </c>
      <c r="D623">
        <v>300</v>
      </c>
      <c r="E623">
        <v>1000</v>
      </c>
      <c r="F623">
        <v>300</v>
      </c>
      <c r="G623">
        <v>1</v>
      </c>
      <c r="O623">
        <v>74.55</v>
      </c>
      <c r="P623">
        <v>11.13</v>
      </c>
      <c r="Q623">
        <v>51.99</v>
      </c>
      <c r="R623">
        <v>7.18</v>
      </c>
      <c r="S623">
        <v>6.34</v>
      </c>
      <c r="T623">
        <v>33.78</v>
      </c>
      <c r="U623">
        <v>0.7</v>
      </c>
      <c r="V623">
        <v>1.6572417772648584</v>
      </c>
      <c r="W623">
        <v>0.48730525100980954</v>
      </c>
      <c r="X623">
        <v>14.32</v>
      </c>
      <c r="Y623">
        <v>21.795929999999998</v>
      </c>
      <c r="Z623">
        <v>57.4</v>
      </c>
      <c r="AA623">
        <v>7</v>
      </c>
      <c r="AB623">
        <v>8.0299999999999994</v>
      </c>
      <c r="AC623">
        <v>26.79</v>
      </c>
      <c r="AD623">
        <v>0.67</v>
      </c>
      <c r="AE623">
        <v>1.4634146341463414</v>
      </c>
      <c r="AF623">
        <v>0.35004355400696863</v>
      </c>
      <c r="AG623">
        <v>20.61</v>
      </c>
      <c r="AH623">
        <v>24.615185</v>
      </c>
      <c r="AI623">
        <v>64.38</v>
      </c>
    </row>
    <row r="624" spans="1:36" x14ac:dyDescent="0.5">
      <c r="A624">
        <v>30</v>
      </c>
      <c r="B624">
        <v>270</v>
      </c>
      <c r="C624">
        <v>0.1</v>
      </c>
      <c r="D624">
        <v>300</v>
      </c>
      <c r="E624">
        <v>1000</v>
      </c>
      <c r="F624">
        <v>300</v>
      </c>
      <c r="G624">
        <v>1</v>
      </c>
      <c r="O624">
        <v>74.55</v>
      </c>
      <c r="P624">
        <v>11.13</v>
      </c>
      <c r="Q624">
        <v>51.99</v>
      </c>
      <c r="R624">
        <v>7.18</v>
      </c>
      <c r="S624">
        <v>6.34</v>
      </c>
      <c r="T624">
        <v>33.78</v>
      </c>
      <c r="U624">
        <v>0.7</v>
      </c>
      <c r="V624">
        <v>1.6572417772648584</v>
      </c>
      <c r="W624">
        <v>0.48730525100980954</v>
      </c>
      <c r="X624">
        <v>14.32</v>
      </c>
      <c r="Y624">
        <v>21.795929999999998</v>
      </c>
      <c r="Z624">
        <v>59.87</v>
      </c>
      <c r="AA624">
        <v>6.8</v>
      </c>
      <c r="AB624">
        <v>6.3</v>
      </c>
      <c r="AC624">
        <v>26.39</v>
      </c>
      <c r="AD624">
        <v>0.64</v>
      </c>
      <c r="AE624">
        <v>1.3629530649741106</v>
      </c>
      <c r="AF624">
        <v>0.33059128110906966</v>
      </c>
      <c r="AG624">
        <v>26.66</v>
      </c>
      <c r="AH624">
        <v>25.235845000000001</v>
      </c>
      <c r="AI624">
        <v>45.98</v>
      </c>
    </row>
    <row r="625" spans="1:36" x14ac:dyDescent="0.5">
      <c r="A625">
        <v>60</v>
      </c>
      <c r="B625">
        <v>210</v>
      </c>
      <c r="C625">
        <v>0.1</v>
      </c>
      <c r="D625">
        <v>10</v>
      </c>
      <c r="E625">
        <v>250</v>
      </c>
      <c r="F625">
        <v>100</v>
      </c>
      <c r="G625">
        <v>10</v>
      </c>
      <c r="O625">
        <v>83.3</v>
      </c>
      <c r="P625">
        <v>15.57</v>
      </c>
      <c r="Q625">
        <v>49.86</v>
      </c>
      <c r="R625">
        <v>6.48</v>
      </c>
      <c r="S625">
        <v>0.27</v>
      </c>
      <c r="T625">
        <v>42.15</v>
      </c>
      <c r="U625">
        <v>0.11</v>
      </c>
      <c r="V625">
        <v>1.5595667870036101</v>
      </c>
      <c r="W625">
        <v>0.63402527075812265</v>
      </c>
      <c r="X625">
        <v>1.1299999999999999</v>
      </c>
      <c r="Y625">
        <v>18.582345</v>
      </c>
      <c r="Z625">
        <v>51.36</v>
      </c>
      <c r="AA625">
        <v>6.29</v>
      </c>
      <c r="AB625">
        <v>0.2</v>
      </c>
      <c r="AC625">
        <v>41.83</v>
      </c>
      <c r="AD625">
        <v>0</v>
      </c>
      <c r="AE625">
        <v>1.469626168224299</v>
      </c>
      <c r="AF625">
        <v>0.61083528037383172</v>
      </c>
      <c r="AG625">
        <v>0.32</v>
      </c>
      <c r="AH625">
        <v>18.875145</v>
      </c>
      <c r="AI625">
        <v>68</v>
      </c>
      <c r="AJ625" t="s">
        <v>163</v>
      </c>
    </row>
    <row r="626" spans="1:36" x14ac:dyDescent="0.5">
      <c r="A626">
        <v>60</v>
      </c>
      <c r="B626">
        <v>240</v>
      </c>
      <c r="C626">
        <v>0.1</v>
      </c>
      <c r="D626">
        <v>10</v>
      </c>
      <c r="E626">
        <v>250</v>
      </c>
      <c r="F626">
        <v>100</v>
      </c>
      <c r="G626">
        <v>10</v>
      </c>
      <c r="O626">
        <v>83.3</v>
      </c>
      <c r="P626">
        <v>15.57</v>
      </c>
      <c r="Q626">
        <v>49.86</v>
      </c>
      <c r="R626">
        <v>6.48</v>
      </c>
      <c r="S626">
        <v>0.27</v>
      </c>
      <c r="T626">
        <v>42.15</v>
      </c>
      <c r="U626">
        <v>0.11</v>
      </c>
      <c r="V626">
        <v>1.5595667870036101</v>
      </c>
      <c r="W626">
        <v>0.63402527075812265</v>
      </c>
      <c r="X626">
        <v>1.1299999999999999</v>
      </c>
      <c r="Y626">
        <v>18.582345</v>
      </c>
      <c r="Z626">
        <v>53.53</v>
      </c>
      <c r="AA626">
        <v>6.11</v>
      </c>
      <c r="AB626">
        <v>0.18</v>
      </c>
      <c r="AC626">
        <v>39.99</v>
      </c>
      <c r="AD626">
        <v>0</v>
      </c>
      <c r="AE626">
        <v>1.3696992340743508</v>
      </c>
      <c r="AF626">
        <v>0.56029329348029144</v>
      </c>
      <c r="AG626">
        <v>0.19</v>
      </c>
      <c r="AH626">
        <v>19.680005000000001</v>
      </c>
      <c r="AI626">
        <v>57</v>
      </c>
    </row>
    <row r="627" spans="1:36" x14ac:dyDescent="0.5">
      <c r="A627">
        <v>60</v>
      </c>
      <c r="B627">
        <v>270</v>
      </c>
      <c r="C627">
        <v>0.1</v>
      </c>
      <c r="D627">
        <v>10</v>
      </c>
      <c r="E627">
        <v>250</v>
      </c>
      <c r="F627">
        <v>100</v>
      </c>
      <c r="G627">
        <v>10</v>
      </c>
      <c r="O627">
        <v>83.3</v>
      </c>
      <c r="P627">
        <v>15.57</v>
      </c>
      <c r="Q627">
        <v>49.86</v>
      </c>
      <c r="R627">
        <v>6.48</v>
      </c>
      <c r="S627">
        <v>0.27</v>
      </c>
      <c r="T627">
        <v>42.15</v>
      </c>
      <c r="U627">
        <v>0.11</v>
      </c>
      <c r="V627">
        <v>1.5595667870036101</v>
      </c>
      <c r="W627">
        <v>0.63402527075812265</v>
      </c>
      <c r="X627">
        <v>1.1299999999999999</v>
      </c>
      <c r="Y627">
        <v>18.582345</v>
      </c>
      <c r="Z627">
        <v>66.87</v>
      </c>
      <c r="AA627">
        <v>5.8</v>
      </c>
      <c r="AB627">
        <v>0.14000000000000001</v>
      </c>
      <c r="AC627">
        <v>27.03</v>
      </c>
      <c r="AD627">
        <v>0</v>
      </c>
      <c r="AE627">
        <v>1.0408254822790488</v>
      </c>
      <c r="AF627">
        <v>0.3031628532974428</v>
      </c>
      <c r="AG627">
        <v>0.16</v>
      </c>
      <c r="AH627">
        <v>26.059605000000001</v>
      </c>
      <c r="AI627">
        <v>39</v>
      </c>
    </row>
    <row r="628" spans="1:36" x14ac:dyDescent="0.5">
      <c r="A628">
        <v>120</v>
      </c>
      <c r="B628">
        <v>180</v>
      </c>
      <c r="C628">
        <v>0.1</v>
      </c>
      <c r="D628">
        <v>2</v>
      </c>
      <c r="E628">
        <v>30</v>
      </c>
      <c r="F628">
        <v>20</v>
      </c>
      <c r="G628">
        <v>10</v>
      </c>
      <c r="N628">
        <v>6.65</v>
      </c>
      <c r="O628">
        <v>75.11</v>
      </c>
      <c r="P628">
        <v>15.19</v>
      </c>
      <c r="Q628">
        <v>46.22</v>
      </c>
      <c r="R628">
        <v>6.06</v>
      </c>
      <c r="S628">
        <v>2.37</v>
      </c>
      <c r="T628">
        <v>43.38</v>
      </c>
      <c r="U628">
        <v>0.56999999999999995</v>
      </c>
      <c r="V628">
        <v>1.5733448723496322</v>
      </c>
      <c r="W628">
        <v>0.70391605365642584</v>
      </c>
      <c r="X628">
        <v>3.05</v>
      </c>
      <c r="Y628">
        <v>18.78</v>
      </c>
      <c r="Z628">
        <v>46.45</v>
      </c>
      <c r="AA628">
        <v>5.84</v>
      </c>
      <c r="AB628">
        <v>2.11</v>
      </c>
      <c r="AC628">
        <v>42.06</v>
      </c>
      <c r="AD628">
        <v>0.46</v>
      </c>
      <c r="AE628">
        <v>1.5087190527448868</v>
      </c>
      <c r="AF628">
        <v>0.67911733046286327</v>
      </c>
      <c r="AG628">
        <v>3.16</v>
      </c>
      <c r="AH628">
        <v>18.72</v>
      </c>
      <c r="AI628">
        <v>80</v>
      </c>
      <c r="AJ628" t="s">
        <v>165</v>
      </c>
    </row>
    <row r="629" spans="1:36" x14ac:dyDescent="0.5">
      <c r="A629">
        <v>120</v>
      </c>
      <c r="B629">
        <v>200</v>
      </c>
      <c r="C629">
        <v>0.1</v>
      </c>
      <c r="D629">
        <v>2</v>
      </c>
      <c r="E629">
        <v>30</v>
      </c>
      <c r="F629">
        <v>20</v>
      </c>
      <c r="G629">
        <v>10</v>
      </c>
      <c r="N629">
        <v>6.65</v>
      </c>
      <c r="O629">
        <v>75.11</v>
      </c>
      <c r="P629">
        <v>15.19</v>
      </c>
      <c r="Q629">
        <v>46.22</v>
      </c>
      <c r="R629">
        <v>6.06</v>
      </c>
      <c r="S629">
        <v>2.37</v>
      </c>
      <c r="T629">
        <v>43.38</v>
      </c>
      <c r="U629">
        <v>0.56999999999999995</v>
      </c>
      <c r="V629">
        <v>1.5733448723496322</v>
      </c>
      <c r="W629">
        <v>0.70391605365642584</v>
      </c>
      <c r="X629">
        <v>3.05</v>
      </c>
      <c r="Y629">
        <v>18.78</v>
      </c>
      <c r="Z629">
        <v>47.22</v>
      </c>
      <c r="AA629">
        <v>5.77</v>
      </c>
      <c r="AB629">
        <v>2.06</v>
      </c>
      <c r="AC629">
        <v>40.28</v>
      </c>
      <c r="AD629">
        <v>0.45</v>
      </c>
      <c r="AE629">
        <v>1.4663278271918678</v>
      </c>
      <c r="AF629">
        <v>0.63977128335451083</v>
      </c>
      <c r="AG629">
        <v>3.79</v>
      </c>
      <c r="AH629">
        <v>19.07</v>
      </c>
      <c r="AI629">
        <v>67</v>
      </c>
    </row>
    <row r="630" spans="1:36" x14ac:dyDescent="0.5">
      <c r="A630">
        <v>120</v>
      </c>
      <c r="B630">
        <v>220</v>
      </c>
      <c r="C630">
        <v>0.1</v>
      </c>
      <c r="D630">
        <v>2</v>
      </c>
      <c r="E630">
        <v>30</v>
      </c>
      <c r="F630">
        <v>20</v>
      </c>
      <c r="G630">
        <v>10</v>
      </c>
      <c r="N630">
        <v>6.65</v>
      </c>
      <c r="O630">
        <v>75.11</v>
      </c>
      <c r="P630">
        <v>15.19</v>
      </c>
      <c r="Q630">
        <v>46.22</v>
      </c>
      <c r="R630">
        <v>6.06</v>
      </c>
      <c r="S630">
        <v>2.37</v>
      </c>
      <c r="T630">
        <v>43.38</v>
      </c>
      <c r="U630">
        <v>0.56999999999999995</v>
      </c>
      <c r="V630">
        <v>1.5733448723496322</v>
      </c>
      <c r="W630">
        <v>0.70391605365642584</v>
      </c>
      <c r="X630">
        <v>3.05</v>
      </c>
      <c r="Y630">
        <v>18.78</v>
      </c>
      <c r="Z630">
        <v>48.5</v>
      </c>
      <c r="AA630">
        <v>5.7</v>
      </c>
      <c r="AB630">
        <v>2.21</v>
      </c>
      <c r="AC630">
        <v>38.24</v>
      </c>
      <c r="AD630">
        <v>0.42</v>
      </c>
      <c r="AE630">
        <v>1.4103092783505153</v>
      </c>
      <c r="AF630">
        <v>0.59134020618556704</v>
      </c>
      <c r="AG630">
        <v>4.05</v>
      </c>
      <c r="AH630">
        <v>19.649999999999999</v>
      </c>
      <c r="AI630">
        <v>61</v>
      </c>
    </row>
    <row r="631" spans="1:36" x14ac:dyDescent="0.5">
      <c r="A631">
        <v>120</v>
      </c>
      <c r="B631">
        <v>240</v>
      </c>
      <c r="C631">
        <v>0.1</v>
      </c>
      <c r="D631">
        <v>2</v>
      </c>
      <c r="E631">
        <v>30</v>
      </c>
      <c r="F631">
        <v>20</v>
      </c>
      <c r="G631">
        <v>10</v>
      </c>
      <c r="N631">
        <v>6.65</v>
      </c>
      <c r="O631">
        <v>75.11</v>
      </c>
      <c r="P631">
        <v>15.19</v>
      </c>
      <c r="Q631">
        <v>46.22</v>
      </c>
      <c r="R631">
        <v>6.06</v>
      </c>
      <c r="S631">
        <v>2.37</v>
      </c>
      <c r="T631">
        <v>43.38</v>
      </c>
      <c r="U631">
        <v>0.56999999999999995</v>
      </c>
      <c r="V631">
        <v>1.5733448723496322</v>
      </c>
      <c r="W631">
        <v>0.70391605365642584</v>
      </c>
      <c r="X631">
        <v>3.05</v>
      </c>
      <c r="Y631">
        <v>18.78</v>
      </c>
      <c r="Z631">
        <v>51.98</v>
      </c>
      <c r="AA631">
        <v>5.81</v>
      </c>
      <c r="AB631">
        <v>2.34</v>
      </c>
      <c r="AC631">
        <v>36.909999999999997</v>
      </c>
      <c r="AD631">
        <v>0.41</v>
      </c>
      <c r="AE631">
        <v>1.3412851096575606</v>
      </c>
      <c r="AF631">
        <v>0.53256060023085805</v>
      </c>
      <c r="AG631">
        <v>3.95</v>
      </c>
      <c r="AH631">
        <v>21.12</v>
      </c>
      <c r="AI631">
        <v>63</v>
      </c>
    </row>
    <row r="632" spans="1:36" x14ac:dyDescent="0.5">
      <c r="A632">
        <v>120</v>
      </c>
      <c r="B632">
        <v>260</v>
      </c>
      <c r="C632">
        <v>0.1</v>
      </c>
      <c r="D632">
        <v>2</v>
      </c>
      <c r="E632">
        <v>30</v>
      </c>
      <c r="F632">
        <v>20</v>
      </c>
      <c r="G632">
        <v>10</v>
      </c>
      <c r="N632">
        <v>6.65</v>
      </c>
      <c r="O632">
        <v>75.11</v>
      </c>
      <c r="P632">
        <v>15.19</v>
      </c>
      <c r="Q632">
        <v>46.22</v>
      </c>
      <c r="R632">
        <v>6.06</v>
      </c>
      <c r="S632">
        <v>2.37</v>
      </c>
      <c r="T632">
        <v>43.38</v>
      </c>
      <c r="U632">
        <v>0.56999999999999995</v>
      </c>
      <c r="V632">
        <v>1.5733448723496322</v>
      </c>
      <c r="W632">
        <v>0.70391605365642584</v>
      </c>
      <c r="X632">
        <v>3.05</v>
      </c>
      <c r="Y632">
        <v>18.78</v>
      </c>
      <c r="Z632">
        <v>52.66</v>
      </c>
      <c r="AA632">
        <v>5.64</v>
      </c>
      <c r="AB632">
        <v>2.38</v>
      </c>
      <c r="AC632">
        <v>34.15</v>
      </c>
      <c r="AD632">
        <v>0.38</v>
      </c>
      <c r="AE632">
        <v>1.2852259779718953</v>
      </c>
      <c r="AF632">
        <v>0.48637485757690851</v>
      </c>
      <c r="AG632">
        <v>4.57</v>
      </c>
      <c r="AH632">
        <v>21.42</v>
      </c>
      <c r="AI632">
        <v>59</v>
      </c>
    </row>
    <row r="633" spans="1:36" x14ac:dyDescent="0.5">
      <c r="A633">
        <v>60</v>
      </c>
      <c r="B633">
        <v>260</v>
      </c>
      <c r="C633">
        <v>0.1</v>
      </c>
      <c r="D633">
        <v>2</v>
      </c>
      <c r="E633">
        <v>30</v>
      </c>
      <c r="F633">
        <v>20</v>
      </c>
      <c r="G633">
        <v>10</v>
      </c>
      <c r="N633">
        <v>6.65</v>
      </c>
      <c r="O633">
        <v>75.11</v>
      </c>
      <c r="P633">
        <v>15.19</v>
      </c>
      <c r="Q633">
        <v>46.22</v>
      </c>
      <c r="R633">
        <v>6.06</v>
      </c>
      <c r="S633">
        <v>2.37</v>
      </c>
      <c r="T633">
        <v>43.38</v>
      </c>
      <c r="U633">
        <v>0.56999999999999995</v>
      </c>
      <c r="V633">
        <v>1.5733448723496322</v>
      </c>
      <c r="W633">
        <v>0.70391605365642584</v>
      </c>
      <c r="X633">
        <v>3.05</v>
      </c>
      <c r="Y633">
        <v>18.78</v>
      </c>
      <c r="Z633">
        <v>47.39</v>
      </c>
      <c r="AA633">
        <v>5.72</v>
      </c>
      <c r="AB633">
        <v>2.16</v>
      </c>
      <c r="AC633">
        <v>38.840000000000003</v>
      </c>
      <c r="AD633">
        <v>0.31</v>
      </c>
      <c r="AE633">
        <v>1.4484068368854188</v>
      </c>
      <c r="AF633">
        <v>0.61468664275163543</v>
      </c>
      <c r="AG633">
        <v>2.87</v>
      </c>
      <c r="AH633">
        <v>19.23</v>
      </c>
      <c r="AI633">
        <v>62</v>
      </c>
    </row>
    <row r="634" spans="1:36" x14ac:dyDescent="0.5">
      <c r="A634">
        <v>240</v>
      </c>
      <c r="B634">
        <v>260</v>
      </c>
      <c r="C634">
        <v>0.1</v>
      </c>
      <c r="D634">
        <v>2</v>
      </c>
      <c r="E634">
        <v>30</v>
      </c>
      <c r="F634">
        <v>20</v>
      </c>
      <c r="G634">
        <v>10</v>
      </c>
      <c r="N634">
        <v>6.65</v>
      </c>
      <c r="O634">
        <v>75.11</v>
      </c>
      <c r="P634">
        <v>15.19</v>
      </c>
      <c r="Q634">
        <v>46.22</v>
      </c>
      <c r="R634">
        <v>6.06</v>
      </c>
      <c r="S634">
        <v>2.37</v>
      </c>
      <c r="T634">
        <v>43.38</v>
      </c>
      <c r="U634">
        <v>0.56999999999999995</v>
      </c>
      <c r="V634">
        <v>1.5733448723496322</v>
      </c>
      <c r="W634">
        <v>0.70391605365642584</v>
      </c>
      <c r="X634">
        <v>3.05</v>
      </c>
      <c r="Y634">
        <v>18.78</v>
      </c>
      <c r="Z634">
        <v>55.22</v>
      </c>
      <c r="AA634">
        <v>5.27</v>
      </c>
      <c r="AB634">
        <v>3.07</v>
      </c>
      <c r="AC634">
        <v>27.62</v>
      </c>
      <c r="AD634">
        <v>0.35</v>
      </c>
      <c r="AE634">
        <v>1.1452372328866351</v>
      </c>
      <c r="AF634">
        <v>0.37513582035494386</v>
      </c>
      <c r="AG634">
        <v>6.42</v>
      </c>
      <c r="AH634">
        <v>22.52</v>
      </c>
      <c r="AI634">
        <v>53</v>
      </c>
    </row>
    <row r="635" spans="1:36" x14ac:dyDescent="0.5">
      <c r="A635">
        <v>320</v>
      </c>
      <c r="B635">
        <v>260</v>
      </c>
      <c r="C635">
        <v>0.1</v>
      </c>
      <c r="D635">
        <v>2</v>
      </c>
      <c r="E635">
        <v>30</v>
      </c>
      <c r="F635">
        <v>20</v>
      </c>
      <c r="G635">
        <v>10</v>
      </c>
      <c r="N635">
        <v>6.65</v>
      </c>
      <c r="O635">
        <v>75.11</v>
      </c>
      <c r="P635">
        <v>15.19</v>
      </c>
      <c r="Q635">
        <v>46.22</v>
      </c>
      <c r="R635">
        <v>6.06</v>
      </c>
      <c r="S635">
        <v>2.37</v>
      </c>
      <c r="T635">
        <v>43.38</v>
      </c>
      <c r="U635">
        <v>0.56999999999999995</v>
      </c>
      <c r="V635">
        <v>1.5733448723496322</v>
      </c>
      <c r="W635">
        <v>0.70391605365642584</v>
      </c>
      <c r="X635">
        <v>3.05</v>
      </c>
      <c r="Y635">
        <v>18.78</v>
      </c>
      <c r="Z635">
        <v>63.03</v>
      </c>
      <c r="AA635">
        <v>5.2</v>
      </c>
      <c r="AB635">
        <v>4.24</v>
      </c>
      <c r="AC635">
        <v>18.510000000000002</v>
      </c>
      <c r="AD635">
        <v>0.37</v>
      </c>
      <c r="AE635">
        <v>0.99000475963826751</v>
      </c>
      <c r="AF635">
        <v>0.22025226082817706</v>
      </c>
      <c r="AG635">
        <v>7.48</v>
      </c>
      <c r="AH635">
        <v>26.09</v>
      </c>
      <c r="AI635">
        <v>43</v>
      </c>
    </row>
    <row r="636" spans="1:36" x14ac:dyDescent="0.5">
      <c r="A636">
        <v>720</v>
      </c>
      <c r="B636">
        <v>260</v>
      </c>
      <c r="C636">
        <v>0.1</v>
      </c>
      <c r="D636">
        <v>2</v>
      </c>
      <c r="E636">
        <v>30</v>
      </c>
      <c r="F636">
        <v>20</v>
      </c>
      <c r="G636">
        <v>10</v>
      </c>
      <c r="N636">
        <v>6.65</v>
      </c>
      <c r="O636">
        <v>75.11</v>
      </c>
      <c r="P636">
        <v>15.19</v>
      </c>
      <c r="Q636">
        <v>46.22</v>
      </c>
      <c r="R636">
        <v>6.06</v>
      </c>
      <c r="S636">
        <v>2.37</v>
      </c>
      <c r="T636">
        <v>43.38</v>
      </c>
      <c r="U636">
        <v>0.56999999999999995</v>
      </c>
      <c r="V636">
        <v>1.5733448723496322</v>
      </c>
      <c r="W636">
        <v>0.70391605365642584</v>
      </c>
      <c r="X636">
        <v>3.05</v>
      </c>
      <c r="Y636">
        <v>18.78</v>
      </c>
      <c r="Z636">
        <v>65.239999999999995</v>
      </c>
      <c r="AA636">
        <v>5.28</v>
      </c>
      <c r="AB636">
        <v>4.46</v>
      </c>
      <c r="AC636">
        <v>16.22</v>
      </c>
      <c r="AD636">
        <v>0.38</v>
      </c>
      <c r="AE636">
        <v>0.97118332311465361</v>
      </c>
      <c r="AF636">
        <v>0.18646535867565911</v>
      </c>
      <c r="AG636">
        <v>7.49</v>
      </c>
      <c r="AH636">
        <v>27.18</v>
      </c>
      <c r="AI636">
        <v>41</v>
      </c>
    </row>
    <row r="637" spans="1:36" x14ac:dyDescent="0.5">
      <c r="A637">
        <v>60</v>
      </c>
      <c r="B637">
        <v>200</v>
      </c>
      <c r="C637">
        <v>0.1</v>
      </c>
      <c r="D637">
        <v>30</v>
      </c>
      <c r="E637">
        <v>700</v>
      </c>
      <c r="F637">
        <v>270</v>
      </c>
      <c r="G637">
        <v>9</v>
      </c>
      <c r="O637">
        <v>67.95</v>
      </c>
      <c r="P637">
        <v>1.56</v>
      </c>
      <c r="Q637">
        <v>33.299999999999997</v>
      </c>
      <c r="R637">
        <v>4.7</v>
      </c>
      <c r="S637">
        <v>5.15</v>
      </c>
      <c r="T637">
        <v>26.37</v>
      </c>
      <c r="U637">
        <v>0</v>
      </c>
      <c r="V637">
        <v>1.6936936936936937</v>
      </c>
      <c r="W637">
        <v>0.59391891891891901</v>
      </c>
      <c r="X637">
        <v>30.48</v>
      </c>
      <c r="Y637">
        <v>13.78</v>
      </c>
      <c r="Z637">
        <v>33</v>
      </c>
      <c r="AA637">
        <v>4.3600000000000003</v>
      </c>
      <c r="AB637">
        <v>4.79</v>
      </c>
      <c r="AC637">
        <v>17.350000000000001</v>
      </c>
      <c r="AD637">
        <v>0</v>
      </c>
      <c r="AE637">
        <v>1.5854545454545457</v>
      </c>
      <c r="AF637">
        <v>0.39431818181818185</v>
      </c>
      <c r="AG637">
        <v>40.5</v>
      </c>
      <c r="AH637">
        <v>13.99</v>
      </c>
      <c r="AI637">
        <v>55.2</v>
      </c>
      <c r="AJ637" t="s">
        <v>167</v>
      </c>
    </row>
    <row r="638" spans="1:36" x14ac:dyDescent="0.5">
      <c r="A638">
        <v>180</v>
      </c>
      <c r="B638">
        <v>200</v>
      </c>
      <c r="C638">
        <v>0.1</v>
      </c>
      <c r="D638">
        <v>30</v>
      </c>
      <c r="E638">
        <v>700</v>
      </c>
      <c r="F638">
        <v>270</v>
      </c>
      <c r="G638">
        <v>9</v>
      </c>
      <c r="O638">
        <v>67.95</v>
      </c>
      <c r="P638">
        <v>1.56</v>
      </c>
      <c r="Q638">
        <v>33.299999999999997</v>
      </c>
      <c r="R638">
        <v>4.7</v>
      </c>
      <c r="S638">
        <v>5.15</v>
      </c>
      <c r="T638">
        <v>26.37</v>
      </c>
      <c r="U638">
        <v>0</v>
      </c>
      <c r="V638">
        <v>1.6936936936936937</v>
      </c>
      <c r="W638">
        <v>0.59391891891891901</v>
      </c>
      <c r="X638">
        <v>30.48</v>
      </c>
      <c r="Y638">
        <v>13.78</v>
      </c>
      <c r="Z638">
        <v>32.700000000000003</v>
      </c>
      <c r="AA638">
        <v>3.7</v>
      </c>
      <c r="AB638">
        <v>4.12</v>
      </c>
      <c r="AC638">
        <v>16.23</v>
      </c>
      <c r="AD638">
        <v>0</v>
      </c>
      <c r="AE638">
        <v>1.3577981651376148</v>
      </c>
      <c r="AF638">
        <v>0.37224770642201832</v>
      </c>
      <c r="AG638">
        <v>43.25</v>
      </c>
      <c r="AH638">
        <v>13.17</v>
      </c>
      <c r="AI638">
        <v>54.8</v>
      </c>
    </row>
    <row r="639" spans="1:36" x14ac:dyDescent="0.5">
      <c r="A639">
        <v>300</v>
      </c>
      <c r="B639">
        <v>200</v>
      </c>
      <c r="C639">
        <v>0.1</v>
      </c>
      <c r="D639">
        <v>30</v>
      </c>
      <c r="E639">
        <v>700</v>
      </c>
      <c r="F639">
        <v>270</v>
      </c>
      <c r="G639">
        <v>9</v>
      </c>
      <c r="O639">
        <v>67.95</v>
      </c>
      <c r="P639">
        <v>1.56</v>
      </c>
      <c r="Q639">
        <v>33.299999999999997</v>
      </c>
      <c r="R639">
        <v>4.7</v>
      </c>
      <c r="S639">
        <v>5.15</v>
      </c>
      <c r="T639">
        <v>26.37</v>
      </c>
      <c r="U639">
        <v>0</v>
      </c>
      <c r="V639">
        <v>1.6936936936936937</v>
      </c>
      <c r="W639">
        <v>0.59391891891891901</v>
      </c>
      <c r="X639">
        <v>30.48</v>
      </c>
      <c r="Y639">
        <v>13.78</v>
      </c>
      <c r="Z639">
        <v>32.5</v>
      </c>
      <c r="AA639">
        <v>4</v>
      </c>
      <c r="AB639">
        <v>3.8</v>
      </c>
      <c r="AC639">
        <v>14.31</v>
      </c>
      <c r="AD639">
        <v>0</v>
      </c>
      <c r="AE639">
        <v>1.4769230769230768</v>
      </c>
      <c r="AF639">
        <v>0.33023076923076922</v>
      </c>
      <c r="AG639">
        <v>45.39</v>
      </c>
      <c r="AH639">
        <v>13.61</v>
      </c>
      <c r="AI639">
        <v>53.7</v>
      </c>
    </row>
    <row r="640" spans="1:36" x14ac:dyDescent="0.5">
      <c r="A640">
        <v>480</v>
      </c>
      <c r="B640">
        <v>200</v>
      </c>
      <c r="C640">
        <v>0.1</v>
      </c>
      <c r="D640">
        <v>30</v>
      </c>
      <c r="E640">
        <v>700</v>
      </c>
      <c r="F640">
        <v>270</v>
      </c>
      <c r="G640">
        <v>9</v>
      </c>
      <c r="O640">
        <v>67.95</v>
      </c>
      <c r="P640">
        <v>1.56</v>
      </c>
      <c r="Q640">
        <v>33.299999999999997</v>
      </c>
      <c r="R640">
        <v>4.7</v>
      </c>
      <c r="S640">
        <v>5.15</v>
      </c>
      <c r="T640">
        <v>26.37</v>
      </c>
      <c r="U640">
        <v>0</v>
      </c>
      <c r="V640">
        <v>1.6936936936936937</v>
      </c>
      <c r="W640">
        <v>0.59391891891891901</v>
      </c>
      <c r="X640">
        <v>30.48</v>
      </c>
      <c r="Y640">
        <v>13.78</v>
      </c>
      <c r="Z640">
        <v>33</v>
      </c>
      <c r="AA640">
        <v>4</v>
      </c>
      <c r="AB640">
        <v>3.1</v>
      </c>
      <c r="AC640">
        <v>14.52</v>
      </c>
      <c r="AD640">
        <v>0</v>
      </c>
      <c r="AE640">
        <v>1.4545454545454546</v>
      </c>
      <c r="AF640">
        <v>0.33</v>
      </c>
      <c r="AG640">
        <v>44.38</v>
      </c>
      <c r="AH640">
        <v>13.68</v>
      </c>
      <c r="AI640">
        <v>47.9</v>
      </c>
    </row>
    <row r="641" spans="1:36" x14ac:dyDescent="0.5">
      <c r="A641">
        <v>180</v>
      </c>
      <c r="B641">
        <v>180</v>
      </c>
      <c r="C641">
        <v>0.1</v>
      </c>
      <c r="D641">
        <v>3</v>
      </c>
      <c r="E641">
        <v>50</v>
      </c>
      <c r="F641">
        <v>30</v>
      </c>
      <c r="G641">
        <v>10</v>
      </c>
      <c r="O641">
        <v>79.7</v>
      </c>
      <c r="P641">
        <v>18.399999999999999</v>
      </c>
      <c r="Q641">
        <v>54.8</v>
      </c>
      <c r="R641">
        <v>6.3</v>
      </c>
      <c r="S641">
        <v>1.1000000000000001</v>
      </c>
      <c r="T641">
        <v>36</v>
      </c>
      <c r="U641">
        <v>0</v>
      </c>
      <c r="V641">
        <v>1.3795620437956204</v>
      </c>
      <c r="W641">
        <v>0.49270072992700731</v>
      </c>
      <c r="X641">
        <v>1.8</v>
      </c>
      <c r="Y641">
        <v>22.62</v>
      </c>
      <c r="Z641">
        <v>59.7</v>
      </c>
      <c r="AA641">
        <v>6.5</v>
      </c>
      <c r="AB641">
        <v>1.1000000000000001</v>
      </c>
      <c r="AC641">
        <v>30</v>
      </c>
      <c r="AD641">
        <v>0</v>
      </c>
      <c r="AE641">
        <v>1.3065326633165828</v>
      </c>
      <c r="AF641">
        <v>0.37688442211055273</v>
      </c>
      <c r="AG641">
        <v>2.7</v>
      </c>
      <c r="AH641">
        <v>26.32</v>
      </c>
      <c r="AI641">
        <v>81.7</v>
      </c>
      <c r="AJ641" t="s">
        <v>170</v>
      </c>
    </row>
    <row r="642" spans="1:36" x14ac:dyDescent="0.5">
      <c r="A642">
        <v>180</v>
      </c>
      <c r="B642">
        <v>220</v>
      </c>
      <c r="C642">
        <v>0.1</v>
      </c>
      <c r="D642">
        <v>3</v>
      </c>
      <c r="E642">
        <v>50</v>
      </c>
      <c r="F642">
        <v>30</v>
      </c>
      <c r="G642">
        <v>10</v>
      </c>
      <c r="O642">
        <v>79.7</v>
      </c>
      <c r="P642">
        <v>18.399999999999999</v>
      </c>
      <c r="Q642">
        <v>54.8</v>
      </c>
      <c r="R642">
        <v>6.3</v>
      </c>
      <c r="S642">
        <v>1.1000000000000001</v>
      </c>
      <c r="T642">
        <v>36</v>
      </c>
      <c r="U642">
        <v>0</v>
      </c>
      <c r="V642">
        <v>1.3795620437956204</v>
      </c>
      <c r="W642">
        <v>0.49270072992700731</v>
      </c>
      <c r="X642">
        <v>1.8</v>
      </c>
      <c r="Y642">
        <v>22.62</v>
      </c>
      <c r="Z642">
        <v>64.2</v>
      </c>
      <c r="AA642">
        <v>6.6</v>
      </c>
      <c r="AB642">
        <v>1.2</v>
      </c>
      <c r="AC642">
        <v>25.8</v>
      </c>
      <c r="AD642">
        <v>0</v>
      </c>
      <c r="AE642">
        <v>1.233644859813084</v>
      </c>
      <c r="AF642">
        <v>0.30140186915887851</v>
      </c>
      <c r="AG642">
        <v>2.2000000000000002</v>
      </c>
      <c r="AH642">
        <v>28.16</v>
      </c>
      <c r="AI642">
        <v>70.8</v>
      </c>
    </row>
    <row r="643" spans="1:36" x14ac:dyDescent="0.5">
      <c r="A643">
        <v>180</v>
      </c>
      <c r="B643">
        <v>250</v>
      </c>
      <c r="C643">
        <v>0.1</v>
      </c>
      <c r="D643">
        <v>3</v>
      </c>
      <c r="E643">
        <v>50</v>
      </c>
      <c r="F643">
        <v>30</v>
      </c>
      <c r="G643">
        <v>10</v>
      </c>
      <c r="O643">
        <v>79.7</v>
      </c>
      <c r="P643">
        <v>18.399999999999999</v>
      </c>
      <c r="Q643">
        <v>54.8</v>
      </c>
      <c r="R643">
        <v>6.3</v>
      </c>
      <c r="S643">
        <v>1.1000000000000001</v>
      </c>
      <c r="T643">
        <v>36</v>
      </c>
      <c r="U643">
        <v>0</v>
      </c>
      <c r="V643">
        <v>1.3795620437956204</v>
      </c>
      <c r="W643">
        <v>0.49270072992700731</v>
      </c>
      <c r="X643">
        <v>1.8</v>
      </c>
      <c r="Y643">
        <v>22.62</v>
      </c>
      <c r="Z643">
        <v>71.2</v>
      </c>
      <c r="AA643">
        <v>6.8</v>
      </c>
      <c r="AB643">
        <v>1.4</v>
      </c>
      <c r="AC643">
        <v>19.100000000000001</v>
      </c>
      <c r="AD643">
        <v>0</v>
      </c>
      <c r="AE643">
        <v>1.146067415730337</v>
      </c>
      <c r="AF643">
        <v>0.2011938202247191</v>
      </c>
      <c r="AG643">
        <v>1.4</v>
      </c>
      <c r="AH643">
        <v>32.25</v>
      </c>
      <c r="AI643">
        <v>57.5</v>
      </c>
    </row>
    <row r="644" spans="1:36" x14ac:dyDescent="0.5">
      <c r="A644">
        <v>180</v>
      </c>
      <c r="B644">
        <v>220</v>
      </c>
      <c r="C644">
        <v>0.1</v>
      </c>
      <c r="D644">
        <v>3</v>
      </c>
      <c r="E644">
        <v>50</v>
      </c>
      <c r="F644">
        <v>30</v>
      </c>
      <c r="G644">
        <v>10</v>
      </c>
      <c r="O644">
        <v>82.5</v>
      </c>
      <c r="P644">
        <v>14.1</v>
      </c>
      <c r="Q644">
        <v>52</v>
      </c>
      <c r="R644">
        <v>6.7</v>
      </c>
      <c r="S644">
        <v>3.6</v>
      </c>
      <c r="T644">
        <v>31.5</v>
      </c>
      <c r="U644">
        <v>2.9</v>
      </c>
      <c r="V644">
        <v>1.5461538461538462</v>
      </c>
      <c r="W644">
        <v>0.45432692307692313</v>
      </c>
      <c r="X644">
        <v>3.4</v>
      </c>
      <c r="Y644">
        <v>21.97</v>
      </c>
      <c r="Z644">
        <v>63.7</v>
      </c>
      <c r="AA644">
        <v>6.8</v>
      </c>
      <c r="AB644">
        <v>3.7</v>
      </c>
      <c r="AC644">
        <v>23.3</v>
      </c>
      <c r="AD644">
        <v>0</v>
      </c>
      <c r="AE644">
        <v>1.2810047095761381</v>
      </c>
      <c r="AF644">
        <v>0.27433281004709575</v>
      </c>
      <c r="AG644">
        <v>2.5</v>
      </c>
      <c r="AH644">
        <v>28.35</v>
      </c>
      <c r="AI644">
        <v>63.9</v>
      </c>
    </row>
    <row r="645" spans="1:36" x14ac:dyDescent="0.5">
      <c r="A645">
        <v>180</v>
      </c>
      <c r="B645">
        <v>250</v>
      </c>
      <c r="C645">
        <v>0.1</v>
      </c>
      <c r="D645">
        <v>3</v>
      </c>
      <c r="E645">
        <v>50</v>
      </c>
      <c r="F645">
        <v>30</v>
      </c>
      <c r="G645">
        <v>10</v>
      </c>
      <c r="O645">
        <v>82.5</v>
      </c>
      <c r="P645">
        <v>14.1</v>
      </c>
      <c r="Q645">
        <v>52</v>
      </c>
      <c r="R645">
        <v>6.7</v>
      </c>
      <c r="S645">
        <v>3.6</v>
      </c>
      <c r="T645">
        <v>31.5</v>
      </c>
      <c r="U645">
        <v>2.9</v>
      </c>
      <c r="V645">
        <v>1.5461538461538462</v>
      </c>
      <c r="W645">
        <v>0.45432692307692313</v>
      </c>
      <c r="X645">
        <v>3.4</v>
      </c>
      <c r="Y645">
        <v>21.97</v>
      </c>
      <c r="Z645">
        <v>66.7</v>
      </c>
      <c r="AA645">
        <v>7.9</v>
      </c>
      <c r="AB645">
        <v>3.7</v>
      </c>
      <c r="AC645">
        <v>16.899999999999999</v>
      </c>
      <c r="AD645">
        <v>0</v>
      </c>
      <c r="AE645">
        <v>1.4212893553223389</v>
      </c>
      <c r="AF645">
        <v>0.19002998500749624</v>
      </c>
      <c r="AG645">
        <v>4.9000000000000004</v>
      </c>
      <c r="AH645">
        <v>29.7</v>
      </c>
      <c r="AI645">
        <v>54.9</v>
      </c>
    </row>
    <row r="646" spans="1:36" x14ac:dyDescent="0.5">
      <c r="A646">
        <v>180</v>
      </c>
      <c r="B646">
        <v>220</v>
      </c>
      <c r="C646">
        <v>0.1</v>
      </c>
      <c r="D646">
        <v>3</v>
      </c>
      <c r="E646">
        <v>50</v>
      </c>
      <c r="F646">
        <v>30</v>
      </c>
      <c r="G646">
        <v>10</v>
      </c>
      <c r="O646">
        <v>71.099999999999994</v>
      </c>
      <c r="P646">
        <v>17.8</v>
      </c>
      <c r="Q646">
        <v>39.700000000000003</v>
      </c>
      <c r="R646">
        <v>4.7</v>
      </c>
      <c r="S646">
        <v>0.5</v>
      </c>
      <c r="T646">
        <v>43.9</v>
      </c>
      <c r="U646">
        <v>0.1</v>
      </c>
      <c r="V646">
        <v>1.4206549118387908</v>
      </c>
      <c r="W646">
        <v>0.829345088161209</v>
      </c>
      <c r="X646">
        <v>11.2</v>
      </c>
      <c r="Y646">
        <v>13.87</v>
      </c>
      <c r="Z646">
        <v>50.1</v>
      </c>
      <c r="AA646">
        <v>4.5</v>
      </c>
      <c r="AB646">
        <v>1.6</v>
      </c>
      <c r="AC646">
        <v>31.5</v>
      </c>
      <c r="AD646">
        <v>0</v>
      </c>
      <c r="AE646">
        <v>1.0778443113772456</v>
      </c>
      <c r="AF646">
        <v>0.47155688622754494</v>
      </c>
      <c r="AG646">
        <v>12.9</v>
      </c>
      <c r="AH646">
        <v>19.45</v>
      </c>
      <c r="AI646">
        <v>37.1</v>
      </c>
    </row>
    <row r="647" spans="1:36" x14ac:dyDescent="0.5">
      <c r="A647">
        <v>180</v>
      </c>
      <c r="B647">
        <v>250</v>
      </c>
      <c r="C647">
        <v>0.1</v>
      </c>
      <c r="D647">
        <v>3</v>
      </c>
      <c r="E647">
        <v>50</v>
      </c>
      <c r="F647">
        <v>30</v>
      </c>
      <c r="G647">
        <v>10</v>
      </c>
      <c r="O647">
        <v>71.099999999999994</v>
      </c>
      <c r="P647">
        <v>17.8</v>
      </c>
      <c r="Q647">
        <v>39.700000000000003</v>
      </c>
      <c r="R647">
        <v>4.7</v>
      </c>
      <c r="S647">
        <v>0.5</v>
      </c>
      <c r="T647">
        <v>43.9</v>
      </c>
      <c r="U647">
        <v>0.1</v>
      </c>
      <c r="V647">
        <v>1.4206549118387908</v>
      </c>
      <c r="W647">
        <v>0.829345088161209</v>
      </c>
      <c r="X647">
        <v>11.2</v>
      </c>
      <c r="Y647">
        <v>13.87</v>
      </c>
      <c r="Z647">
        <v>54</v>
      </c>
      <c r="AA647">
        <v>5</v>
      </c>
      <c r="AB647">
        <v>1.9</v>
      </c>
      <c r="AC647">
        <v>26.2</v>
      </c>
      <c r="AD647">
        <v>0</v>
      </c>
      <c r="AE647">
        <v>1.1111111111111112</v>
      </c>
      <c r="AF647">
        <v>0.36388888888888887</v>
      </c>
      <c r="AG647">
        <v>12.3</v>
      </c>
      <c r="AH647">
        <v>20.69</v>
      </c>
      <c r="AI647">
        <v>26.7</v>
      </c>
    </row>
    <row r="648" spans="1:36" x14ac:dyDescent="0.5">
      <c r="A648">
        <v>40</v>
      </c>
      <c r="B648">
        <v>150</v>
      </c>
      <c r="C648">
        <v>0.1</v>
      </c>
      <c r="D648">
        <v>10</v>
      </c>
      <c r="E648">
        <v>300</v>
      </c>
      <c r="F648">
        <v>100</v>
      </c>
      <c r="G648">
        <v>10</v>
      </c>
      <c r="N648">
        <v>5.0199999999999996</v>
      </c>
      <c r="O648">
        <v>77.3</v>
      </c>
      <c r="P648">
        <v>12.74</v>
      </c>
      <c r="Q648">
        <v>46.47</v>
      </c>
      <c r="R648">
        <v>6.98</v>
      </c>
      <c r="S648">
        <v>3.16</v>
      </c>
      <c r="T648">
        <v>38.35</v>
      </c>
      <c r="U648">
        <v>0.11</v>
      </c>
      <c r="V648">
        <v>1.8024531956100711</v>
      </c>
      <c r="W648">
        <v>0.61894770819883793</v>
      </c>
      <c r="X648">
        <v>4.9400000000000004</v>
      </c>
      <c r="Y648">
        <v>20.34</v>
      </c>
      <c r="Z648">
        <v>48.15</v>
      </c>
      <c r="AA648">
        <v>6.65</v>
      </c>
      <c r="AB648">
        <v>2.19</v>
      </c>
      <c r="AC648">
        <v>42.68</v>
      </c>
      <c r="AD648">
        <v>0.08</v>
      </c>
      <c r="AE648">
        <v>1.6573208722741433</v>
      </c>
      <c r="AF648">
        <v>0.66479750778816193</v>
      </c>
      <c r="AG648">
        <v>0.25</v>
      </c>
      <c r="AH648">
        <v>20.2</v>
      </c>
      <c r="AI648">
        <v>60.76</v>
      </c>
      <c r="AJ648" t="s">
        <v>171</v>
      </c>
    </row>
    <row r="649" spans="1:36" x14ac:dyDescent="0.5">
      <c r="A649">
        <v>40</v>
      </c>
      <c r="B649">
        <v>200</v>
      </c>
      <c r="C649">
        <v>0.1</v>
      </c>
      <c r="D649">
        <v>10</v>
      </c>
      <c r="E649">
        <v>300</v>
      </c>
      <c r="F649">
        <v>100</v>
      </c>
      <c r="G649">
        <v>10</v>
      </c>
      <c r="N649">
        <v>5.0199999999999996</v>
      </c>
      <c r="O649">
        <v>77.3</v>
      </c>
      <c r="P649">
        <v>12.74</v>
      </c>
      <c r="Q649">
        <v>46.47</v>
      </c>
      <c r="R649">
        <v>6.98</v>
      </c>
      <c r="S649">
        <v>3.16</v>
      </c>
      <c r="T649">
        <v>38.35</v>
      </c>
      <c r="U649">
        <v>0.11</v>
      </c>
      <c r="V649">
        <v>1.8024531956100711</v>
      </c>
      <c r="W649">
        <v>0.61894770819883793</v>
      </c>
      <c r="X649">
        <v>4.9400000000000004</v>
      </c>
      <c r="Y649">
        <v>20.34</v>
      </c>
      <c r="Z649">
        <v>54.8</v>
      </c>
      <c r="AA649">
        <v>6.3</v>
      </c>
      <c r="AB649">
        <v>2.89</v>
      </c>
      <c r="AC649">
        <v>35.72</v>
      </c>
      <c r="AD649">
        <v>0.09</v>
      </c>
      <c r="AE649">
        <v>1.3795620437956204</v>
      </c>
      <c r="AF649">
        <v>0.48886861313868613</v>
      </c>
      <c r="AG649">
        <v>0.2</v>
      </c>
      <c r="AH649">
        <v>22.82</v>
      </c>
      <c r="AI649">
        <v>46.53</v>
      </c>
    </row>
    <row r="650" spans="1:36" x14ac:dyDescent="0.5">
      <c r="A650">
        <v>40</v>
      </c>
      <c r="B650">
        <v>250</v>
      </c>
      <c r="C650">
        <v>0.1</v>
      </c>
      <c r="D650">
        <v>10</v>
      </c>
      <c r="E650">
        <v>300</v>
      </c>
      <c r="F650">
        <v>100</v>
      </c>
      <c r="G650">
        <v>10</v>
      </c>
      <c r="N650">
        <v>5.0199999999999996</v>
      </c>
      <c r="O650">
        <v>77.3</v>
      </c>
      <c r="P650">
        <v>12.74</v>
      </c>
      <c r="Q650">
        <v>46.47</v>
      </c>
      <c r="R650">
        <v>6.98</v>
      </c>
      <c r="S650">
        <v>3.16</v>
      </c>
      <c r="T650">
        <v>38.35</v>
      </c>
      <c r="U650">
        <v>0.11</v>
      </c>
      <c r="V650">
        <v>1.8024531956100711</v>
      </c>
      <c r="W650">
        <v>0.61894770819883793</v>
      </c>
      <c r="X650">
        <v>4.9400000000000004</v>
      </c>
      <c r="Y650">
        <v>20.34</v>
      </c>
      <c r="Z650">
        <v>68.36</v>
      </c>
      <c r="AA650">
        <v>6.4</v>
      </c>
      <c r="AB650">
        <v>3.22</v>
      </c>
      <c r="AC650">
        <v>21.87</v>
      </c>
      <c r="AD650">
        <v>0.08</v>
      </c>
      <c r="AE650">
        <v>1.1234640140433003</v>
      </c>
      <c r="AF650">
        <v>0.2399429490930369</v>
      </c>
      <c r="AG650">
        <v>7.0000000000000007E-2</v>
      </c>
      <c r="AH650">
        <v>29.1</v>
      </c>
      <c r="AI650">
        <v>48.97</v>
      </c>
    </row>
    <row r="651" spans="1:36" x14ac:dyDescent="0.5">
      <c r="A651">
        <v>60</v>
      </c>
      <c r="B651">
        <v>180</v>
      </c>
      <c r="C651">
        <v>0.1</v>
      </c>
      <c r="D651">
        <v>7</v>
      </c>
      <c r="E651">
        <v>250</v>
      </c>
      <c r="F651">
        <v>100</v>
      </c>
      <c r="G651">
        <v>14.285714285714286</v>
      </c>
      <c r="O651">
        <v>53.62</v>
      </c>
      <c r="P651">
        <v>5.13</v>
      </c>
      <c r="Q651">
        <v>29.96</v>
      </c>
      <c r="R651">
        <v>4.68</v>
      </c>
      <c r="S651">
        <v>4.9800000000000004</v>
      </c>
      <c r="T651">
        <v>18.5</v>
      </c>
      <c r="U651">
        <v>0.72</v>
      </c>
      <c r="V651">
        <v>1.8744993324432577</v>
      </c>
      <c r="W651">
        <v>0.46311748998664887</v>
      </c>
      <c r="X651">
        <v>41.16</v>
      </c>
      <c r="Y651">
        <v>13.19</v>
      </c>
      <c r="Z651">
        <v>23.48</v>
      </c>
      <c r="AA651">
        <v>3.57</v>
      </c>
      <c r="AB651">
        <v>2.2799999999999998</v>
      </c>
      <c r="AC651">
        <v>9.92</v>
      </c>
      <c r="AD651">
        <v>0.4</v>
      </c>
      <c r="AE651">
        <v>1.8245315161839861</v>
      </c>
      <c r="AF651">
        <v>0.3168654173764906</v>
      </c>
      <c r="AG651">
        <v>60.35</v>
      </c>
      <c r="AH651">
        <v>10.11</v>
      </c>
      <c r="AI651">
        <v>63</v>
      </c>
      <c r="AJ651" t="s">
        <v>173</v>
      </c>
    </row>
    <row r="652" spans="1:36" x14ac:dyDescent="0.5">
      <c r="A652">
        <v>60</v>
      </c>
      <c r="B652">
        <v>230</v>
      </c>
      <c r="C652">
        <v>0.1</v>
      </c>
      <c r="D652">
        <v>7</v>
      </c>
      <c r="E652">
        <v>250</v>
      </c>
      <c r="F652">
        <v>100</v>
      </c>
      <c r="G652">
        <v>14.285714285714286</v>
      </c>
      <c r="O652">
        <v>53.62</v>
      </c>
      <c r="P652">
        <v>5.13</v>
      </c>
      <c r="Q652">
        <v>29.96</v>
      </c>
      <c r="R652">
        <v>4.68</v>
      </c>
      <c r="S652">
        <v>4.9800000000000004</v>
      </c>
      <c r="T652">
        <v>18.5</v>
      </c>
      <c r="U652">
        <v>0.72</v>
      </c>
      <c r="V652">
        <v>1.8744993324432577</v>
      </c>
      <c r="W652">
        <v>0.46311748998664887</v>
      </c>
      <c r="X652">
        <v>41.16</v>
      </c>
      <c r="Y652">
        <v>13.19</v>
      </c>
      <c r="Z652">
        <v>22.68</v>
      </c>
      <c r="AA652">
        <v>3.15</v>
      </c>
      <c r="AB652">
        <v>1.81</v>
      </c>
      <c r="AC652">
        <v>6.12</v>
      </c>
      <c r="AD652">
        <v>0.33</v>
      </c>
      <c r="AE652">
        <v>1.6666666666666667</v>
      </c>
      <c r="AF652">
        <v>0.20238095238095238</v>
      </c>
      <c r="AG652">
        <v>65.900000000000006</v>
      </c>
      <c r="AH652">
        <v>9.6199999999999992</v>
      </c>
      <c r="AI652">
        <v>58.9</v>
      </c>
    </row>
    <row r="653" spans="1:36" x14ac:dyDescent="0.5">
      <c r="A653">
        <v>60</v>
      </c>
      <c r="B653">
        <v>280</v>
      </c>
      <c r="C653">
        <v>0.1</v>
      </c>
      <c r="D653">
        <v>7</v>
      </c>
      <c r="E653">
        <v>250</v>
      </c>
      <c r="F653">
        <v>100</v>
      </c>
      <c r="G653">
        <v>14.285714285714286</v>
      </c>
      <c r="O653">
        <v>53.62</v>
      </c>
      <c r="P653">
        <v>5.13</v>
      </c>
      <c r="Q653">
        <v>29.96</v>
      </c>
      <c r="R653">
        <v>4.68</v>
      </c>
      <c r="S653">
        <v>4.9800000000000004</v>
      </c>
      <c r="T653">
        <v>18.5</v>
      </c>
      <c r="U653">
        <v>0.72</v>
      </c>
      <c r="V653">
        <v>1.8744993324432577</v>
      </c>
      <c r="W653">
        <v>0.46311748998664887</v>
      </c>
      <c r="X653">
        <v>41.16</v>
      </c>
      <c r="Y653">
        <v>13.19</v>
      </c>
      <c r="Z653">
        <v>23.67</v>
      </c>
      <c r="AA653">
        <v>2.81</v>
      </c>
      <c r="AB653">
        <v>1.62</v>
      </c>
      <c r="AC653">
        <v>3.41</v>
      </c>
      <c r="AD653">
        <v>0.41</v>
      </c>
      <c r="AE653">
        <v>1.4245880861850442</v>
      </c>
      <c r="AF653">
        <v>0.10804816223067173</v>
      </c>
      <c r="AG653">
        <v>68.08</v>
      </c>
      <c r="AH653">
        <v>9.81</v>
      </c>
      <c r="AI653">
        <v>58.1</v>
      </c>
    </row>
    <row r="654" spans="1:36" x14ac:dyDescent="0.5">
      <c r="A654">
        <v>60</v>
      </c>
      <c r="B654">
        <v>180</v>
      </c>
      <c r="C654">
        <v>0.1</v>
      </c>
      <c r="D654">
        <v>7</v>
      </c>
      <c r="E654">
        <v>250</v>
      </c>
      <c r="F654">
        <v>100</v>
      </c>
      <c r="G654">
        <v>14.285714285714286</v>
      </c>
      <c r="O654">
        <v>83.31</v>
      </c>
      <c r="P654">
        <v>15.55</v>
      </c>
      <c r="Q654">
        <v>49.64</v>
      </c>
      <c r="R654">
        <v>7.47</v>
      </c>
      <c r="S654">
        <v>3.21</v>
      </c>
      <c r="T654">
        <v>33.49</v>
      </c>
      <c r="U654">
        <v>0.05</v>
      </c>
      <c r="V654">
        <v>1.8058017727639</v>
      </c>
      <c r="W654">
        <v>0.50599315068493156</v>
      </c>
      <c r="X654">
        <v>6.14</v>
      </c>
      <c r="Y654">
        <v>22.5</v>
      </c>
      <c r="Z654">
        <v>60.29</v>
      </c>
      <c r="AA654">
        <v>7.71</v>
      </c>
      <c r="AB654">
        <v>3.61</v>
      </c>
      <c r="AC654">
        <v>21.64</v>
      </c>
      <c r="AD654">
        <v>0.06</v>
      </c>
      <c r="AE654">
        <v>1.5345828495604577</v>
      </c>
      <c r="AF654">
        <v>0.26919887211809584</v>
      </c>
      <c r="AG654">
        <v>6.7</v>
      </c>
      <c r="AH654">
        <v>27.71</v>
      </c>
      <c r="AI654">
        <v>30.89</v>
      </c>
    </row>
    <row r="655" spans="1:36" x14ac:dyDescent="0.5">
      <c r="A655">
        <v>60</v>
      </c>
      <c r="B655">
        <v>230</v>
      </c>
      <c r="C655">
        <v>0.1</v>
      </c>
      <c r="D655">
        <v>7</v>
      </c>
      <c r="E655">
        <v>250</v>
      </c>
      <c r="F655">
        <v>100</v>
      </c>
      <c r="G655">
        <v>14.285714285714286</v>
      </c>
      <c r="O655">
        <v>83.31</v>
      </c>
      <c r="P655">
        <v>15.55</v>
      </c>
      <c r="Q655">
        <v>49.64</v>
      </c>
      <c r="R655">
        <v>7.47</v>
      </c>
      <c r="S655">
        <v>3.21</v>
      </c>
      <c r="T655">
        <v>33.49</v>
      </c>
      <c r="U655">
        <v>0.05</v>
      </c>
      <c r="V655">
        <v>1.8058017727639</v>
      </c>
      <c r="W655">
        <v>0.50599315068493156</v>
      </c>
      <c r="X655">
        <v>6.14</v>
      </c>
      <c r="Y655">
        <v>22.5</v>
      </c>
      <c r="Z655">
        <v>68.55</v>
      </c>
      <c r="AA655">
        <v>7.3</v>
      </c>
      <c r="AB655">
        <v>3.43</v>
      </c>
      <c r="AC655">
        <v>14.76</v>
      </c>
      <c r="AD655">
        <v>0</v>
      </c>
      <c r="AE655">
        <v>1.2778993435448578</v>
      </c>
      <c r="AF655">
        <v>0.1614879649890591</v>
      </c>
      <c r="AG655">
        <v>5.96</v>
      </c>
      <c r="AH655">
        <v>30.83</v>
      </c>
      <c r="AI655">
        <v>43.1</v>
      </c>
    </row>
    <row r="656" spans="1:36" x14ac:dyDescent="0.5">
      <c r="A656">
        <v>60</v>
      </c>
      <c r="B656">
        <v>280</v>
      </c>
      <c r="C656">
        <v>0.1</v>
      </c>
      <c r="D656">
        <v>7</v>
      </c>
      <c r="E656">
        <v>250</v>
      </c>
      <c r="F656">
        <v>100</v>
      </c>
      <c r="G656">
        <v>14.285714285714286</v>
      </c>
      <c r="O656">
        <v>83.31</v>
      </c>
      <c r="P656">
        <v>15.55</v>
      </c>
      <c r="Q656">
        <v>49.64</v>
      </c>
      <c r="R656">
        <v>7.47</v>
      </c>
      <c r="S656">
        <v>3.21</v>
      </c>
      <c r="T656">
        <v>33.49</v>
      </c>
      <c r="U656">
        <v>0.05</v>
      </c>
      <c r="V656">
        <v>1.8058017727639</v>
      </c>
      <c r="W656">
        <v>0.50599315068493156</v>
      </c>
      <c r="X656">
        <v>6.14</v>
      </c>
      <c r="Y656">
        <v>22.5</v>
      </c>
      <c r="Z656">
        <v>71</v>
      </c>
      <c r="AA656">
        <v>6.9</v>
      </c>
      <c r="AB656">
        <v>3.94</v>
      </c>
      <c r="AC656">
        <v>11.78</v>
      </c>
      <c r="AD656">
        <v>0</v>
      </c>
      <c r="AE656">
        <v>1.1661971830985915</v>
      </c>
      <c r="AF656">
        <v>0.12443661971830984</v>
      </c>
      <c r="AG656">
        <v>6.38</v>
      </c>
      <c r="AH656">
        <v>31.5</v>
      </c>
      <c r="AI656">
        <v>30.7</v>
      </c>
    </row>
    <row r="657" spans="1:36" x14ac:dyDescent="0.5">
      <c r="A657">
        <v>60</v>
      </c>
      <c r="B657">
        <v>180</v>
      </c>
      <c r="C657">
        <v>0.1</v>
      </c>
      <c r="D657">
        <v>7</v>
      </c>
      <c r="E657">
        <v>250</v>
      </c>
      <c r="F657">
        <v>100</v>
      </c>
      <c r="G657">
        <v>14.285714285714286</v>
      </c>
      <c r="O657">
        <v>73</v>
      </c>
      <c r="P657">
        <v>10.32</v>
      </c>
      <c r="Q657">
        <v>43.74</v>
      </c>
      <c r="R657">
        <v>6.63</v>
      </c>
      <c r="S657">
        <v>3.74</v>
      </c>
      <c r="T657">
        <v>28.99</v>
      </c>
      <c r="U657">
        <v>0.25</v>
      </c>
      <c r="V657">
        <v>1.8189300411522633</v>
      </c>
      <c r="W657">
        <v>0.49708504801097392</v>
      </c>
      <c r="X657">
        <v>16.649999999999999</v>
      </c>
      <c r="Y657">
        <v>19.71</v>
      </c>
      <c r="Z657">
        <v>45.19</v>
      </c>
      <c r="AA657">
        <v>6.18</v>
      </c>
      <c r="AB657">
        <v>2.76</v>
      </c>
      <c r="AC657">
        <v>16.989999999999998</v>
      </c>
      <c r="AD657">
        <v>0.18</v>
      </c>
      <c r="AE657">
        <v>1.6410710334144722</v>
      </c>
      <c r="AF657">
        <v>0.28197610090728037</v>
      </c>
      <c r="AG657">
        <v>28.7</v>
      </c>
      <c r="AH657">
        <v>20.68</v>
      </c>
      <c r="AI657">
        <v>42.85</v>
      </c>
    </row>
    <row r="658" spans="1:36" x14ac:dyDescent="0.5">
      <c r="A658">
        <v>60</v>
      </c>
      <c r="B658">
        <v>230</v>
      </c>
      <c r="C658">
        <v>0.1</v>
      </c>
      <c r="D658">
        <v>7</v>
      </c>
      <c r="E658">
        <v>250</v>
      </c>
      <c r="F658">
        <v>100</v>
      </c>
      <c r="G658">
        <v>14.285714285714286</v>
      </c>
      <c r="O658">
        <v>73</v>
      </c>
      <c r="P658">
        <v>10.32</v>
      </c>
      <c r="Q658">
        <v>43.74</v>
      </c>
      <c r="R658">
        <v>6.63</v>
      </c>
      <c r="S658">
        <v>3.74</v>
      </c>
      <c r="T658">
        <v>28.99</v>
      </c>
      <c r="U658">
        <v>0.25</v>
      </c>
      <c r="V658">
        <v>1.8189300411522633</v>
      </c>
      <c r="W658">
        <v>0.49708504801097392</v>
      </c>
      <c r="X658">
        <v>16.649999999999999</v>
      </c>
      <c r="Y658">
        <v>19.71</v>
      </c>
      <c r="Z658">
        <v>51.28</v>
      </c>
      <c r="AA658">
        <v>5.8</v>
      </c>
      <c r="AB658">
        <v>3.1</v>
      </c>
      <c r="AC658">
        <v>12.11</v>
      </c>
      <c r="AD658">
        <v>7.0000000000000007E-2</v>
      </c>
      <c r="AE658">
        <v>1.3572542901716067</v>
      </c>
      <c r="AF658">
        <v>0.17711583463338532</v>
      </c>
      <c r="AG658">
        <v>27.62</v>
      </c>
      <c r="AH658">
        <v>22.87</v>
      </c>
      <c r="AI658">
        <v>46.55</v>
      </c>
    </row>
    <row r="659" spans="1:36" x14ac:dyDescent="0.5">
      <c r="A659">
        <v>60</v>
      </c>
      <c r="B659">
        <v>280</v>
      </c>
      <c r="C659">
        <v>0.1</v>
      </c>
      <c r="D659">
        <v>7</v>
      </c>
      <c r="E659">
        <v>250</v>
      </c>
      <c r="F659">
        <v>100</v>
      </c>
      <c r="G659">
        <v>14.285714285714286</v>
      </c>
      <c r="O659">
        <v>73</v>
      </c>
      <c r="P659">
        <v>10.32</v>
      </c>
      <c r="Q659">
        <v>43.74</v>
      </c>
      <c r="R659">
        <v>6.63</v>
      </c>
      <c r="S659">
        <v>3.74</v>
      </c>
      <c r="T659">
        <v>28.99</v>
      </c>
      <c r="U659">
        <v>0.25</v>
      </c>
      <c r="V659">
        <v>1.8189300411522633</v>
      </c>
      <c r="W659">
        <v>0.49708504801097392</v>
      </c>
      <c r="X659">
        <v>16.649999999999999</v>
      </c>
      <c r="Y659">
        <v>19.71</v>
      </c>
      <c r="Z659">
        <v>49.4</v>
      </c>
      <c r="AA659">
        <v>5.1100000000000003</v>
      </c>
      <c r="AB659">
        <v>3.24</v>
      </c>
      <c r="AC659">
        <v>11.77</v>
      </c>
      <c r="AD659">
        <v>0.09</v>
      </c>
      <c r="AE659">
        <v>1.2412955465587046</v>
      </c>
      <c r="AF659">
        <v>0.17869433198380569</v>
      </c>
      <c r="AG659">
        <v>30.41</v>
      </c>
      <c r="AH659">
        <v>21.37</v>
      </c>
      <c r="AI659">
        <v>34.25</v>
      </c>
    </row>
    <row r="660" spans="1:36" x14ac:dyDescent="0.5">
      <c r="A660">
        <v>60</v>
      </c>
      <c r="B660">
        <v>180</v>
      </c>
      <c r="C660">
        <v>0.1</v>
      </c>
      <c r="D660">
        <v>7</v>
      </c>
      <c r="E660">
        <v>250</v>
      </c>
      <c r="F660">
        <v>100</v>
      </c>
      <c r="G660">
        <v>14.285714285714286</v>
      </c>
      <c r="O660">
        <v>67.47</v>
      </c>
      <c r="P660">
        <v>8.84</v>
      </c>
      <c r="Q660">
        <v>39.799999999999997</v>
      </c>
      <c r="R660">
        <v>6.08</v>
      </c>
      <c r="S660">
        <v>4.0999999999999996</v>
      </c>
      <c r="T660">
        <v>26</v>
      </c>
      <c r="U660">
        <v>0.39</v>
      </c>
      <c r="V660">
        <v>1.8331658291457289</v>
      </c>
      <c r="W660">
        <v>0.4899497487437186</v>
      </c>
      <c r="X660">
        <v>23.65</v>
      </c>
      <c r="Y660">
        <v>17.84</v>
      </c>
      <c r="Z660">
        <v>37.92</v>
      </c>
      <c r="AA660">
        <v>5.33</v>
      </c>
      <c r="AB660">
        <v>2.56</v>
      </c>
      <c r="AC660">
        <v>14.01</v>
      </c>
      <c r="AD660">
        <v>0.25</v>
      </c>
      <c r="AE660">
        <v>1.6867088607594936</v>
      </c>
      <c r="AF660">
        <v>0.27709651898734178</v>
      </c>
      <c r="AG660">
        <v>39.92</v>
      </c>
      <c r="AH660">
        <v>17.22</v>
      </c>
      <c r="AI660">
        <v>48.45</v>
      </c>
    </row>
    <row r="661" spans="1:36" x14ac:dyDescent="0.5">
      <c r="A661">
        <v>60</v>
      </c>
      <c r="B661">
        <v>230</v>
      </c>
      <c r="C661">
        <v>0.1</v>
      </c>
      <c r="D661">
        <v>7</v>
      </c>
      <c r="E661">
        <v>250</v>
      </c>
      <c r="F661">
        <v>100</v>
      </c>
      <c r="G661">
        <v>14.285714285714286</v>
      </c>
      <c r="O661">
        <v>67.47</v>
      </c>
      <c r="P661">
        <v>8.84</v>
      </c>
      <c r="Q661">
        <v>39.799999999999997</v>
      </c>
      <c r="R661">
        <v>6.08</v>
      </c>
      <c r="S661">
        <v>4.0999999999999996</v>
      </c>
      <c r="T661">
        <v>26</v>
      </c>
      <c r="U661">
        <v>0.39</v>
      </c>
      <c r="V661">
        <v>1.8331658291457289</v>
      </c>
      <c r="W661">
        <v>0.4899497487437186</v>
      </c>
      <c r="X661">
        <v>23.65</v>
      </c>
      <c r="Y661">
        <v>17.84</v>
      </c>
      <c r="Z661">
        <v>42.21</v>
      </c>
      <c r="AA661">
        <v>4.96</v>
      </c>
      <c r="AB661">
        <v>2.66</v>
      </c>
      <c r="AC661">
        <v>10.32</v>
      </c>
      <c r="AD661">
        <v>0.17</v>
      </c>
      <c r="AE661">
        <v>1.4100923951670219</v>
      </c>
      <c r="AF661">
        <v>0.18336886993603413</v>
      </c>
      <c r="AG661">
        <v>39.68</v>
      </c>
      <c r="AH661">
        <v>18.649999999999999</v>
      </c>
      <c r="AI661">
        <v>50.47</v>
      </c>
    </row>
    <row r="662" spans="1:36" x14ac:dyDescent="0.5">
      <c r="A662">
        <v>60</v>
      </c>
      <c r="B662">
        <v>280</v>
      </c>
      <c r="C662">
        <v>0.1</v>
      </c>
      <c r="D662">
        <v>7</v>
      </c>
      <c r="E662">
        <v>250</v>
      </c>
      <c r="F662">
        <v>100</v>
      </c>
      <c r="G662">
        <v>14.285714285714286</v>
      </c>
      <c r="O662">
        <v>67.47</v>
      </c>
      <c r="P662">
        <v>8.84</v>
      </c>
      <c r="Q662">
        <v>39.799999999999997</v>
      </c>
      <c r="R662">
        <v>6.08</v>
      </c>
      <c r="S662">
        <v>4.0999999999999996</v>
      </c>
      <c r="T662">
        <v>26</v>
      </c>
      <c r="U662">
        <v>0.39</v>
      </c>
      <c r="V662">
        <v>1.8331658291457289</v>
      </c>
      <c r="W662">
        <v>0.4899497487437186</v>
      </c>
      <c r="X662">
        <v>23.65</v>
      </c>
      <c r="Y662">
        <v>17.84</v>
      </c>
      <c r="Z662">
        <v>37.049999999999997</v>
      </c>
      <c r="AA662">
        <v>4.09</v>
      </c>
      <c r="AB662">
        <v>2.59</v>
      </c>
      <c r="AC662">
        <v>6.63</v>
      </c>
      <c r="AD662">
        <v>0.14000000000000001</v>
      </c>
      <c r="AE662">
        <v>1.3246963562753036</v>
      </c>
      <c r="AF662">
        <v>0.13421052631578947</v>
      </c>
      <c r="AG662">
        <v>49.49</v>
      </c>
      <c r="AH662">
        <v>16.010000000000002</v>
      </c>
      <c r="AI662">
        <v>38.89</v>
      </c>
    </row>
    <row r="663" spans="1:36" x14ac:dyDescent="0.5">
      <c r="A663">
        <v>60</v>
      </c>
      <c r="B663">
        <v>180</v>
      </c>
      <c r="C663">
        <v>0.1</v>
      </c>
      <c r="D663">
        <v>7</v>
      </c>
      <c r="E663">
        <v>250</v>
      </c>
      <c r="F663">
        <v>100</v>
      </c>
      <c r="G663">
        <v>14.285714285714286</v>
      </c>
      <c r="O663">
        <v>61.93</v>
      </c>
      <c r="P663">
        <v>7.36</v>
      </c>
      <c r="Q663">
        <v>35.86</v>
      </c>
      <c r="R663">
        <v>5.52</v>
      </c>
      <c r="S663">
        <v>4.45</v>
      </c>
      <c r="T663">
        <v>23</v>
      </c>
      <c r="U663">
        <v>0.52</v>
      </c>
      <c r="V663">
        <v>1.8471834913552705</v>
      </c>
      <c r="W663">
        <v>0.48103736754043502</v>
      </c>
      <c r="X663">
        <v>30.65</v>
      </c>
      <c r="Y663">
        <v>15.98</v>
      </c>
      <c r="Z663">
        <v>31.8</v>
      </c>
      <c r="AA663">
        <v>4.5999999999999996</v>
      </c>
      <c r="AB663">
        <v>2.41</v>
      </c>
      <c r="AC663">
        <v>11.14</v>
      </c>
      <c r="AD663">
        <v>0.3</v>
      </c>
      <c r="AE663">
        <v>1.7358490566037734</v>
      </c>
      <c r="AF663">
        <v>0.2627358490566038</v>
      </c>
      <c r="AG663">
        <v>49.75</v>
      </c>
      <c r="AH663">
        <v>14.32</v>
      </c>
      <c r="AI663">
        <v>54.44</v>
      </c>
    </row>
    <row r="664" spans="1:36" x14ac:dyDescent="0.5">
      <c r="A664">
        <v>60</v>
      </c>
      <c r="B664">
        <v>230</v>
      </c>
      <c r="C664">
        <v>0.1</v>
      </c>
      <c r="D664">
        <v>7</v>
      </c>
      <c r="E664">
        <v>250</v>
      </c>
      <c r="F664">
        <v>100</v>
      </c>
      <c r="G664">
        <v>14.285714285714286</v>
      </c>
      <c r="O664">
        <v>61.93</v>
      </c>
      <c r="P664">
        <v>7.36</v>
      </c>
      <c r="Q664">
        <v>35.86</v>
      </c>
      <c r="R664">
        <v>5.52</v>
      </c>
      <c r="S664">
        <v>4.45</v>
      </c>
      <c r="T664">
        <v>23</v>
      </c>
      <c r="U664">
        <v>0.52</v>
      </c>
      <c r="V664">
        <v>1.8471834913552705</v>
      </c>
      <c r="W664">
        <v>0.48103736754043502</v>
      </c>
      <c r="X664">
        <v>30.65</v>
      </c>
      <c r="Y664">
        <v>15.98</v>
      </c>
      <c r="Z664">
        <v>31.88</v>
      </c>
      <c r="AA664">
        <v>3.99</v>
      </c>
      <c r="AB664">
        <v>2.3199999999999998</v>
      </c>
      <c r="AC664">
        <v>8.84</v>
      </c>
      <c r="AD664">
        <v>0.23</v>
      </c>
      <c r="AE664">
        <v>1.5018820577164367</v>
      </c>
      <c r="AF664">
        <v>0.20796737766624843</v>
      </c>
      <c r="AG664">
        <v>52.74</v>
      </c>
      <c r="AH664">
        <v>13.8</v>
      </c>
      <c r="AI664">
        <v>62.79</v>
      </c>
    </row>
    <row r="665" spans="1:36" x14ac:dyDescent="0.5">
      <c r="A665">
        <v>60</v>
      </c>
      <c r="B665">
        <v>280</v>
      </c>
      <c r="C665">
        <v>0.1</v>
      </c>
      <c r="D665">
        <v>7</v>
      </c>
      <c r="E665">
        <v>250</v>
      </c>
      <c r="F665">
        <v>100</v>
      </c>
      <c r="G665">
        <v>14.285714285714286</v>
      </c>
      <c r="O665">
        <v>61.93</v>
      </c>
      <c r="P665">
        <v>7.36</v>
      </c>
      <c r="Q665">
        <v>35.86</v>
      </c>
      <c r="R665">
        <v>5.52</v>
      </c>
      <c r="S665">
        <v>4.45</v>
      </c>
      <c r="T665">
        <v>23</v>
      </c>
      <c r="U665">
        <v>0.52</v>
      </c>
      <c r="V665">
        <v>1.8471834913552705</v>
      </c>
      <c r="W665">
        <v>0.48103736754043502</v>
      </c>
      <c r="X665">
        <v>30.65</v>
      </c>
      <c r="Y665">
        <v>15.98</v>
      </c>
      <c r="Z665">
        <v>30.29</v>
      </c>
      <c r="AA665">
        <v>3.62</v>
      </c>
      <c r="AB665">
        <v>2.12</v>
      </c>
      <c r="AC665">
        <v>3.43</v>
      </c>
      <c r="AD665">
        <v>0.19</v>
      </c>
      <c r="AE665">
        <v>1.4341366787718721</v>
      </c>
      <c r="AF665">
        <v>8.4929019478375709E-2</v>
      </c>
      <c r="AG665">
        <v>60.35</v>
      </c>
      <c r="AH665">
        <v>13.21</v>
      </c>
      <c r="AI665">
        <v>48.19</v>
      </c>
    </row>
    <row r="666" spans="1:36" x14ac:dyDescent="0.5">
      <c r="A666">
        <v>120</v>
      </c>
      <c r="B666">
        <v>200</v>
      </c>
      <c r="C666">
        <v>0.1</v>
      </c>
      <c r="D666">
        <v>30</v>
      </c>
      <c r="E666">
        <v>1000</v>
      </c>
      <c r="F666">
        <v>300</v>
      </c>
      <c r="G666">
        <v>10</v>
      </c>
      <c r="N666">
        <v>7.22</v>
      </c>
      <c r="O666">
        <v>76.58</v>
      </c>
      <c r="P666">
        <v>16.04</v>
      </c>
      <c r="Q666">
        <v>50.6</v>
      </c>
      <c r="R666">
        <v>5.62</v>
      </c>
      <c r="S666">
        <v>0.12</v>
      </c>
      <c r="T666">
        <v>43.49</v>
      </c>
      <c r="U666">
        <v>0.01</v>
      </c>
      <c r="V666">
        <v>1.332806324110672</v>
      </c>
      <c r="W666">
        <v>0.64461462450592888</v>
      </c>
      <c r="X666">
        <v>0.16</v>
      </c>
      <c r="Y666">
        <v>18.079999999999998</v>
      </c>
      <c r="Z666">
        <v>56.87</v>
      </c>
      <c r="AA666">
        <v>5.76</v>
      </c>
      <c r="AB666">
        <v>0.16700000000000001</v>
      </c>
      <c r="AC666">
        <v>37.1</v>
      </c>
      <c r="AD666">
        <v>0</v>
      </c>
      <c r="AE666">
        <v>1.2154035519606119</v>
      </c>
      <c r="AF666">
        <v>0.48927378231053281</v>
      </c>
      <c r="AG666">
        <v>0.1</v>
      </c>
      <c r="AH666">
        <v>21.63</v>
      </c>
      <c r="AI666">
        <v>71</v>
      </c>
      <c r="AJ666" t="s">
        <v>175</v>
      </c>
    </row>
    <row r="667" spans="1:36" x14ac:dyDescent="0.5">
      <c r="A667">
        <v>240</v>
      </c>
      <c r="B667">
        <v>200</v>
      </c>
      <c r="C667">
        <v>0.1</v>
      </c>
      <c r="D667">
        <v>30</v>
      </c>
      <c r="E667">
        <v>1000</v>
      </c>
      <c r="F667">
        <v>300</v>
      </c>
      <c r="G667">
        <v>10</v>
      </c>
      <c r="N667">
        <v>7.22</v>
      </c>
      <c r="O667">
        <v>76.58</v>
      </c>
      <c r="P667">
        <v>16.04</v>
      </c>
      <c r="Q667">
        <v>50.6</v>
      </c>
      <c r="R667">
        <v>5.62</v>
      </c>
      <c r="S667">
        <v>0.12</v>
      </c>
      <c r="T667">
        <v>43.49</v>
      </c>
      <c r="U667">
        <v>0.01</v>
      </c>
      <c r="V667">
        <v>1.332806324110672</v>
      </c>
      <c r="W667">
        <v>0.64461462450592888</v>
      </c>
      <c r="X667">
        <v>0.16</v>
      </c>
      <c r="Y667">
        <v>18.079999999999998</v>
      </c>
      <c r="Z667">
        <v>60.6</v>
      </c>
      <c r="AA667">
        <v>5.87</v>
      </c>
      <c r="AB667">
        <v>0.192</v>
      </c>
      <c r="AC667">
        <v>33.08</v>
      </c>
      <c r="AD667">
        <v>0</v>
      </c>
      <c r="AE667">
        <v>1.1623762376237625</v>
      </c>
      <c r="AF667">
        <v>0.40940594059405938</v>
      </c>
      <c r="AG667">
        <v>0.26</v>
      </c>
      <c r="AH667">
        <v>21.81</v>
      </c>
      <c r="AI667">
        <v>73</v>
      </c>
    </row>
    <row r="668" spans="1:36" x14ac:dyDescent="0.5">
      <c r="A668">
        <v>240</v>
      </c>
      <c r="B668">
        <v>200</v>
      </c>
      <c r="C668">
        <v>0.1</v>
      </c>
      <c r="D668">
        <v>30</v>
      </c>
      <c r="E668">
        <v>1000</v>
      </c>
      <c r="F668">
        <v>240</v>
      </c>
      <c r="G668">
        <v>8</v>
      </c>
      <c r="N668">
        <v>7.22</v>
      </c>
      <c r="O668">
        <v>76.58</v>
      </c>
      <c r="P668">
        <v>16.04</v>
      </c>
      <c r="Q668">
        <v>50.6</v>
      </c>
      <c r="R668">
        <v>5.62</v>
      </c>
      <c r="S668">
        <v>0.12</v>
      </c>
      <c r="T668">
        <v>43.49</v>
      </c>
      <c r="U668">
        <v>0.01</v>
      </c>
      <c r="V668">
        <v>1.332806324110672</v>
      </c>
      <c r="W668">
        <v>0.64461462450592888</v>
      </c>
      <c r="X668">
        <v>0.16</v>
      </c>
      <c r="Y668">
        <v>18.079999999999998</v>
      </c>
      <c r="Z668">
        <v>61.37</v>
      </c>
      <c r="AA668">
        <v>5.87</v>
      </c>
      <c r="AB668">
        <v>0.185</v>
      </c>
      <c r="AC668">
        <v>32.11</v>
      </c>
      <c r="AD668">
        <v>0</v>
      </c>
      <c r="AE668">
        <v>1.1477920808212481</v>
      </c>
      <c r="AF668">
        <v>0.39241486068111453</v>
      </c>
      <c r="AG668">
        <v>0.47</v>
      </c>
      <c r="AH668">
        <v>21.51</v>
      </c>
      <c r="AI668">
        <v>70</v>
      </c>
    </row>
    <row r="669" spans="1:36" x14ac:dyDescent="0.5">
      <c r="A669">
        <v>240</v>
      </c>
      <c r="B669">
        <v>200</v>
      </c>
      <c r="C669">
        <v>0.1</v>
      </c>
      <c r="D669">
        <v>30</v>
      </c>
      <c r="E669">
        <v>1000</v>
      </c>
      <c r="F669">
        <v>150</v>
      </c>
      <c r="G669">
        <v>5</v>
      </c>
      <c r="N669">
        <v>7.22</v>
      </c>
      <c r="O669">
        <v>76.58</v>
      </c>
      <c r="P669">
        <v>16.04</v>
      </c>
      <c r="Q669">
        <v>50.6</v>
      </c>
      <c r="R669">
        <v>5.62</v>
      </c>
      <c r="S669">
        <v>0.12</v>
      </c>
      <c r="T669">
        <v>43.49</v>
      </c>
      <c r="U669">
        <v>0.01</v>
      </c>
      <c r="V669">
        <v>1.332806324110672</v>
      </c>
      <c r="W669">
        <v>0.64461462450592888</v>
      </c>
      <c r="X669">
        <v>0.16</v>
      </c>
      <c r="Y669">
        <v>18.079999999999998</v>
      </c>
      <c r="Z669">
        <v>61.56</v>
      </c>
      <c r="AA669">
        <v>5.77</v>
      </c>
      <c r="AB669">
        <v>0.2</v>
      </c>
      <c r="AC669">
        <v>32.28</v>
      </c>
      <c r="AD669">
        <v>0</v>
      </c>
      <c r="AE669">
        <v>1.1247563352826511</v>
      </c>
      <c r="AF669">
        <v>0.39327485380116961</v>
      </c>
      <c r="AG669">
        <v>0.19</v>
      </c>
      <c r="AH669">
        <v>22.44</v>
      </c>
      <c r="AI669">
        <v>70</v>
      </c>
    </row>
    <row r="670" spans="1:36" x14ac:dyDescent="0.5">
      <c r="A670">
        <v>240</v>
      </c>
      <c r="B670">
        <v>180</v>
      </c>
      <c r="C670">
        <v>0.1</v>
      </c>
      <c r="D670">
        <v>30</v>
      </c>
      <c r="E670">
        <v>1000</v>
      </c>
      <c r="F670">
        <v>300</v>
      </c>
      <c r="G670">
        <v>10</v>
      </c>
      <c r="N670">
        <v>7.22</v>
      </c>
      <c r="O670">
        <v>76.58</v>
      </c>
      <c r="P670">
        <v>16.04</v>
      </c>
      <c r="Q670">
        <v>50.6</v>
      </c>
      <c r="R670">
        <v>5.62</v>
      </c>
      <c r="S670">
        <v>0.12</v>
      </c>
      <c r="T670">
        <v>43.49</v>
      </c>
      <c r="U670">
        <v>0.01</v>
      </c>
      <c r="V670">
        <v>1.332806324110672</v>
      </c>
      <c r="W670">
        <v>0.64461462450592888</v>
      </c>
      <c r="X670">
        <v>0.16</v>
      </c>
      <c r="Y670">
        <v>18.079999999999998</v>
      </c>
      <c r="Z670">
        <v>57.7</v>
      </c>
      <c r="AA670">
        <v>6.04</v>
      </c>
      <c r="AB670">
        <v>0.185</v>
      </c>
      <c r="AC670">
        <v>35.99</v>
      </c>
      <c r="AD670">
        <v>0</v>
      </c>
      <c r="AE670">
        <v>1.2561525129982669</v>
      </c>
      <c r="AF670">
        <v>0.46780762564991335</v>
      </c>
      <c r="AG670">
        <v>0.09</v>
      </c>
      <c r="AH670">
        <v>20.92</v>
      </c>
      <c r="AI670">
        <v>75</v>
      </c>
    </row>
    <row r="671" spans="1:36" x14ac:dyDescent="0.5">
      <c r="A671">
        <v>240</v>
      </c>
      <c r="B671">
        <v>220</v>
      </c>
      <c r="C671">
        <v>0.1</v>
      </c>
      <c r="D671">
        <v>30</v>
      </c>
      <c r="E671">
        <v>1000</v>
      </c>
      <c r="F671">
        <v>300</v>
      </c>
      <c r="G671">
        <v>10</v>
      </c>
      <c r="N671">
        <v>7.22</v>
      </c>
      <c r="O671">
        <v>76.58</v>
      </c>
      <c r="P671">
        <v>16.04</v>
      </c>
      <c r="Q671">
        <v>50.6</v>
      </c>
      <c r="R671">
        <v>5.62</v>
      </c>
      <c r="S671">
        <v>0.12</v>
      </c>
      <c r="T671">
        <v>43.49</v>
      </c>
      <c r="U671">
        <v>0.01</v>
      </c>
      <c r="V671">
        <v>1.332806324110672</v>
      </c>
      <c r="W671">
        <v>0.64461462450592888</v>
      </c>
      <c r="X671">
        <v>0.16</v>
      </c>
      <c r="Y671">
        <v>18.079999999999998</v>
      </c>
      <c r="Z671">
        <v>66.7</v>
      </c>
      <c r="AA671">
        <v>5.7</v>
      </c>
      <c r="AB671">
        <v>0.223</v>
      </c>
      <c r="AC671">
        <v>27.28</v>
      </c>
      <c r="AD671">
        <v>0</v>
      </c>
      <c r="AE671">
        <v>1.025487256371814</v>
      </c>
      <c r="AF671">
        <v>0.3067466266866567</v>
      </c>
      <c r="AG671">
        <v>0.1</v>
      </c>
      <c r="AH671">
        <v>23.89</v>
      </c>
      <c r="AI671">
        <v>58</v>
      </c>
    </row>
    <row r="672" spans="1:36" x14ac:dyDescent="0.5">
      <c r="A672">
        <v>120</v>
      </c>
      <c r="B672">
        <v>250</v>
      </c>
      <c r="C672">
        <v>0.1</v>
      </c>
      <c r="D672">
        <v>35</v>
      </c>
      <c r="E672">
        <v>500</v>
      </c>
      <c r="F672">
        <v>350</v>
      </c>
      <c r="G672">
        <v>10</v>
      </c>
      <c r="N672">
        <v>76.8</v>
      </c>
      <c r="O672">
        <v>65.7</v>
      </c>
      <c r="P672">
        <v>3.8</v>
      </c>
      <c r="Q672">
        <v>32.9</v>
      </c>
      <c r="R672">
        <v>3</v>
      </c>
      <c r="S672">
        <v>4</v>
      </c>
      <c r="T672">
        <v>29.4</v>
      </c>
      <c r="U672">
        <v>0.2</v>
      </c>
      <c r="V672">
        <v>1.094224924012158</v>
      </c>
      <c r="W672">
        <v>0.67021276595744672</v>
      </c>
      <c r="X672">
        <v>30.5</v>
      </c>
      <c r="Y672">
        <v>13.2</v>
      </c>
      <c r="Z672">
        <v>34.4</v>
      </c>
      <c r="AA672">
        <v>3.6</v>
      </c>
      <c r="AB672">
        <v>1.8</v>
      </c>
      <c r="AC672">
        <v>12</v>
      </c>
      <c r="AD672">
        <v>0.7</v>
      </c>
      <c r="AE672">
        <v>1.2558139534883721</v>
      </c>
      <c r="AF672">
        <v>0.26162790697674421</v>
      </c>
      <c r="AG672">
        <v>47.7</v>
      </c>
      <c r="AH672">
        <v>13.89</v>
      </c>
      <c r="AI672">
        <v>51</v>
      </c>
      <c r="AJ672" t="s">
        <v>74</v>
      </c>
    </row>
    <row r="673" spans="1:36" x14ac:dyDescent="0.5">
      <c r="A673">
        <v>120</v>
      </c>
      <c r="B673">
        <v>250</v>
      </c>
      <c r="C673">
        <v>0.1</v>
      </c>
      <c r="D673">
        <v>35</v>
      </c>
      <c r="E673">
        <v>500</v>
      </c>
      <c r="F673">
        <v>350</v>
      </c>
      <c r="G673">
        <v>10</v>
      </c>
      <c r="N673">
        <v>35</v>
      </c>
      <c r="O673">
        <v>74.099999999999994</v>
      </c>
      <c r="P673">
        <v>13.3</v>
      </c>
      <c r="Q673">
        <v>39.4</v>
      </c>
      <c r="R673">
        <v>5.3</v>
      </c>
      <c r="S673">
        <v>10</v>
      </c>
      <c r="T673">
        <v>41.3</v>
      </c>
      <c r="U673">
        <v>0.5</v>
      </c>
      <c r="V673">
        <v>1.6142131979695431</v>
      </c>
      <c r="W673">
        <v>0.78616751269035534</v>
      </c>
      <c r="X673">
        <v>12.6</v>
      </c>
      <c r="Y673">
        <v>16.7</v>
      </c>
      <c r="Z673">
        <v>54.5</v>
      </c>
      <c r="AA673">
        <v>5.2</v>
      </c>
      <c r="AB673">
        <v>0.8</v>
      </c>
      <c r="AC673">
        <v>18.899999999999999</v>
      </c>
      <c r="AD673">
        <v>0.6</v>
      </c>
      <c r="AE673">
        <v>1.144954128440367</v>
      </c>
      <c r="AF673">
        <v>0.26009174311926603</v>
      </c>
      <c r="AG673">
        <v>20</v>
      </c>
      <c r="AH673">
        <v>20.73</v>
      </c>
      <c r="AI673">
        <v>47</v>
      </c>
    </row>
    <row r="674" spans="1:36" x14ac:dyDescent="0.5">
      <c r="A674">
        <v>60</v>
      </c>
      <c r="B674">
        <v>200</v>
      </c>
      <c r="C674">
        <v>3</v>
      </c>
      <c r="D674">
        <v>100</v>
      </c>
      <c r="E674">
        <v>1000</v>
      </c>
      <c r="F674">
        <v>600</v>
      </c>
      <c r="G674">
        <v>6</v>
      </c>
      <c r="Q674">
        <v>39.5</v>
      </c>
      <c r="R674">
        <v>7.3</v>
      </c>
      <c r="S674">
        <v>5.7</v>
      </c>
      <c r="T674">
        <v>47.7</v>
      </c>
      <c r="U674">
        <v>0.3</v>
      </c>
      <c r="V674">
        <v>2.2177215189873416</v>
      </c>
      <c r="W674">
        <v>0.90569620253164562</v>
      </c>
      <c r="X674">
        <v>6.4</v>
      </c>
      <c r="Y674">
        <v>15.1</v>
      </c>
      <c r="Z674">
        <v>62.7</v>
      </c>
      <c r="AA674">
        <v>7.2</v>
      </c>
      <c r="AB674">
        <v>4.3</v>
      </c>
      <c r="AC674">
        <v>24.8</v>
      </c>
      <c r="AD674">
        <v>0.3</v>
      </c>
      <c r="AE674">
        <v>1.3779904306220094</v>
      </c>
      <c r="AF674">
        <v>0.29665071770334928</v>
      </c>
      <c r="AG674">
        <v>4.5</v>
      </c>
      <c r="AH674">
        <v>20.8</v>
      </c>
      <c r="AI674">
        <v>7.6</v>
      </c>
      <c r="AJ674" t="s">
        <v>177</v>
      </c>
    </row>
    <row r="675" spans="1:36" x14ac:dyDescent="0.5">
      <c r="A675">
        <v>60</v>
      </c>
      <c r="B675">
        <v>250</v>
      </c>
      <c r="C675">
        <v>3</v>
      </c>
      <c r="D675">
        <v>100</v>
      </c>
      <c r="E675">
        <v>1000</v>
      </c>
      <c r="F675">
        <v>600</v>
      </c>
      <c r="G675">
        <v>6</v>
      </c>
      <c r="Q675">
        <v>39.5</v>
      </c>
      <c r="R675">
        <v>7.3</v>
      </c>
      <c r="S675">
        <v>5.7</v>
      </c>
      <c r="T675">
        <v>47.7</v>
      </c>
      <c r="U675">
        <v>0.3</v>
      </c>
      <c r="V675">
        <v>2.2177215189873416</v>
      </c>
      <c r="W675">
        <v>0.90569620253164562</v>
      </c>
      <c r="X675">
        <v>6.4</v>
      </c>
      <c r="Y675">
        <v>15.1</v>
      </c>
      <c r="Z675">
        <v>68</v>
      </c>
      <c r="AA675">
        <v>7</v>
      </c>
      <c r="AB675">
        <v>4.4000000000000004</v>
      </c>
      <c r="AC675">
        <v>20</v>
      </c>
      <c r="AD675">
        <v>0.3</v>
      </c>
      <c r="AE675">
        <v>1.2352941176470587</v>
      </c>
      <c r="AF675">
        <v>0.22058823529411764</v>
      </c>
      <c r="AG675">
        <v>3.1</v>
      </c>
      <c r="AH675">
        <v>28.8</v>
      </c>
      <c r="AI675">
        <v>6.7</v>
      </c>
    </row>
    <row r="676" spans="1:36" x14ac:dyDescent="0.5">
      <c r="A676">
        <v>60</v>
      </c>
      <c r="B676">
        <v>300</v>
      </c>
      <c r="C676">
        <v>3</v>
      </c>
      <c r="D676">
        <v>100</v>
      </c>
      <c r="E676">
        <v>1000</v>
      </c>
      <c r="F676">
        <v>600</v>
      </c>
      <c r="G676">
        <v>6</v>
      </c>
      <c r="Q676">
        <v>39.5</v>
      </c>
      <c r="R676">
        <v>7.3</v>
      </c>
      <c r="S676">
        <v>5.7</v>
      </c>
      <c r="T676">
        <v>47.7</v>
      </c>
      <c r="U676">
        <v>0.3</v>
      </c>
      <c r="V676">
        <v>2.2177215189873416</v>
      </c>
      <c r="W676">
        <v>0.90569620253164562</v>
      </c>
      <c r="X676">
        <v>6.4</v>
      </c>
      <c r="Y676">
        <v>15.1</v>
      </c>
      <c r="Z676">
        <v>73.400000000000006</v>
      </c>
      <c r="AA676">
        <v>7</v>
      </c>
      <c r="AB676">
        <v>5.0999999999999996</v>
      </c>
      <c r="AC676">
        <v>17.100000000000001</v>
      </c>
      <c r="AD676">
        <v>0.3</v>
      </c>
      <c r="AE676">
        <v>1.1444141689373295</v>
      </c>
      <c r="AF676">
        <v>0.17472752043596732</v>
      </c>
      <c r="AG676">
        <v>2.2000000000000002</v>
      </c>
      <c r="AH676">
        <v>31.1</v>
      </c>
      <c r="AI676">
        <v>5.6</v>
      </c>
    </row>
    <row r="677" spans="1:36" x14ac:dyDescent="0.5">
      <c r="A677">
        <v>60</v>
      </c>
      <c r="B677">
        <v>200</v>
      </c>
      <c r="C677">
        <v>3</v>
      </c>
      <c r="D677">
        <v>100</v>
      </c>
      <c r="E677">
        <v>1000</v>
      </c>
      <c r="F677">
        <v>600</v>
      </c>
      <c r="G677">
        <v>6</v>
      </c>
      <c r="Q677">
        <v>74</v>
      </c>
      <c r="R677">
        <v>5.5</v>
      </c>
      <c r="S677">
        <v>1.1000000000000001</v>
      </c>
      <c r="T677">
        <v>19.100000000000001</v>
      </c>
      <c r="U677">
        <v>0.3</v>
      </c>
      <c r="V677">
        <v>0.89189189189189189</v>
      </c>
      <c r="W677">
        <v>0.19358108108108107</v>
      </c>
      <c r="X677">
        <v>7.4</v>
      </c>
      <c r="Y677">
        <v>28.8</v>
      </c>
      <c r="Z677">
        <v>84.2</v>
      </c>
      <c r="AA677">
        <v>2.4</v>
      </c>
      <c r="AB677">
        <v>1.5</v>
      </c>
      <c r="AC677">
        <v>11.5</v>
      </c>
      <c r="AD677">
        <v>0.3</v>
      </c>
      <c r="AE677">
        <v>0.34204275534441803</v>
      </c>
      <c r="AF677">
        <v>0.10243467933491686</v>
      </c>
      <c r="AG677">
        <v>6.6</v>
      </c>
      <c r="AH677">
        <v>29.2</v>
      </c>
      <c r="AI677">
        <v>96</v>
      </c>
    </row>
    <row r="678" spans="1:36" x14ac:dyDescent="0.5">
      <c r="A678">
        <v>60</v>
      </c>
      <c r="B678">
        <v>250</v>
      </c>
      <c r="C678">
        <v>3</v>
      </c>
      <c r="D678">
        <v>100</v>
      </c>
      <c r="E678">
        <v>1000</v>
      </c>
      <c r="F678">
        <v>600</v>
      </c>
      <c r="G678">
        <v>6</v>
      </c>
      <c r="Q678">
        <v>74</v>
      </c>
      <c r="R678">
        <v>5.5</v>
      </c>
      <c r="S678">
        <v>1.1000000000000001</v>
      </c>
      <c r="T678">
        <v>19.100000000000001</v>
      </c>
      <c r="U678">
        <v>0.3</v>
      </c>
      <c r="V678">
        <v>0.89189189189189189</v>
      </c>
      <c r="W678">
        <v>0.19358108108108107</v>
      </c>
      <c r="X678">
        <v>7.4</v>
      </c>
      <c r="Y678">
        <v>28.8</v>
      </c>
      <c r="Z678">
        <v>85.9</v>
      </c>
      <c r="AA678">
        <v>2.5</v>
      </c>
      <c r="AB678">
        <v>1.2</v>
      </c>
      <c r="AC678">
        <v>10</v>
      </c>
      <c r="AD678">
        <v>0.3</v>
      </c>
      <c r="AE678">
        <v>0.34924330616996502</v>
      </c>
      <c r="AF678">
        <v>8.7310826542491254E-2</v>
      </c>
      <c r="AG678">
        <v>6.8</v>
      </c>
      <c r="AH678">
        <v>30.1</v>
      </c>
      <c r="AI678">
        <v>94.2</v>
      </c>
    </row>
    <row r="679" spans="1:36" x14ac:dyDescent="0.5">
      <c r="A679">
        <v>60</v>
      </c>
      <c r="B679">
        <v>300</v>
      </c>
      <c r="C679">
        <v>3</v>
      </c>
      <c r="D679">
        <v>100</v>
      </c>
      <c r="E679">
        <v>1000</v>
      </c>
      <c r="F679">
        <v>600</v>
      </c>
      <c r="G679">
        <v>6</v>
      </c>
      <c r="Q679">
        <v>74</v>
      </c>
      <c r="R679">
        <v>5.5</v>
      </c>
      <c r="S679">
        <v>1.1000000000000001</v>
      </c>
      <c r="T679">
        <v>19.100000000000001</v>
      </c>
      <c r="U679">
        <v>0.3</v>
      </c>
      <c r="V679">
        <v>0.89189189189189189</v>
      </c>
      <c r="W679">
        <v>0.19358108108108107</v>
      </c>
      <c r="X679">
        <v>7.4</v>
      </c>
      <c r="Y679">
        <v>28.8</v>
      </c>
      <c r="Z679">
        <v>87.4</v>
      </c>
      <c r="AA679">
        <v>2.7</v>
      </c>
      <c r="AB679">
        <v>1.7</v>
      </c>
      <c r="AC679">
        <v>7.8</v>
      </c>
      <c r="AD679">
        <v>0.3</v>
      </c>
      <c r="AE679">
        <v>0.37070938215102972</v>
      </c>
      <c r="AF679">
        <v>6.6933638443935919E-2</v>
      </c>
      <c r="AG679">
        <v>5.5</v>
      </c>
      <c r="AH679">
        <v>31.4</v>
      </c>
      <c r="AI679">
        <v>92.3</v>
      </c>
    </row>
    <row r="680" spans="1:36" x14ac:dyDescent="0.5">
      <c r="A680">
        <v>60</v>
      </c>
      <c r="B680">
        <v>200</v>
      </c>
      <c r="C680">
        <v>3</v>
      </c>
      <c r="D680">
        <v>100</v>
      </c>
      <c r="E680">
        <v>1000</v>
      </c>
      <c r="F680">
        <v>600</v>
      </c>
      <c r="G680">
        <v>6</v>
      </c>
      <c r="Q680">
        <v>56.75</v>
      </c>
      <c r="R680">
        <v>6.4</v>
      </c>
      <c r="S680">
        <v>3.4</v>
      </c>
      <c r="T680">
        <v>33.4</v>
      </c>
      <c r="U680">
        <v>0.3</v>
      </c>
      <c r="V680">
        <v>1.3533039647577092</v>
      </c>
      <c r="W680">
        <v>0.44140969162995591</v>
      </c>
      <c r="X680">
        <v>6.9</v>
      </c>
      <c r="Y680">
        <v>21.95</v>
      </c>
      <c r="Z680">
        <v>65.400000000000006</v>
      </c>
      <c r="AA680">
        <v>5.6</v>
      </c>
      <c r="AB680">
        <v>4.5</v>
      </c>
      <c r="AC680">
        <v>24.1</v>
      </c>
      <c r="AD680">
        <v>0.3</v>
      </c>
      <c r="AE680">
        <v>1.0275229357798163</v>
      </c>
      <c r="AF680">
        <v>0.27637614678899081</v>
      </c>
      <c r="AG680">
        <v>4.3</v>
      </c>
      <c r="AH680">
        <v>25.3</v>
      </c>
      <c r="AI680">
        <v>79.5</v>
      </c>
    </row>
    <row r="681" spans="1:36" x14ac:dyDescent="0.5">
      <c r="A681">
        <v>60</v>
      </c>
      <c r="B681">
        <v>250</v>
      </c>
      <c r="C681">
        <v>3</v>
      </c>
      <c r="D681">
        <v>100</v>
      </c>
      <c r="E681">
        <v>1000</v>
      </c>
      <c r="F681">
        <v>600</v>
      </c>
      <c r="G681">
        <v>6</v>
      </c>
      <c r="Q681">
        <v>56.75</v>
      </c>
      <c r="R681">
        <v>6.4</v>
      </c>
      <c r="S681">
        <v>3.4</v>
      </c>
      <c r="T681">
        <v>33.4</v>
      </c>
      <c r="U681">
        <v>0.3</v>
      </c>
      <c r="V681">
        <v>1.3533039647577092</v>
      </c>
      <c r="W681">
        <v>0.44140969162995591</v>
      </c>
      <c r="X681">
        <v>6.9</v>
      </c>
      <c r="Y681">
        <v>21.95</v>
      </c>
      <c r="Z681">
        <v>70.3</v>
      </c>
      <c r="AA681">
        <v>4.9000000000000004</v>
      </c>
      <c r="AB681">
        <v>0.8</v>
      </c>
      <c r="AC681">
        <v>23.6</v>
      </c>
      <c r="AD681">
        <v>0.3</v>
      </c>
      <c r="AE681">
        <v>0.83641536273115225</v>
      </c>
      <c r="AF681">
        <v>0.25177809388335703</v>
      </c>
      <c r="AG681">
        <v>4.5</v>
      </c>
      <c r="AH681">
        <v>26</v>
      </c>
      <c r="AI681">
        <v>74.099999999999994</v>
      </c>
    </row>
    <row r="682" spans="1:36" x14ac:dyDescent="0.5">
      <c r="A682">
        <v>60</v>
      </c>
      <c r="B682">
        <v>300</v>
      </c>
      <c r="C682">
        <v>3</v>
      </c>
      <c r="D682">
        <v>100</v>
      </c>
      <c r="E682">
        <v>1000</v>
      </c>
      <c r="F682">
        <v>600</v>
      </c>
      <c r="G682">
        <v>6</v>
      </c>
      <c r="Q682">
        <v>56.75</v>
      </c>
      <c r="R682">
        <v>6.4</v>
      </c>
      <c r="S682">
        <v>3.4</v>
      </c>
      <c r="T682">
        <v>33.4</v>
      </c>
      <c r="U682">
        <v>0.3</v>
      </c>
      <c r="V682">
        <v>1.3533039647577092</v>
      </c>
      <c r="W682">
        <v>0.44140969162995591</v>
      </c>
      <c r="X682">
        <v>6.9</v>
      </c>
      <c r="Y682">
        <v>21.95</v>
      </c>
      <c r="Z682">
        <v>81.2</v>
      </c>
      <c r="AA682">
        <v>3.1</v>
      </c>
      <c r="AB682">
        <v>0.9</v>
      </c>
      <c r="AC682">
        <v>14.4</v>
      </c>
      <c r="AD682">
        <v>0.3</v>
      </c>
      <c r="AE682">
        <v>0.45812807881773399</v>
      </c>
      <c r="AF682">
        <v>0.13300492610837439</v>
      </c>
      <c r="AG682">
        <v>3.4</v>
      </c>
      <c r="AH682">
        <v>28.6</v>
      </c>
      <c r="AI682">
        <v>71.099999999999994</v>
      </c>
    </row>
    <row r="683" spans="1:36" x14ac:dyDescent="0.5">
      <c r="A683">
        <v>120</v>
      </c>
      <c r="B683">
        <v>160</v>
      </c>
      <c r="C683">
        <v>0.1</v>
      </c>
      <c r="D683">
        <v>4</v>
      </c>
      <c r="E683">
        <v>50</v>
      </c>
      <c r="F683">
        <v>40</v>
      </c>
      <c r="G683">
        <v>10</v>
      </c>
      <c r="O683">
        <v>84.5</v>
      </c>
      <c r="P683">
        <v>6.98</v>
      </c>
      <c r="Q683">
        <v>44.2</v>
      </c>
      <c r="R683">
        <v>5.38</v>
      </c>
      <c r="S683">
        <v>0.6</v>
      </c>
      <c r="T683">
        <v>49.8</v>
      </c>
      <c r="U683">
        <v>0</v>
      </c>
      <c r="V683">
        <v>1.4606334841628958</v>
      </c>
      <c r="W683">
        <v>0.84502262443438902</v>
      </c>
      <c r="X683">
        <v>8.3000000000000007</v>
      </c>
      <c r="Y683">
        <v>15.37</v>
      </c>
      <c r="Z683">
        <v>45.1</v>
      </c>
      <c r="AA683">
        <v>5.18</v>
      </c>
      <c r="AB683">
        <v>0.5</v>
      </c>
      <c r="AC683">
        <v>49.2</v>
      </c>
      <c r="AD683">
        <v>0</v>
      </c>
      <c r="AE683">
        <v>1.378270509977827</v>
      </c>
      <c r="AF683">
        <v>0.81818181818181823</v>
      </c>
      <c r="AG683">
        <v>5.1100000000000003</v>
      </c>
      <c r="AH683">
        <v>15.72</v>
      </c>
      <c r="AI683">
        <v>78.5</v>
      </c>
      <c r="AJ683" t="s">
        <v>179</v>
      </c>
    </row>
    <row r="684" spans="1:36" x14ac:dyDescent="0.5">
      <c r="A684">
        <v>120</v>
      </c>
      <c r="B684">
        <v>180</v>
      </c>
      <c r="C684">
        <v>0.1</v>
      </c>
      <c r="D684">
        <v>4</v>
      </c>
      <c r="E684">
        <v>50</v>
      </c>
      <c r="F684">
        <v>40</v>
      </c>
      <c r="G684">
        <v>10</v>
      </c>
      <c r="O684">
        <v>84.5</v>
      </c>
      <c r="P684">
        <v>6.98</v>
      </c>
      <c r="Q684">
        <v>44.2</v>
      </c>
      <c r="R684">
        <v>5.38</v>
      </c>
      <c r="S684">
        <v>0.6</v>
      </c>
      <c r="T684">
        <v>49.8</v>
      </c>
      <c r="U684">
        <v>0</v>
      </c>
      <c r="V684">
        <v>1.4606334841628958</v>
      </c>
      <c r="W684">
        <v>0.84502262443438902</v>
      </c>
      <c r="X684">
        <v>8.3000000000000007</v>
      </c>
      <c r="Y684">
        <v>15.37</v>
      </c>
      <c r="Z684">
        <v>48.2</v>
      </c>
      <c r="AA684">
        <v>5.23</v>
      </c>
      <c r="AB684">
        <v>0.4</v>
      </c>
      <c r="AC684">
        <v>44.14</v>
      </c>
      <c r="AD684">
        <v>0</v>
      </c>
      <c r="AE684">
        <v>1.3020746887966805</v>
      </c>
      <c r="AF684">
        <v>0.68682572614107884</v>
      </c>
      <c r="AG684">
        <v>5.32</v>
      </c>
      <c r="AH684">
        <v>17.829999999999998</v>
      </c>
      <c r="AI684">
        <v>75.2</v>
      </c>
    </row>
    <row r="685" spans="1:36" x14ac:dyDescent="0.5">
      <c r="A685">
        <v>120</v>
      </c>
      <c r="B685">
        <v>200</v>
      </c>
      <c r="C685">
        <v>0.1</v>
      </c>
      <c r="D685">
        <v>4</v>
      </c>
      <c r="E685">
        <v>50</v>
      </c>
      <c r="F685">
        <v>40</v>
      </c>
      <c r="G685">
        <v>10</v>
      </c>
      <c r="O685">
        <v>84.5</v>
      </c>
      <c r="P685">
        <v>6.98</v>
      </c>
      <c r="Q685">
        <v>44.2</v>
      </c>
      <c r="R685">
        <v>5.38</v>
      </c>
      <c r="S685">
        <v>0.6</v>
      </c>
      <c r="T685">
        <v>49.8</v>
      </c>
      <c r="U685">
        <v>0</v>
      </c>
      <c r="V685">
        <v>1.4606334841628958</v>
      </c>
      <c r="W685">
        <v>0.84502262443438902</v>
      </c>
      <c r="X685">
        <v>8.3000000000000007</v>
      </c>
      <c r="Y685">
        <v>15.37</v>
      </c>
      <c r="Z685">
        <v>50.39</v>
      </c>
      <c r="AA685">
        <v>5.13</v>
      </c>
      <c r="AB685">
        <v>0.4</v>
      </c>
      <c r="AC685">
        <v>43.02</v>
      </c>
      <c r="AD685">
        <v>0</v>
      </c>
      <c r="AE685">
        <v>1.2216709664615995</v>
      </c>
      <c r="AF685">
        <v>0.64030561619368931</v>
      </c>
      <c r="AG685">
        <v>6.06</v>
      </c>
      <c r="AH685">
        <v>19.600000000000001</v>
      </c>
      <c r="AI685">
        <v>61.8</v>
      </c>
    </row>
    <row r="686" spans="1:36" x14ac:dyDescent="0.5">
      <c r="A686">
        <v>240</v>
      </c>
      <c r="B686">
        <v>200</v>
      </c>
      <c r="C686">
        <v>0.1</v>
      </c>
      <c r="D686">
        <v>4</v>
      </c>
      <c r="E686">
        <v>50</v>
      </c>
      <c r="F686">
        <v>40</v>
      </c>
      <c r="G686">
        <v>10</v>
      </c>
      <c r="O686">
        <v>84.5</v>
      </c>
      <c r="P686">
        <v>6.98</v>
      </c>
      <c r="Q686">
        <v>44.2</v>
      </c>
      <c r="R686">
        <v>5.38</v>
      </c>
      <c r="S686">
        <v>0.6</v>
      </c>
      <c r="T686">
        <v>49.8</v>
      </c>
      <c r="U686">
        <v>0</v>
      </c>
      <c r="V686">
        <v>1.4606334841628958</v>
      </c>
      <c r="W686">
        <v>0.84502262443438902</v>
      </c>
      <c r="X686">
        <v>8.3000000000000007</v>
      </c>
      <c r="Y686">
        <v>15.37</v>
      </c>
      <c r="Z686">
        <v>53.09</v>
      </c>
      <c r="AA686">
        <v>5.1100000000000003</v>
      </c>
      <c r="AB686">
        <v>0.3</v>
      </c>
      <c r="AC686">
        <v>41.08</v>
      </c>
      <c r="AD686">
        <v>0</v>
      </c>
      <c r="AE686">
        <v>1.1550197777359201</v>
      </c>
      <c r="AF686">
        <v>0.58033527971369359</v>
      </c>
      <c r="AG686">
        <v>6.11</v>
      </c>
      <c r="AH686">
        <v>19.63</v>
      </c>
      <c r="AI686">
        <v>56.3</v>
      </c>
    </row>
    <row r="687" spans="1:36" x14ac:dyDescent="0.5">
      <c r="A687">
        <v>480</v>
      </c>
      <c r="B687">
        <v>200</v>
      </c>
      <c r="C687">
        <v>0.1</v>
      </c>
      <c r="D687">
        <v>4</v>
      </c>
      <c r="E687">
        <v>50</v>
      </c>
      <c r="F687">
        <v>40</v>
      </c>
      <c r="G687">
        <v>10</v>
      </c>
      <c r="O687">
        <v>84.5</v>
      </c>
      <c r="P687">
        <v>6.98</v>
      </c>
      <c r="Q687">
        <v>44.2</v>
      </c>
      <c r="R687">
        <v>5.38</v>
      </c>
      <c r="S687">
        <v>0.6</v>
      </c>
      <c r="T687">
        <v>49.8</v>
      </c>
      <c r="U687">
        <v>0</v>
      </c>
      <c r="V687">
        <v>1.4606334841628958</v>
      </c>
      <c r="W687">
        <v>0.84502262443438902</v>
      </c>
      <c r="X687">
        <v>8.3000000000000007</v>
      </c>
      <c r="Y687">
        <v>15.37</v>
      </c>
      <c r="Z687">
        <v>56.09</v>
      </c>
      <c r="AA687">
        <v>5.0599999999999996</v>
      </c>
      <c r="AB687">
        <v>0.2</v>
      </c>
      <c r="AC687">
        <v>37.68</v>
      </c>
      <c r="AD687">
        <v>0</v>
      </c>
      <c r="AE687">
        <v>1.0825459083615616</v>
      </c>
      <c r="AF687">
        <v>0.50383312533428415</v>
      </c>
      <c r="AG687">
        <v>6.62</v>
      </c>
      <c r="AH687">
        <v>20.16</v>
      </c>
      <c r="AI687">
        <v>51.5</v>
      </c>
    </row>
    <row r="688" spans="1:36" x14ac:dyDescent="0.5">
      <c r="A688">
        <v>720</v>
      </c>
      <c r="B688">
        <v>200</v>
      </c>
      <c r="C688">
        <v>0.1</v>
      </c>
      <c r="D688">
        <v>4</v>
      </c>
      <c r="E688">
        <v>50</v>
      </c>
      <c r="F688">
        <v>40</v>
      </c>
      <c r="G688">
        <v>10</v>
      </c>
      <c r="O688">
        <v>84.5</v>
      </c>
      <c r="P688">
        <v>6.98</v>
      </c>
      <c r="Q688">
        <v>44.2</v>
      </c>
      <c r="R688">
        <v>5.38</v>
      </c>
      <c r="S688">
        <v>0.6</v>
      </c>
      <c r="T688">
        <v>49.8</v>
      </c>
      <c r="U688">
        <v>0</v>
      </c>
      <c r="V688">
        <v>1.4606334841628958</v>
      </c>
      <c r="W688">
        <v>0.84502262443438902</v>
      </c>
      <c r="X688">
        <v>8.3000000000000007</v>
      </c>
      <c r="Y688">
        <v>15.37</v>
      </c>
      <c r="Z688">
        <v>59.99</v>
      </c>
      <c r="AA688">
        <v>5.14</v>
      </c>
      <c r="AB688">
        <v>0.2</v>
      </c>
      <c r="AC688">
        <v>32.700000000000003</v>
      </c>
      <c r="AD688">
        <v>0</v>
      </c>
      <c r="AE688">
        <v>1.028171361893649</v>
      </c>
      <c r="AF688">
        <v>0.4088181363560594</v>
      </c>
      <c r="AG688">
        <v>7.74</v>
      </c>
      <c r="AH688">
        <v>23.33</v>
      </c>
      <c r="AI688">
        <v>50.5</v>
      </c>
    </row>
    <row r="689" spans="1:36" x14ac:dyDescent="0.5">
      <c r="A689">
        <v>1440</v>
      </c>
      <c r="B689">
        <v>200</v>
      </c>
      <c r="C689">
        <v>0.1</v>
      </c>
      <c r="D689">
        <v>4</v>
      </c>
      <c r="E689">
        <v>50</v>
      </c>
      <c r="F689">
        <v>40</v>
      </c>
      <c r="G689">
        <v>10</v>
      </c>
      <c r="O689">
        <v>84.5</v>
      </c>
      <c r="P689">
        <v>6.98</v>
      </c>
      <c r="Q689">
        <v>44.2</v>
      </c>
      <c r="R689">
        <v>5.38</v>
      </c>
      <c r="S689">
        <v>0.6</v>
      </c>
      <c r="T689">
        <v>49.8</v>
      </c>
      <c r="U689">
        <v>0</v>
      </c>
      <c r="V689">
        <v>1.4606334841628958</v>
      </c>
      <c r="W689">
        <v>0.84502262443438902</v>
      </c>
      <c r="X689">
        <v>8.3000000000000007</v>
      </c>
      <c r="Y689">
        <v>15.37</v>
      </c>
      <c r="Z689">
        <v>60</v>
      </c>
      <c r="AA689">
        <v>5.19</v>
      </c>
      <c r="AB689">
        <v>0.1</v>
      </c>
      <c r="AC689">
        <v>32.479999999999997</v>
      </c>
      <c r="AD689">
        <v>0</v>
      </c>
      <c r="AE689">
        <v>1.038</v>
      </c>
      <c r="AF689">
        <v>0.40599999999999997</v>
      </c>
      <c r="AG689">
        <v>8.9600000000000009</v>
      </c>
      <c r="AH689">
        <v>24.59</v>
      </c>
      <c r="AI689">
        <v>45.6</v>
      </c>
    </row>
    <row r="690" spans="1:36" x14ac:dyDescent="0.5">
      <c r="A690">
        <v>60</v>
      </c>
      <c r="B690">
        <v>160</v>
      </c>
      <c r="C690">
        <v>0.1</v>
      </c>
      <c r="D690">
        <v>30</v>
      </c>
      <c r="E690">
        <v>200</v>
      </c>
      <c r="F690">
        <v>150</v>
      </c>
      <c r="G690">
        <v>5</v>
      </c>
      <c r="O690">
        <v>84.59</v>
      </c>
      <c r="Q690">
        <v>43.79</v>
      </c>
      <c r="R690">
        <v>6.38</v>
      </c>
      <c r="S690">
        <v>9.58</v>
      </c>
      <c r="T690">
        <v>24.64</v>
      </c>
      <c r="U690">
        <v>0</v>
      </c>
      <c r="V690">
        <v>1.7483443708609272</v>
      </c>
      <c r="W690">
        <v>0.42201415848367213</v>
      </c>
      <c r="X690">
        <v>15.4</v>
      </c>
      <c r="Y690">
        <v>19.79</v>
      </c>
      <c r="Z690">
        <v>44.56</v>
      </c>
      <c r="AA690">
        <v>6.51</v>
      </c>
      <c r="AB690">
        <v>7.78</v>
      </c>
      <c r="AC690">
        <v>24.77</v>
      </c>
      <c r="AD690">
        <v>0</v>
      </c>
      <c r="AE690">
        <v>1.7531418312387792</v>
      </c>
      <c r="AF690">
        <v>0.4169097845601436</v>
      </c>
      <c r="AG690">
        <v>16.38</v>
      </c>
      <c r="AH690">
        <v>19.93</v>
      </c>
      <c r="AI690">
        <v>62.11</v>
      </c>
      <c r="AJ690" t="s">
        <v>181</v>
      </c>
    </row>
    <row r="691" spans="1:36" x14ac:dyDescent="0.5">
      <c r="A691">
        <v>60</v>
      </c>
      <c r="B691">
        <v>200</v>
      </c>
      <c r="C691">
        <v>0.1</v>
      </c>
      <c r="D691">
        <v>30</v>
      </c>
      <c r="E691">
        <v>200</v>
      </c>
      <c r="F691">
        <v>150</v>
      </c>
      <c r="G691">
        <v>5</v>
      </c>
      <c r="O691">
        <v>84.59</v>
      </c>
      <c r="Q691">
        <v>43.79</v>
      </c>
      <c r="R691">
        <v>6.38</v>
      </c>
      <c r="S691">
        <v>9.58</v>
      </c>
      <c r="T691">
        <v>24.64</v>
      </c>
      <c r="U691">
        <v>0</v>
      </c>
      <c r="V691">
        <v>1.7483443708609272</v>
      </c>
      <c r="W691">
        <v>0.42201415848367213</v>
      </c>
      <c r="X691">
        <v>15.4</v>
      </c>
      <c r="Y691">
        <v>19.79</v>
      </c>
      <c r="Z691">
        <v>46.16</v>
      </c>
      <c r="AA691">
        <v>6.55</v>
      </c>
      <c r="AB691">
        <v>6.99</v>
      </c>
      <c r="AC691">
        <v>18.46</v>
      </c>
      <c r="AD691">
        <v>0</v>
      </c>
      <c r="AE691">
        <v>1.7027729636048528</v>
      </c>
      <c r="AF691">
        <v>0.29993500866551132</v>
      </c>
      <c r="AG691">
        <v>21.84</v>
      </c>
      <c r="AH691">
        <v>21.65</v>
      </c>
      <c r="AI691">
        <v>43.15</v>
      </c>
    </row>
    <row r="692" spans="1:36" x14ac:dyDescent="0.5">
      <c r="A692">
        <v>60</v>
      </c>
      <c r="B692">
        <v>240</v>
      </c>
      <c r="C692">
        <v>0.1</v>
      </c>
      <c r="D692">
        <v>30</v>
      </c>
      <c r="E692">
        <v>200</v>
      </c>
      <c r="F692">
        <v>150</v>
      </c>
      <c r="G692">
        <v>5</v>
      </c>
      <c r="O692">
        <v>84.59</v>
      </c>
      <c r="Q692">
        <v>43.79</v>
      </c>
      <c r="R692">
        <v>6.38</v>
      </c>
      <c r="S692">
        <v>9.58</v>
      </c>
      <c r="T692">
        <v>24.64</v>
      </c>
      <c r="U692">
        <v>0</v>
      </c>
      <c r="V692">
        <v>1.7483443708609272</v>
      </c>
      <c r="W692">
        <v>0.42201415848367213</v>
      </c>
      <c r="X692">
        <v>15.4</v>
      </c>
      <c r="Y692">
        <v>19.79</v>
      </c>
      <c r="Z692">
        <v>49.81</v>
      </c>
      <c r="AA692">
        <v>6.55</v>
      </c>
      <c r="AB692">
        <v>5.49</v>
      </c>
      <c r="AC692">
        <v>12.1</v>
      </c>
      <c r="AD692">
        <v>0</v>
      </c>
      <c r="AE692">
        <v>1.5779963862678175</v>
      </c>
      <c r="AF692">
        <v>0.18219233085725756</v>
      </c>
      <c r="AG692">
        <v>26.05</v>
      </c>
      <c r="AH692">
        <v>24.01</v>
      </c>
      <c r="AI692">
        <v>32.42</v>
      </c>
    </row>
    <row r="693" spans="1:36" x14ac:dyDescent="0.5">
      <c r="A693">
        <v>60</v>
      </c>
      <c r="B693">
        <v>200</v>
      </c>
      <c r="C693">
        <v>0.1</v>
      </c>
      <c r="D693">
        <v>60</v>
      </c>
      <c r="E693">
        <v>2000</v>
      </c>
      <c r="F693">
        <v>640</v>
      </c>
      <c r="G693">
        <v>10.666666666666666</v>
      </c>
      <c r="N693">
        <v>70</v>
      </c>
      <c r="O693">
        <v>93.6</v>
      </c>
      <c r="P693">
        <v>2.4</v>
      </c>
      <c r="Q693">
        <v>46.6</v>
      </c>
      <c r="R693">
        <v>7.3</v>
      </c>
      <c r="S693">
        <v>2.2000000000000002</v>
      </c>
      <c r="T693">
        <v>39.9</v>
      </c>
      <c r="U693">
        <v>0</v>
      </c>
      <c r="V693">
        <v>1.8798283261802575</v>
      </c>
      <c r="W693">
        <v>0.64216738197424894</v>
      </c>
      <c r="X693">
        <v>4</v>
      </c>
      <c r="Y693">
        <v>18.2</v>
      </c>
      <c r="Z693">
        <v>58.4</v>
      </c>
      <c r="AA693">
        <v>6.4</v>
      </c>
      <c r="AB693">
        <v>2.8</v>
      </c>
      <c r="AC693">
        <v>29.7</v>
      </c>
      <c r="AD693">
        <v>0</v>
      </c>
      <c r="AE693">
        <v>1.3150684931506851</v>
      </c>
      <c r="AF693">
        <v>0.38142123287671237</v>
      </c>
      <c r="AG693">
        <v>2.7</v>
      </c>
      <c r="AH693">
        <v>22.7</v>
      </c>
      <c r="AI693">
        <v>50</v>
      </c>
      <c r="AJ693" t="s">
        <v>183</v>
      </c>
    </row>
    <row r="694" spans="1:36" x14ac:dyDescent="0.5">
      <c r="A694">
        <v>180</v>
      </c>
      <c r="B694">
        <v>200</v>
      </c>
      <c r="C694">
        <v>0.1</v>
      </c>
      <c r="D694">
        <v>60</v>
      </c>
      <c r="E694">
        <v>2000</v>
      </c>
      <c r="F694">
        <v>640</v>
      </c>
      <c r="G694">
        <v>10.666666666666666</v>
      </c>
      <c r="N694">
        <v>70</v>
      </c>
      <c r="O694">
        <v>93.6</v>
      </c>
      <c r="P694">
        <v>2.4</v>
      </c>
      <c r="Q694">
        <v>46.6</v>
      </c>
      <c r="R694">
        <v>7.3</v>
      </c>
      <c r="S694">
        <v>2.2000000000000002</v>
      </c>
      <c r="T694">
        <v>39.9</v>
      </c>
      <c r="U694">
        <v>0</v>
      </c>
      <c r="V694">
        <v>1.8798283261802575</v>
      </c>
      <c r="W694">
        <v>0.64216738197424894</v>
      </c>
      <c r="X694">
        <v>4</v>
      </c>
      <c r="Y694">
        <v>18.2</v>
      </c>
      <c r="Z694">
        <v>55.2</v>
      </c>
      <c r="AA694">
        <v>6.5</v>
      </c>
      <c r="AB694">
        <v>3.2</v>
      </c>
      <c r="AC694">
        <v>28.9</v>
      </c>
      <c r="AD694">
        <v>0</v>
      </c>
      <c r="AE694">
        <v>1.4130434782608694</v>
      </c>
      <c r="AF694">
        <v>0.39266304347826081</v>
      </c>
      <c r="AG694">
        <v>6.2</v>
      </c>
      <c r="AH694">
        <v>22.4</v>
      </c>
      <c r="AI694">
        <v>47.8</v>
      </c>
    </row>
    <row r="695" spans="1:36" x14ac:dyDescent="0.5">
      <c r="A695">
        <v>300</v>
      </c>
      <c r="B695">
        <v>200</v>
      </c>
      <c r="C695">
        <v>0.1</v>
      </c>
      <c r="D695">
        <v>60</v>
      </c>
      <c r="E695">
        <v>2000</v>
      </c>
      <c r="F695">
        <v>640</v>
      </c>
      <c r="G695">
        <v>10.666666666666666</v>
      </c>
      <c r="N695">
        <v>70</v>
      </c>
      <c r="O695">
        <v>93.6</v>
      </c>
      <c r="P695">
        <v>2.4</v>
      </c>
      <c r="Q695">
        <v>46.6</v>
      </c>
      <c r="R695">
        <v>7.3</v>
      </c>
      <c r="S695">
        <v>2.2000000000000002</v>
      </c>
      <c r="T695">
        <v>39.9</v>
      </c>
      <c r="U695">
        <v>0</v>
      </c>
      <c r="V695">
        <v>1.8798283261802575</v>
      </c>
      <c r="W695">
        <v>0.64216738197424894</v>
      </c>
      <c r="X695">
        <v>4</v>
      </c>
      <c r="Y695">
        <v>18.2</v>
      </c>
      <c r="Z695">
        <v>58.4</v>
      </c>
      <c r="AA695">
        <v>6.1</v>
      </c>
      <c r="AB695">
        <v>2.6</v>
      </c>
      <c r="AC695">
        <v>27.4</v>
      </c>
      <c r="AD695">
        <v>0</v>
      </c>
      <c r="AE695">
        <v>1.2534246575342467</v>
      </c>
      <c r="AF695">
        <v>0.35188356164383561</v>
      </c>
      <c r="AG695">
        <v>5.5</v>
      </c>
      <c r="AH695">
        <v>22.5</v>
      </c>
      <c r="AI695">
        <v>53.7</v>
      </c>
    </row>
    <row r="696" spans="1:36" x14ac:dyDescent="0.5">
      <c r="A696">
        <v>480</v>
      </c>
      <c r="B696">
        <v>200</v>
      </c>
      <c r="C696">
        <v>0.1</v>
      </c>
      <c r="D696">
        <v>60</v>
      </c>
      <c r="E696">
        <v>2000</v>
      </c>
      <c r="F696">
        <v>640</v>
      </c>
      <c r="G696">
        <v>10.666666666666666</v>
      </c>
      <c r="N696">
        <v>70</v>
      </c>
      <c r="O696">
        <v>93.6</v>
      </c>
      <c r="P696">
        <v>2.4</v>
      </c>
      <c r="Q696">
        <v>46.6</v>
      </c>
      <c r="R696">
        <v>7.3</v>
      </c>
      <c r="S696">
        <v>2.2000000000000002</v>
      </c>
      <c r="T696">
        <v>39.9</v>
      </c>
      <c r="U696">
        <v>0</v>
      </c>
      <c r="V696">
        <v>1.8798283261802575</v>
      </c>
      <c r="W696">
        <v>0.64216738197424894</v>
      </c>
      <c r="X696">
        <v>4</v>
      </c>
      <c r="Y696">
        <v>18.2</v>
      </c>
      <c r="Z696">
        <v>63.5</v>
      </c>
      <c r="AA696">
        <v>7.2</v>
      </c>
      <c r="AB696">
        <v>2.6</v>
      </c>
      <c r="AC696">
        <v>20.7</v>
      </c>
      <c r="AD696">
        <v>0</v>
      </c>
      <c r="AE696">
        <v>1.3606299212598425</v>
      </c>
      <c r="AF696">
        <v>0.24448818897637792</v>
      </c>
      <c r="AG696">
        <v>6</v>
      </c>
      <c r="AH696">
        <v>22.6</v>
      </c>
      <c r="AI696">
        <v>48.5</v>
      </c>
    </row>
    <row r="697" spans="1:36" x14ac:dyDescent="0.5">
      <c r="A697">
        <v>60</v>
      </c>
      <c r="B697">
        <v>180</v>
      </c>
      <c r="C697">
        <v>0.1</v>
      </c>
      <c r="D697">
        <v>15</v>
      </c>
      <c r="E697">
        <v>250</v>
      </c>
      <c r="F697">
        <v>75</v>
      </c>
      <c r="G697">
        <v>5</v>
      </c>
      <c r="O697">
        <v>81.39</v>
      </c>
      <c r="P697">
        <v>13.53</v>
      </c>
      <c r="Q697">
        <v>46.2</v>
      </c>
      <c r="R697">
        <v>6.56</v>
      </c>
      <c r="S697">
        <v>0.22</v>
      </c>
      <c r="T697">
        <v>41.95</v>
      </c>
      <c r="U697">
        <v>0</v>
      </c>
      <c r="V697">
        <v>1.7038961038961038</v>
      </c>
      <c r="W697">
        <v>0.68100649350649356</v>
      </c>
      <c r="X697">
        <v>5.07</v>
      </c>
      <c r="Y697">
        <v>19.079999999999998</v>
      </c>
      <c r="Z697">
        <v>51.77</v>
      </c>
      <c r="AA697">
        <v>6.24</v>
      </c>
      <c r="AB697">
        <v>0.24</v>
      </c>
      <c r="AC697">
        <v>36.409999999999997</v>
      </c>
      <c r="AD697">
        <v>0</v>
      </c>
      <c r="AE697">
        <v>1.446397527525594</v>
      </c>
      <c r="AF697">
        <v>0.5274773034576008</v>
      </c>
      <c r="AG697">
        <v>5.35</v>
      </c>
      <c r="AH697">
        <v>21.16</v>
      </c>
      <c r="AI697">
        <v>63</v>
      </c>
      <c r="AJ697" t="s">
        <v>185</v>
      </c>
    </row>
    <row r="698" spans="1:36" x14ac:dyDescent="0.5">
      <c r="A698">
        <v>60</v>
      </c>
      <c r="B698">
        <v>200</v>
      </c>
      <c r="C698">
        <v>0.1</v>
      </c>
      <c r="D698">
        <v>15</v>
      </c>
      <c r="E698">
        <v>250</v>
      </c>
      <c r="F698">
        <v>75</v>
      </c>
      <c r="G698">
        <v>5</v>
      </c>
      <c r="O698">
        <v>81.39</v>
      </c>
      <c r="P698">
        <v>13.53</v>
      </c>
      <c r="Q698">
        <v>46.2</v>
      </c>
      <c r="R698">
        <v>6.56</v>
      </c>
      <c r="S698">
        <v>0.22</v>
      </c>
      <c r="T698">
        <v>41.95</v>
      </c>
      <c r="U698">
        <v>0</v>
      </c>
      <c r="V698">
        <v>1.7038961038961038</v>
      </c>
      <c r="W698">
        <v>0.68100649350649356</v>
      </c>
      <c r="X698">
        <v>5.07</v>
      </c>
      <c r="Y698">
        <v>19.079999999999998</v>
      </c>
      <c r="Z698">
        <v>53.99</v>
      </c>
      <c r="AA698">
        <v>6.05</v>
      </c>
      <c r="AB698">
        <v>0.23</v>
      </c>
      <c r="AC698">
        <v>34.21</v>
      </c>
      <c r="AD698">
        <v>0</v>
      </c>
      <c r="AE698">
        <v>1.3446934617521764</v>
      </c>
      <c r="AF698">
        <v>0.47522689386923506</v>
      </c>
      <c r="AG698">
        <v>5.52</v>
      </c>
      <c r="AH698">
        <v>21.93</v>
      </c>
      <c r="AI698">
        <v>63.79</v>
      </c>
    </row>
    <row r="699" spans="1:36" x14ac:dyDescent="0.5">
      <c r="A699">
        <v>60</v>
      </c>
      <c r="B699">
        <v>220</v>
      </c>
      <c r="C699">
        <v>0.1</v>
      </c>
      <c r="D699">
        <v>15</v>
      </c>
      <c r="E699">
        <v>250</v>
      </c>
      <c r="F699">
        <v>75</v>
      </c>
      <c r="G699">
        <v>5</v>
      </c>
      <c r="O699">
        <v>81.39</v>
      </c>
      <c r="P699">
        <v>13.53</v>
      </c>
      <c r="Q699">
        <v>46.2</v>
      </c>
      <c r="R699">
        <v>6.56</v>
      </c>
      <c r="S699">
        <v>0.22</v>
      </c>
      <c r="T699">
        <v>41.95</v>
      </c>
      <c r="U699">
        <v>0</v>
      </c>
      <c r="V699">
        <v>1.7038961038961038</v>
      </c>
      <c r="W699">
        <v>0.68100649350649356</v>
      </c>
      <c r="X699">
        <v>5.07</v>
      </c>
      <c r="Y699">
        <v>19.079999999999998</v>
      </c>
      <c r="Z699">
        <v>57.45</v>
      </c>
      <c r="AA699">
        <v>5.84</v>
      </c>
      <c r="AB699">
        <v>0.25</v>
      </c>
      <c r="AC699">
        <v>30.18</v>
      </c>
      <c r="AD699">
        <v>0</v>
      </c>
      <c r="AE699">
        <v>1.2198433420365533</v>
      </c>
      <c r="AF699">
        <v>0.39399477806788508</v>
      </c>
      <c r="AG699">
        <v>6.28</v>
      </c>
      <c r="AH699">
        <v>23.27</v>
      </c>
      <c r="AI699">
        <v>61.79</v>
      </c>
    </row>
    <row r="700" spans="1:36" x14ac:dyDescent="0.5">
      <c r="A700">
        <v>60</v>
      </c>
      <c r="B700">
        <v>240</v>
      </c>
      <c r="C700">
        <v>0.1</v>
      </c>
      <c r="D700">
        <v>15</v>
      </c>
      <c r="E700">
        <v>250</v>
      </c>
      <c r="F700">
        <v>75</v>
      </c>
      <c r="G700">
        <v>5</v>
      </c>
      <c r="O700">
        <v>81.39</v>
      </c>
      <c r="P700">
        <v>13.53</v>
      </c>
      <c r="Q700">
        <v>46.2</v>
      </c>
      <c r="R700">
        <v>6.56</v>
      </c>
      <c r="S700">
        <v>0.22</v>
      </c>
      <c r="T700">
        <v>41.95</v>
      </c>
      <c r="U700">
        <v>0</v>
      </c>
      <c r="V700">
        <v>1.7038961038961038</v>
      </c>
      <c r="W700">
        <v>0.68100649350649356</v>
      </c>
      <c r="X700">
        <v>5.07</v>
      </c>
      <c r="Y700">
        <v>19.079999999999998</v>
      </c>
      <c r="Z700">
        <v>62.17</v>
      </c>
      <c r="AA700">
        <v>5.45</v>
      </c>
      <c r="AB700">
        <v>0.28999999999999998</v>
      </c>
      <c r="AC700">
        <v>24.69</v>
      </c>
      <c r="AD700">
        <v>0</v>
      </c>
      <c r="AE700">
        <v>1.0519543188032814</v>
      </c>
      <c r="AF700">
        <v>0.29785266205565386</v>
      </c>
      <c r="AG700">
        <v>7.4</v>
      </c>
      <c r="AH700">
        <v>24.97</v>
      </c>
      <c r="AI700">
        <v>56.06</v>
      </c>
    </row>
    <row r="701" spans="1:36" x14ac:dyDescent="0.5">
      <c r="A701">
        <v>60</v>
      </c>
      <c r="B701">
        <v>260</v>
      </c>
      <c r="C701">
        <v>0.1</v>
      </c>
      <c r="D701">
        <v>15</v>
      </c>
      <c r="E701">
        <v>250</v>
      </c>
      <c r="F701">
        <v>75</v>
      </c>
      <c r="G701">
        <v>5</v>
      </c>
      <c r="O701">
        <v>81.39</v>
      </c>
      <c r="P701">
        <v>13.53</v>
      </c>
      <c r="Q701">
        <v>46.2</v>
      </c>
      <c r="R701">
        <v>6.56</v>
      </c>
      <c r="S701">
        <v>0.22</v>
      </c>
      <c r="T701">
        <v>41.95</v>
      </c>
      <c r="U701">
        <v>0</v>
      </c>
      <c r="V701">
        <v>1.7038961038961038</v>
      </c>
      <c r="W701">
        <v>0.68100649350649356</v>
      </c>
      <c r="X701">
        <v>5.07</v>
      </c>
      <c r="Y701">
        <v>19.079999999999998</v>
      </c>
      <c r="Z701">
        <v>64.92</v>
      </c>
      <c r="AA701">
        <v>5.37</v>
      </c>
      <c r="AB701">
        <v>0.34</v>
      </c>
      <c r="AC701">
        <v>21.77</v>
      </c>
      <c r="AD701">
        <v>0</v>
      </c>
      <c r="AE701">
        <v>0.99260628465804068</v>
      </c>
      <c r="AF701">
        <v>0.25150184842883549</v>
      </c>
      <c r="AG701">
        <v>7.6</v>
      </c>
      <c r="AH701">
        <v>26.11</v>
      </c>
      <c r="AI701">
        <v>51.79</v>
      </c>
    </row>
    <row r="702" spans="1:36" x14ac:dyDescent="0.5">
      <c r="A702">
        <v>60</v>
      </c>
      <c r="B702">
        <v>280</v>
      </c>
      <c r="C702">
        <v>0.1</v>
      </c>
      <c r="D702">
        <v>15</v>
      </c>
      <c r="E702">
        <v>250</v>
      </c>
      <c r="F702">
        <v>75</v>
      </c>
      <c r="G702">
        <v>5</v>
      </c>
      <c r="O702">
        <v>81.39</v>
      </c>
      <c r="P702">
        <v>13.53</v>
      </c>
      <c r="Q702">
        <v>46.2</v>
      </c>
      <c r="R702">
        <v>6.56</v>
      </c>
      <c r="S702">
        <v>0.22</v>
      </c>
      <c r="T702">
        <v>41.95</v>
      </c>
      <c r="U702">
        <v>0</v>
      </c>
      <c r="V702">
        <v>1.7038961038961038</v>
      </c>
      <c r="W702">
        <v>0.68100649350649356</v>
      </c>
      <c r="X702">
        <v>5.07</v>
      </c>
      <c r="Y702">
        <v>19.079999999999998</v>
      </c>
      <c r="Z702">
        <v>65.28</v>
      </c>
      <c r="AA702">
        <v>5.32</v>
      </c>
      <c r="AB702">
        <v>0.35</v>
      </c>
      <c r="AC702">
        <v>21.9</v>
      </c>
      <c r="AD702">
        <v>0</v>
      </c>
      <c r="AE702">
        <v>0.9779411764705882</v>
      </c>
      <c r="AF702">
        <v>0.25160845588235292</v>
      </c>
      <c r="AG702">
        <v>7.15</v>
      </c>
      <c r="AH702">
        <v>26.17</v>
      </c>
      <c r="AI702">
        <v>50.35</v>
      </c>
    </row>
    <row r="703" spans="1:36" x14ac:dyDescent="0.5">
      <c r="A703">
        <v>60</v>
      </c>
      <c r="B703">
        <v>300</v>
      </c>
      <c r="C703">
        <v>0.1</v>
      </c>
      <c r="D703">
        <v>15</v>
      </c>
      <c r="E703">
        <v>250</v>
      </c>
      <c r="F703">
        <v>75</v>
      </c>
      <c r="G703">
        <v>5</v>
      </c>
      <c r="O703">
        <v>81.39</v>
      </c>
      <c r="P703">
        <v>13.53</v>
      </c>
      <c r="Q703">
        <v>46.2</v>
      </c>
      <c r="R703">
        <v>6.56</v>
      </c>
      <c r="S703">
        <v>0.22</v>
      </c>
      <c r="T703">
        <v>41.95</v>
      </c>
      <c r="U703">
        <v>0</v>
      </c>
      <c r="V703">
        <v>1.7038961038961038</v>
      </c>
      <c r="W703">
        <v>0.68100649350649356</v>
      </c>
      <c r="X703">
        <v>5.07</v>
      </c>
      <c r="Y703">
        <v>19.079999999999998</v>
      </c>
      <c r="Z703">
        <v>67.13</v>
      </c>
      <c r="AA703">
        <v>5.24</v>
      </c>
      <c r="AB703">
        <v>0.37</v>
      </c>
      <c r="AC703">
        <v>19.54</v>
      </c>
      <c r="AD703">
        <v>0</v>
      </c>
      <c r="AE703">
        <v>0.93669000446894102</v>
      </c>
      <c r="AF703">
        <v>0.21830776106062863</v>
      </c>
      <c r="AG703">
        <v>7.74</v>
      </c>
      <c r="AH703">
        <v>26.93</v>
      </c>
      <c r="AI703">
        <v>48.25</v>
      </c>
    </row>
    <row r="704" spans="1:36" x14ac:dyDescent="0.5">
      <c r="A704">
        <v>120</v>
      </c>
      <c r="B704">
        <v>240</v>
      </c>
      <c r="C704">
        <v>0.1</v>
      </c>
      <c r="D704">
        <v>15</v>
      </c>
      <c r="E704">
        <v>250</v>
      </c>
      <c r="F704">
        <v>75</v>
      </c>
      <c r="G704">
        <v>5</v>
      </c>
      <c r="O704">
        <v>81.39</v>
      </c>
      <c r="P704">
        <v>13.53</v>
      </c>
      <c r="Q704">
        <v>46.2</v>
      </c>
      <c r="R704">
        <v>6.56</v>
      </c>
      <c r="S704">
        <v>0.22</v>
      </c>
      <c r="T704">
        <v>41.95</v>
      </c>
      <c r="U704">
        <v>0</v>
      </c>
      <c r="V704">
        <v>1.7038961038961038</v>
      </c>
      <c r="W704">
        <v>0.68100649350649356</v>
      </c>
      <c r="X704">
        <v>5.07</v>
      </c>
      <c r="Y704">
        <v>19.079999999999998</v>
      </c>
      <c r="Z704">
        <v>63.55</v>
      </c>
      <c r="AA704">
        <v>5.37</v>
      </c>
      <c r="AB704">
        <v>0.3</v>
      </c>
      <c r="AC704">
        <v>23.43</v>
      </c>
      <c r="AD704">
        <v>0</v>
      </c>
      <c r="AE704">
        <v>1.0140047206923681</v>
      </c>
      <c r="AF704">
        <v>0.2765145554681353</v>
      </c>
      <c r="AG704">
        <v>7.35</v>
      </c>
      <c r="AH704">
        <v>25.47</v>
      </c>
      <c r="AI704">
        <v>53.33</v>
      </c>
    </row>
    <row r="705" spans="1:36" x14ac:dyDescent="0.5">
      <c r="A705">
        <v>90</v>
      </c>
      <c r="B705">
        <v>240</v>
      </c>
      <c r="C705">
        <v>0.1</v>
      </c>
      <c r="D705">
        <v>15</v>
      </c>
      <c r="E705">
        <v>250</v>
      </c>
      <c r="F705">
        <v>75</v>
      </c>
      <c r="G705">
        <v>5</v>
      </c>
      <c r="O705">
        <v>81.39</v>
      </c>
      <c r="P705">
        <v>13.53</v>
      </c>
      <c r="Q705">
        <v>46.2</v>
      </c>
      <c r="R705">
        <v>6.56</v>
      </c>
      <c r="S705">
        <v>0.22</v>
      </c>
      <c r="T705">
        <v>41.95</v>
      </c>
      <c r="U705">
        <v>0</v>
      </c>
      <c r="V705">
        <v>1.7038961038961038</v>
      </c>
      <c r="W705">
        <v>0.68100649350649356</v>
      </c>
      <c r="X705">
        <v>5.07</v>
      </c>
      <c r="Y705">
        <v>19.079999999999998</v>
      </c>
      <c r="Z705">
        <v>64.44</v>
      </c>
      <c r="AA705">
        <v>5.46</v>
      </c>
      <c r="AB705">
        <v>0.31</v>
      </c>
      <c r="AC705">
        <v>22.03</v>
      </c>
      <c r="AD705">
        <v>0</v>
      </c>
      <c r="AE705">
        <v>1.0167597765363128</v>
      </c>
      <c r="AF705">
        <v>0.25640130353817503</v>
      </c>
      <c r="AG705">
        <v>7.76</v>
      </c>
      <c r="AH705">
        <v>26.02</v>
      </c>
      <c r="AI705">
        <v>54.35</v>
      </c>
    </row>
    <row r="706" spans="1:36" x14ac:dyDescent="0.5">
      <c r="A706">
        <v>30</v>
      </c>
      <c r="B706">
        <v>240</v>
      </c>
      <c r="C706">
        <v>0.1</v>
      </c>
      <c r="D706">
        <v>15</v>
      </c>
      <c r="E706">
        <v>250</v>
      </c>
      <c r="F706">
        <v>75</v>
      </c>
      <c r="G706">
        <v>5</v>
      </c>
      <c r="O706">
        <v>81.39</v>
      </c>
      <c r="P706">
        <v>13.53</v>
      </c>
      <c r="Q706">
        <v>46.2</v>
      </c>
      <c r="R706">
        <v>6.56</v>
      </c>
      <c r="S706">
        <v>0.22</v>
      </c>
      <c r="T706">
        <v>41.95</v>
      </c>
      <c r="U706">
        <v>0</v>
      </c>
      <c r="V706">
        <v>1.7038961038961038</v>
      </c>
      <c r="W706">
        <v>0.68100649350649356</v>
      </c>
      <c r="X706">
        <v>5.07</v>
      </c>
      <c r="Y706">
        <v>19.079999999999998</v>
      </c>
      <c r="Z706">
        <v>59.83</v>
      </c>
      <c r="AA706">
        <v>5.62</v>
      </c>
      <c r="AB706">
        <v>0.28000000000000003</v>
      </c>
      <c r="AC706">
        <v>27.03</v>
      </c>
      <c r="AD706">
        <v>0</v>
      </c>
      <c r="AE706">
        <v>1.1271937155273275</v>
      </c>
      <c r="AF706">
        <v>0.33883503259234504</v>
      </c>
      <c r="AG706">
        <v>7.25</v>
      </c>
      <c r="AH706">
        <v>24.13</v>
      </c>
      <c r="AI706">
        <v>57.03</v>
      </c>
    </row>
    <row r="707" spans="1:36" x14ac:dyDescent="0.5">
      <c r="A707">
        <v>0</v>
      </c>
      <c r="B707">
        <v>240</v>
      </c>
      <c r="C707">
        <v>0.1</v>
      </c>
      <c r="D707">
        <v>15</v>
      </c>
      <c r="E707">
        <v>250</v>
      </c>
      <c r="F707">
        <v>75</v>
      </c>
      <c r="G707">
        <v>5</v>
      </c>
      <c r="O707">
        <v>81.39</v>
      </c>
      <c r="P707">
        <v>13.53</v>
      </c>
      <c r="Q707">
        <v>46.2</v>
      </c>
      <c r="R707">
        <v>6.56</v>
      </c>
      <c r="S707">
        <v>0.22</v>
      </c>
      <c r="T707">
        <v>41.95</v>
      </c>
      <c r="U707">
        <v>0</v>
      </c>
      <c r="V707">
        <v>1.7038961038961038</v>
      </c>
      <c r="W707">
        <v>0.68100649350649356</v>
      </c>
      <c r="X707">
        <v>5.07</v>
      </c>
      <c r="Y707">
        <v>19.079999999999998</v>
      </c>
      <c r="Z707">
        <v>53.71</v>
      </c>
      <c r="AA707">
        <v>5.85</v>
      </c>
      <c r="AB707">
        <v>0.22</v>
      </c>
      <c r="AC707">
        <v>33.39</v>
      </c>
      <c r="AD707">
        <v>0</v>
      </c>
      <c r="AE707">
        <v>1.3070191770619997</v>
      </c>
      <c r="AF707">
        <v>0.46625395643269413</v>
      </c>
      <c r="AG707">
        <v>6.83</v>
      </c>
      <c r="AH707">
        <v>21.65</v>
      </c>
      <c r="AI707">
        <v>60.53</v>
      </c>
    </row>
    <row r="708" spans="1:36" x14ac:dyDescent="0.5">
      <c r="A708">
        <v>60</v>
      </c>
      <c r="B708">
        <v>180</v>
      </c>
      <c r="C708">
        <v>0.1</v>
      </c>
      <c r="D708">
        <v>10</v>
      </c>
      <c r="E708">
        <v>500</v>
      </c>
      <c r="F708">
        <v>200</v>
      </c>
      <c r="G708">
        <v>20</v>
      </c>
      <c r="N708">
        <v>69</v>
      </c>
      <c r="O708">
        <v>62.8</v>
      </c>
      <c r="P708">
        <v>4.0999999999999996</v>
      </c>
      <c r="Q708">
        <v>44.3</v>
      </c>
      <c r="R708">
        <v>5.7</v>
      </c>
      <c r="S708">
        <v>4.2</v>
      </c>
      <c r="T708">
        <v>42.8</v>
      </c>
      <c r="U708">
        <v>0.3</v>
      </c>
      <c r="V708">
        <v>1.544018058690745</v>
      </c>
      <c r="W708">
        <v>0.72460496613995484</v>
      </c>
      <c r="X708">
        <v>9.8000000000000007</v>
      </c>
      <c r="Y708">
        <v>15.4732</v>
      </c>
      <c r="Z708">
        <v>50.94</v>
      </c>
      <c r="AA708">
        <v>7.74</v>
      </c>
      <c r="AB708">
        <v>0.24</v>
      </c>
      <c r="AC708">
        <v>41.08</v>
      </c>
      <c r="AD708">
        <v>0</v>
      </c>
      <c r="AE708">
        <v>1.8233215547703181</v>
      </c>
      <c r="AF708">
        <v>0.60482921083627794</v>
      </c>
      <c r="AG708">
        <v>11.86</v>
      </c>
      <c r="AH708">
        <v>19.47</v>
      </c>
      <c r="AI708">
        <v>81.3</v>
      </c>
      <c r="AJ708" t="s">
        <v>187</v>
      </c>
    </row>
    <row r="709" spans="1:36" x14ac:dyDescent="0.5">
      <c r="A709">
        <v>60</v>
      </c>
      <c r="B709">
        <v>180</v>
      </c>
      <c r="C709">
        <v>0.1</v>
      </c>
      <c r="D709">
        <v>10</v>
      </c>
      <c r="E709">
        <v>500</v>
      </c>
      <c r="F709">
        <v>250</v>
      </c>
      <c r="G709">
        <v>25</v>
      </c>
      <c r="N709">
        <v>69</v>
      </c>
      <c r="O709">
        <v>62.8</v>
      </c>
      <c r="P709">
        <v>4.0999999999999996</v>
      </c>
      <c r="Q709">
        <v>44.3</v>
      </c>
      <c r="R709">
        <v>5.7</v>
      </c>
      <c r="S709">
        <v>4.2</v>
      </c>
      <c r="T709">
        <v>42.8</v>
      </c>
      <c r="U709">
        <v>0.3</v>
      </c>
      <c r="V709">
        <v>1.544018058690745</v>
      </c>
      <c r="W709">
        <v>0.72460496613995484</v>
      </c>
      <c r="X709">
        <v>9.8000000000000007</v>
      </c>
      <c r="Y709">
        <v>15.4732</v>
      </c>
      <c r="Z709">
        <v>51.25</v>
      </c>
      <c r="AA709">
        <v>8.69</v>
      </c>
      <c r="AB709">
        <v>0.55000000000000004</v>
      </c>
      <c r="AC709">
        <v>39.51</v>
      </c>
      <c r="AD709">
        <v>0</v>
      </c>
      <c r="AE709">
        <v>2.0347317073170732</v>
      </c>
      <c r="AF709">
        <v>0.57819512195121947</v>
      </c>
      <c r="AG709">
        <v>11.97</v>
      </c>
      <c r="AH709">
        <v>21.04</v>
      </c>
      <c r="AI709">
        <v>65.3</v>
      </c>
    </row>
    <row r="710" spans="1:36" x14ac:dyDescent="0.5">
      <c r="A710">
        <v>60</v>
      </c>
      <c r="B710">
        <v>180</v>
      </c>
      <c r="C710">
        <v>0.1</v>
      </c>
      <c r="D710">
        <v>10</v>
      </c>
      <c r="E710">
        <v>500</v>
      </c>
      <c r="F710">
        <v>300</v>
      </c>
      <c r="G710">
        <v>30</v>
      </c>
      <c r="N710">
        <v>69</v>
      </c>
      <c r="O710">
        <v>62.8</v>
      </c>
      <c r="P710">
        <v>4.0999999999999996</v>
      </c>
      <c r="Q710">
        <v>44.3</v>
      </c>
      <c r="R710">
        <v>5.7</v>
      </c>
      <c r="S710">
        <v>4.2</v>
      </c>
      <c r="T710">
        <v>42.8</v>
      </c>
      <c r="U710">
        <v>0.3</v>
      </c>
      <c r="V710">
        <v>1.544018058690745</v>
      </c>
      <c r="W710">
        <v>0.72460496613995484</v>
      </c>
      <c r="X710">
        <v>9.8000000000000007</v>
      </c>
      <c r="Y710">
        <v>15.4732</v>
      </c>
      <c r="Z710">
        <v>53.16</v>
      </c>
      <c r="AA710">
        <v>6.56</v>
      </c>
      <c r="AB710">
        <v>0.92</v>
      </c>
      <c r="AC710">
        <v>39.36</v>
      </c>
      <c r="AD710">
        <v>0</v>
      </c>
      <c r="AE710">
        <v>1.4808126410835214</v>
      </c>
      <c r="AF710">
        <v>0.55530474040632061</v>
      </c>
      <c r="AG710">
        <v>10.220000000000001</v>
      </c>
      <c r="AH710">
        <v>19.07</v>
      </c>
      <c r="AI710">
        <v>55.6</v>
      </c>
    </row>
    <row r="711" spans="1:36" x14ac:dyDescent="0.5">
      <c r="A711">
        <v>60</v>
      </c>
      <c r="B711">
        <v>180</v>
      </c>
      <c r="C711">
        <v>0.1</v>
      </c>
      <c r="D711">
        <v>10</v>
      </c>
      <c r="E711">
        <v>500</v>
      </c>
      <c r="F711">
        <v>350</v>
      </c>
      <c r="G711">
        <v>35</v>
      </c>
      <c r="N711">
        <v>69</v>
      </c>
      <c r="O711">
        <v>62.8</v>
      </c>
      <c r="P711">
        <v>4.0999999999999996</v>
      </c>
      <c r="Q711">
        <v>44.3</v>
      </c>
      <c r="R711">
        <v>5.7</v>
      </c>
      <c r="S711">
        <v>4.2</v>
      </c>
      <c r="T711">
        <v>42.8</v>
      </c>
      <c r="U711">
        <v>0.3</v>
      </c>
      <c r="V711">
        <v>1.544018058690745</v>
      </c>
      <c r="W711">
        <v>0.72460496613995484</v>
      </c>
      <c r="X711">
        <v>9.8000000000000007</v>
      </c>
      <c r="Y711">
        <v>15.4732</v>
      </c>
      <c r="Z711">
        <v>56.58</v>
      </c>
      <c r="AA711">
        <v>7.17</v>
      </c>
      <c r="AB711">
        <v>1.66</v>
      </c>
      <c r="AC711">
        <v>34.590000000000003</v>
      </c>
      <c r="AD711">
        <v>0</v>
      </c>
      <c r="AE711">
        <v>1.5206786850477201</v>
      </c>
      <c r="AF711">
        <v>0.45851007423117718</v>
      </c>
      <c r="AG711">
        <v>10.029999999999999</v>
      </c>
      <c r="AH711">
        <v>21.84</v>
      </c>
      <c r="AI711">
        <v>46.9</v>
      </c>
    </row>
    <row r="712" spans="1:36" x14ac:dyDescent="0.5">
      <c r="A712">
        <v>60</v>
      </c>
      <c r="B712">
        <v>180</v>
      </c>
      <c r="C712">
        <v>0.1</v>
      </c>
      <c r="D712">
        <v>10</v>
      </c>
      <c r="E712">
        <v>500</v>
      </c>
      <c r="F712">
        <v>400</v>
      </c>
      <c r="G712">
        <v>40</v>
      </c>
      <c r="N712">
        <v>69</v>
      </c>
      <c r="O712">
        <v>62.8</v>
      </c>
      <c r="P712">
        <v>4.0999999999999996</v>
      </c>
      <c r="Q712">
        <v>44.3</v>
      </c>
      <c r="R712">
        <v>5.7</v>
      </c>
      <c r="S712">
        <v>4.2</v>
      </c>
      <c r="T712">
        <v>42.8</v>
      </c>
      <c r="U712">
        <v>0.3</v>
      </c>
      <c r="V712">
        <v>1.544018058690745</v>
      </c>
      <c r="W712">
        <v>0.72460496613995484</v>
      </c>
      <c r="X712">
        <v>9.8000000000000007</v>
      </c>
      <c r="Y712">
        <v>15.4732</v>
      </c>
      <c r="Z712">
        <v>61.29</v>
      </c>
      <c r="AA712">
        <v>8.31</v>
      </c>
      <c r="AB712">
        <v>2.66</v>
      </c>
      <c r="AC712">
        <v>27.74</v>
      </c>
      <c r="AD712">
        <v>0</v>
      </c>
      <c r="AE712">
        <v>1.6270190895741559</v>
      </c>
      <c r="AF712">
        <v>0.33945178658835046</v>
      </c>
      <c r="AG712">
        <v>9.09</v>
      </c>
      <c r="AH712">
        <v>26.09</v>
      </c>
      <c r="AI712">
        <v>42.3</v>
      </c>
    </row>
    <row r="713" spans="1:36" x14ac:dyDescent="0.5">
      <c r="A713">
        <v>60</v>
      </c>
      <c r="B713">
        <v>220</v>
      </c>
      <c r="C713">
        <v>0.1</v>
      </c>
      <c r="D713">
        <v>10</v>
      </c>
      <c r="E713">
        <v>500</v>
      </c>
      <c r="F713">
        <v>200</v>
      </c>
      <c r="G713">
        <v>20</v>
      </c>
      <c r="N713">
        <v>69</v>
      </c>
      <c r="O713">
        <v>62.8</v>
      </c>
      <c r="P713">
        <v>4.0999999999999996</v>
      </c>
      <c r="Q713">
        <v>44.3</v>
      </c>
      <c r="R713">
        <v>5.7</v>
      </c>
      <c r="S713">
        <v>4.2</v>
      </c>
      <c r="T713">
        <v>42.8</v>
      </c>
      <c r="U713">
        <v>0.3</v>
      </c>
      <c r="V713">
        <v>1.544018058690745</v>
      </c>
      <c r="W713">
        <v>0.72460496613995484</v>
      </c>
      <c r="X713">
        <v>9.8000000000000007</v>
      </c>
      <c r="Y713">
        <v>15.4732</v>
      </c>
      <c r="Z713">
        <v>53.37</v>
      </c>
      <c r="AA713">
        <v>8.27</v>
      </c>
      <c r="AB713">
        <v>0.19</v>
      </c>
      <c r="AC713">
        <v>38.17</v>
      </c>
      <c r="AD713">
        <v>0</v>
      </c>
      <c r="AE713">
        <v>1.8594716132658797</v>
      </c>
      <c r="AF713">
        <v>0.53639685216413724</v>
      </c>
      <c r="AG713">
        <v>10.119999999999999</v>
      </c>
      <c r="AH713">
        <v>21.47</v>
      </c>
      <c r="AI713">
        <v>61.5</v>
      </c>
    </row>
    <row r="714" spans="1:36" x14ac:dyDescent="0.5">
      <c r="A714">
        <v>60</v>
      </c>
      <c r="B714">
        <v>220</v>
      </c>
      <c r="C714">
        <v>0.1</v>
      </c>
      <c r="D714">
        <v>10</v>
      </c>
      <c r="E714">
        <v>500</v>
      </c>
      <c r="F714">
        <v>250</v>
      </c>
      <c r="G714">
        <v>25</v>
      </c>
      <c r="N714">
        <v>69</v>
      </c>
      <c r="O714">
        <v>62.8</v>
      </c>
      <c r="P714">
        <v>4.0999999999999996</v>
      </c>
      <c r="Q714">
        <v>44.3</v>
      </c>
      <c r="R714">
        <v>5.7</v>
      </c>
      <c r="S714">
        <v>4.2</v>
      </c>
      <c r="T714">
        <v>42.8</v>
      </c>
      <c r="U714">
        <v>0.3</v>
      </c>
      <c r="V714">
        <v>1.544018058690745</v>
      </c>
      <c r="W714">
        <v>0.72460496613995484</v>
      </c>
      <c r="X714">
        <v>9.8000000000000007</v>
      </c>
      <c r="Y714">
        <v>15.4732</v>
      </c>
      <c r="Z714">
        <v>56.01</v>
      </c>
      <c r="AA714">
        <v>8.17</v>
      </c>
      <c r="AB714">
        <v>0.67</v>
      </c>
      <c r="AC714">
        <v>35.15</v>
      </c>
      <c r="AD714">
        <v>0</v>
      </c>
      <c r="AE714">
        <v>1.7504017139796466</v>
      </c>
      <c r="AF714">
        <v>0.47067487948580611</v>
      </c>
      <c r="AG714">
        <v>10.220000000000001</v>
      </c>
      <c r="AH714">
        <v>22.79</v>
      </c>
      <c r="AI714">
        <v>59.2</v>
      </c>
    </row>
    <row r="715" spans="1:36" x14ac:dyDescent="0.5">
      <c r="A715">
        <v>60</v>
      </c>
      <c r="B715">
        <v>220</v>
      </c>
      <c r="C715">
        <v>0.1</v>
      </c>
      <c r="D715">
        <v>10</v>
      </c>
      <c r="E715">
        <v>500</v>
      </c>
      <c r="F715">
        <v>300</v>
      </c>
      <c r="G715">
        <v>30</v>
      </c>
      <c r="N715">
        <v>69</v>
      </c>
      <c r="O715">
        <v>62.8</v>
      </c>
      <c r="P715">
        <v>4.0999999999999996</v>
      </c>
      <c r="Q715">
        <v>44.3</v>
      </c>
      <c r="R715">
        <v>5.7</v>
      </c>
      <c r="S715">
        <v>4.2</v>
      </c>
      <c r="T715">
        <v>42.8</v>
      </c>
      <c r="U715">
        <v>0.3</v>
      </c>
      <c r="V715">
        <v>1.544018058690745</v>
      </c>
      <c r="W715">
        <v>0.72460496613995484</v>
      </c>
      <c r="X715">
        <v>9.8000000000000007</v>
      </c>
      <c r="Y715">
        <v>15.4732</v>
      </c>
      <c r="Z715">
        <v>60.92</v>
      </c>
      <c r="AA715">
        <v>6.08</v>
      </c>
      <c r="AB715">
        <v>1.42</v>
      </c>
      <c r="AC715">
        <v>31.58</v>
      </c>
      <c r="AD715">
        <v>0</v>
      </c>
      <c r="AE715">
        <v>1.1976362442547603</v>
      </c>
      <c r="AF715">
        <v>0.38878857518056464</v>
      </c>
      <c r="AG715">
        <v>9.32</v>
      </c>
      <c r="AH715">
        <v>22.51</v>
      </c>
      <c r="AI715">
        <v>53.7</v>
      </c>
    </row>
    <row r="716" spans="1:36" x14ac:dyDescent="0.5">
      <c r="A716">
        <v>60</v>
      </c>
      <c r="B716">
        <v>220</v>
      </c>
      <c r="C716">
        <v>0.1</v>
      </c>
      <c r="D716">
        <v>10</v>
      </c>
      <c r="E716">
        <v>500</v>
      </c>
      <c r="F716">
        <v>350</v>
      </c>
      <c r="G716">
        <v>35</v>
      </c>
      <c r="N716">
        <v>69</v>
      </c>
      <c r="O716">
        <v>62.8</v>
      </c>
      <c r="P716">
        <v>4.0999999999999996</v>
      </c>
      <c r="Q716">
        <v>44.3</v>
      </c>
      <c r="R716">
        <v>5.7</v>
      </c>
      <c r="S716">
        <v>4.2</v>
      </c>
      <c r="T716">
        <v>42.8</v>
      </c>
      <c r="U716">
        <v>0.3</v>
      </c>
      <c r="V716">
        <v>1.544018058690745</v>
      </c>
      <c r="W716">
        <v>0.72460496613995484</v>
      </c>
      <c r="X716">
        <v>9.8000000000000007</v>
      </c>
      <c r="Y716">
        <v>15.4732</v>
      </c>
      <c r="Z716">
        <v>62.51</v>
      </c>
      <c r="AA716">
        <v>6.36</v>
      </c>
      <c r="AB716">
        <v>2.16</v>
      </c>
      <c r="AC716">
        <v>28.97</v>
      </c>
      <c r="AD716">
        <v>0</v>
      </c>
      <c r="AE716">
        <v>1.2209246520556711</v>
      </c>
      <c r="AF716">
        <v>0.34758438649816031</v>
      </c>
      <c r="AG716">
        <v>6.57</v>
      </c>
      <c r="AH716">
        <v>23.86</v>
      </c>
      <c r="AI716">
        <v>52.4</v>
      </c>
    </row>
    <row r="717" spans="1:36" x14ac:dyDescent="0.5">
      <c r="A717">
        <v>60</v>
      </c>
      <c r="B717">
        <v>220</v>
      </c>
      <c r="C717">
        <v>0.1</v>
      </c>
      <c r="D717">
        <v>10</v>
      </c>
      <c r="E717">
        <v>500</v>
      </c>
      <c r="F717">
        <v>400</v>
      </c>
      <c r="G717">
        <v>40</v>
      </c>
      <c r="N717">
        <v>69</v>
      </c>
      <c r="O717">
        <v>62.8</v>
      </c>
      <c r="P717">
        <v>4.0999999999999996</v>
      </c>
      <c r="Q717">
        <v>44.3</v>
      </c>
      <c r="R717">
        <v>5.7</v>
      </c>
      <c r="S717">
        <v>4.2</v>
      </c>
      <c r="T717">
        <v>42.8</v>
      </c>
      <c r="U717">
        <v>0.3</v>
      </c>
      <c r="V717">
        <v>1.544018058690745</v>
      </c>
      <c r="W717">
        <v>0.72460496613995484</v>
      </c>
      <c r="X717">
        <v>9.8000000000000007</v>
      </c>
      <c r="Y717">
        <v>15.4732</v>
      </c>
      <c r="Z717">
        <v>67.02</v>
      </c>
      <c r="AA717">
        <v>6.92</v>
      </c>
      <c r="AB717">
        <v>2.83</v>
      </c>
      <c r="AC717">
        <v>23.23</v>
      </c>
      <c r="AD717">
        <v>0</v>
      </c>
      <c r="AE717">
        <v>1.2390331244404655</v>
      </c>
      <c r="AF717">
        <v>0.25995971351835273</v>
      </c>
      <c r="AG717">
        <v>6.67</v>
      </c>
      <c r="AH717">
        <v>27.12</v>
      </c>
      <c r="AI717">
        <v>40.200000000000003</v>
      </c>
    </row>
    <row r="718" spans="1:36" x14ac:dyDescent="0.5">
      <c r="A718">
        <v>60</v>
      </c>
      <c r="B718">
        <v>260</v>
      </c>
      <c r="C718">
        <v>0.1</v>
      </c>
      <c r="D718">
        <v>10</v>
      </c>
      <c r="E718">
        <v>500</v>
      </c>
      <c r="F718">
        <v>200</v>
      </c>
      <c r="G718">
        <v>20</v>
      </c>
      <c r="N718">
        <v>69</v>
      </c>
      <c r="O718">
        <v>62.8</v>
      </c>
      <c r="P718">
        <v>4.0999999999999996</v>
      </c>
      <c r="Q718">
        <v>44.3</v>
      </c>
      <c r="R718">
        <v>5.7</v>
      </c>
      <c r="S718">
        <v>4.2</v>
      </c>
      <c r="T718">
        <v>42.8</v>
      </c>
      <c r="U718">
        <v>0.3</v>
      </c>
      <c r="V718">
        <v>1.544018058690745</v>
      </c>
      <c r="W718">
        <v>0.72460496613995484</v>
      </c>
      <c r="X718">
        <v>9.8000000000000007</v>
      </c>
      <c r="Y718">
        <v>15.4732</v>
      </c>
      <c r="Z718">
        <v>67.75</v>
      </c>
      <c r="AA718">
        <v>7.24</v>
      </c>
      <c r="AB718">
        <v>7.0000000000000007E-2</v>
      </c>
      <c r="AC718">
        <v>24.94</v>
      </c>
      <c r="AD718">
        <v>0</v>
      </c>
      <c r="AE718">
        <v>1.2823616236162363</v>
      </c>
      <c r="AF718">
        <v>0.2760885608856089</v>
      </c>
      <c r="AG718">
        <v>9.14</v>
      </c>
      <c r="AH718">
        <v>27.46</v>
      </c>
      <c r="AI718">
        <v>44.7</v>
      </c>
    </row>
    <row r="719" spans="1:36" x14ac:dyDescent="0.5">
      <c r="A719">
        <v>60</v>
      </c>
      <c r="B719">
        <v>260</v>
      </c>
      <c r="C719">
        <v>0.1</v>
      </c>
      <c r="D719">
        <v>10</v>
      </c>
      <c r="E719">
        <v>500</v>
      </c>
      <c r="F719">
        <v>250</v>
      </c>
      <c r="G719">
        <v>25</v>
      </c>
      <c r="N719">
        <v>69</v>
      </c>
      <c r="O719">
        <v>62.8</v>
      </c>
      <c r="P719">
        <v>4.0999999999999996</v>
      </c>
      <c r="Q719">
        <v>44.3</v>
      </c>
      <c r="R719">
        <v>5.7</v>
      </c>
      <c r="S719">
        <v>4.2</v>
      </c>
      <c r="T719">
        <v>42.8</v>
      </c>
      <c r="U719">
        <v>0.3</v>
      </c>
      <c r="V719">
        <v>1.544018058690745</v>
      </c>
      <c r="W719">
        <v>0.72460496613995484</v>
      </c>
      <c r="X719">
        <v>9.8000000000000007</v>
      </c>
      <c r="Y719">
        <v>15.4732</v>
      </c>
      <c r="Z719">
        <v>67.62</v>
      </c>
      <c r="AA719">
        <v>7.5</v>
      </c>
      <c r="AB719">
        <v>1.1200000000000001</v>
      </c>
      <c r="AC719">
        <v>23.76</v>
      </c>
      <c r="AD719">
        <v>0</v>
      </c>
      <c r="AE719">
        <v>1.3309671694764862</v>
      </c>
      <c r="AF719">
        <v>0.26353149955634425</v>
      </c>
      <c r="AG719">
        <v>8.93</v>
      </c>
      <c r="AH719">
        <v>27.95</v>
      </c>
      <c r="AI719">
        <v>42.5</v>
      </c>
    </row>
    <row r="720" spans="1:36" x14ac:dyDescent="0.5">
      <c r="A720">
        <v>60</v>
      </c>
      <c r="B720">
        <v>260</v>
      </c>
      <c r="C720">
        <v>0.1</v>
      </c>
      <c r="D720">
        <v>10</v>
      </c>
      <c r="E720">
        <v>500</v>
      </c>
      <c r="F720">
        <v>300</v>
      </c>
      <c r="G720">
        <v>30</v>
      </c>
      <c r="N720">
        <v>69</v>
      </c>
      <c r="O720">
        <v>62.8</v>
      </c>
      <c r="P720">
        <v>4.0999999999999996</v>
      </c>
      <c r="Q720">
        <v>44.3</v>
      </c>
      <c r="R720">
        <v>5.7</v>
      </c>
      <c r="S720">
        <v>4.2</v>
      </c>
      <c r="T720">
        <v>42.8</v>
      </c>
      <c r="U720">
        <v>0.3</v>
      </c>
      <c r="V720">
        <v>1.544018058690745</v>
      </c>
      <c r="W720">
        <v>0.72460496613995484</v>
      </c>
      <c r="X720">
        <v>9.8000000000000007</v>
      </c>
      <c r="Y720">
        <v>15.4732</v>
      </c>
      <c r="Z720">
        <v>68.63</v>
      </c>
      <c r="AA720">
        <v>6.3</v>
      </c>
      <c r="AB720">
        <v>1.37</v>
      </c>
      <c r="AC720">
        <v>23.7</v>
      </c>
      <c r="AD720">
        <v>0</v>
      </c>
      <c r="AE720">
        <v>1.1015590849482735</v>
      </c>
      <c r="AF720">
        <v>0.25899752294914763</v>
      </c>
      <c r="AG720">
        <v>6.72</v>
      </c>
      <c r="AH720">
        <v>26.81</v>
      </c>
      <c r="AI720">
        <v>43.7</v>
      </c>
    </row>
    <row r="721" spans="1:36" x14ac:dyDescent="0.5">
      <c r="A721">
        <v>60</v>
      </c>
      <c r="B721">
        <v>260</v>
      </c>
      <c r="C721">
        <v>0.1</v>
      </c>
      <c r="D721">
        <v>10</v>
      </c>
      <c r="E721">
        <v>500</v>
      </c>
      <c r="F721">
        <v>350</v>
      </c>
      <c r="G721">
        <v>35</v>
      </c>
      <c r="N721">
        <v>69</v>
      </c>
      <c r="O721">
        <v>62.8</v>
      </c>
      <c r="P721">
        <v>4.0999999999999996</v>
      </c>
      <c r="Q721">
        <v>44.3</v>
      </c>
      <c r="R721">
        <v>5.7</v>
      </c>
      <c r="S721">
        <v>4.2</v>
      </c>
      <c r="T721">
        <v>42.8</v>
      </c>
      <c r="U721">
        <v>0.3</v>
      </c>
      <c r="V721">
        <v>1.544018058690745</v>
      </c>
      <c r="W721">
        <v>0.72460496613995484</v>
      </c>
      <c r="X721">
        <v>9.8000000000000007</v>
      </c>
      <c r="Y721">
        <v>15.4732</v>
      </c>
      <c r="Z721">
        <v>69.86</v>
      </c>
      <c r="AA721">
        <v>6.37</v>
      </c>
      <c r="AB721">
        <v>2.6</v>
      </c>
      <c r="AC721">
        <v>21.17</v>
      </c>
      <c r="AD721">
        <v>0</v>
      </c>
      <c r="AE721">
        <v>1.094188376753507</v>
      </c>
      <c r="AF721">
        <v>0.22727598053249359</v>
      </c>
      <c r="AG721">
        <v>7.67</v>
      </c>
      <c r="AH721">
        <v>27.78</v>
      </c>
      <c r="AI721">
        <v>42.2</v>
      </c>
    </row>
    <row r="722" spans="1:36" x14ac:dyDescent="0.5">
      <c r="A722">
        <v>60</v>
      </c>
      <c r="B722">
        <v>260</v>
      </c>
      <c r="C722">
        <v>0.1</v>
      </c>
      <c r="D722">
        <v>10</v>
      </c>
      <c r="E722">
        <v>500</v>
      </c>
      <c r="F722">
        <v>400</v>
      </c>
      <c r="G722">
        <v>40</v>
      </c>
      <c r="N722">
        <v>69</v>
      </c>
      <c r="O722">
        <v>62.8</v>
      </c>
      <c r="P722">
        <v>4.0999999999999996</v>
      </c>
      <c r="Q722">
        <v>44.3</v>
      </c>
      <c r="R722">
        <v>5.7</v>
      </c>
      <c r="S722">
        <v>4.2</v>
      </c>
      <c r="T722">
        <v>42.8</v>
      </c>
      <c r="U722">
        <v>0.3</v>
      </c>
      <c r="V722">
        <v>1.544018058690745</v>
      </c>
      <c r="W722">
        <v>0.72460496613995484</v>
      </c>
      <c r="X722">
        <v>9.8000000000000007</v>
      </c>
      <c r="Y722">
        <v>15.4732</v>
      </c>
      <c r="Z722">
        <v>71.81</v>
      </c>
      <c r="AA722">
        <v>7.01</v>
      </c>
      <c r="AB722">
        <v>3.13</v>
      </c>
      <c r="AC722">
        <v>18.05</v>
      </c>
      <c r="AD722">
        <v>0</v>
      </c>
      <c r="AE722">
        <v>1.1714245926751148</v>
      </c>
      <c r="AF722">
        <v>0.18851831221278373</v>
      </c>
      <c r="AG722">
        <v>7.39</v>
      </c>
      <c r="AH722">
        <v>29.79</v>
      </c>
      <c r="AI722">
        <v>38.5</v>
      </c>
    </row>
    <row r="723" spans="1:36" x14ac:dyDescent="0.5">
      <c r="A723">
        <v>60</v>
      </c>
      <c r="B723">
        <v>200</v>
      </c>
      <c r="C723">
        <v>0.1</v>
      </c>
      <c r="D723">
        <v>20</v>
      </c>
      <c r="E723">
        <v>250</v>
      </c>
      <c r="F723">
        <v>200</v>
      </c>
      <c r="G723">
        <v>10</v>
      </c>
      <c r="O723">
        <v>80.02</v>
      </c>
      <c r="P723">
        <v>17.579999999999998</v>
      </c>
      <c r="Q723">
        <v>47.11</v>
      </c>
      <c r="R723">
        <v>6.71</v>
      </c>
      <c r="S723">
        <v>0.22</v>
      </c>
      <c r="T723">
        <v>43.5</v>
      </c>
      <c r="U723">
        <v>0</v>
      </c>
      <c r="V723">
        <v>1.7091912545107195</v>
      </c>
      <c r="W723">
        <v>0.6925281256633411</v>
      </c>
      <c r="X723">
        <v>2.4</v>
      </c>
      <c r="Y723">
        <v>20.56</v>
      </c>
      <c r="Z723">
        <v>52.12</v>
      </c>
      <c r="AA723">
        <v>6.3</v>
      </c>
      <c r="AB723">
        <v>0.18</v>
      </c>
      <c r="AC723">
        <v>39.9</v>
      </c>
      <c r="AD723">
        <v>0</v>
      </c>
      <c r="AE723">
        <v>1.4504988488104376</v>
      </c>
      <c r="AF723">
        <v>0.57415579432079822</v>
      </c>
      <c r="AG723">
        <v>1.8</v>
      </c>
      <c r="AH723">
        <v>22.1</v>
      </c>
      <c r="AI723">
        <v>58.6</v>
      </c>
      <c r="AJ723" t="s">
        <v>189</v>
      </c>
    </row>
    <row r="724" spans="1:36" x14ac:dyDescent="0.5">
      <c r="A724">
        <v>60</v>
      </c>
      <c r="B724">
        <v>230</v>
      </c>
      <c r="C724">
        <v>0.1</v>
      </c>
      <c r="D724">
        <v>20</v>
      </c>
      <c r="E724">
        <v>250</v>
      </c>
      <c r="F724">
        <v>200</v>
      </c>
      <c r="G724">
        <v>10</v>
      </c>
      <c r="O724">
        <v>80.02</v>
      </c>
      <c r="P724">
        <v>17.579999999999998</v>
      </c>
      <c r="Q724">
        <v>47.11</v>
      </c>
      <c r="R724">
        <v>6.71</v>
      </c>
      <c r="S724">
        <v>0.22</v>
      </c>
      <c r="T724">
        <v>43.5</v>
      </c>
      <c r="U724">
        <v>0</v>
      </c>
      <c r="V724">
        <v>1.7091912545107195</v>
      </c>
      <c r="W724">
        <v>0.6925281256633411</v>
      </c>
      <c r="X724">
        <v>2.4</v>
      </c>
      <c r="Y724">
        <v>20.56</v>
      </c>
      <c r="Z724">
        <v>58.08</v>
      </c>
      <c r="AA724">
        <v>6.11</v>
      </c>
      <c r="AB724">
        <v>0.25</v>
      </c>
      <c r="AC724">
        <v>33.229999999999997</v>
      </c>
      <c r="AD724">
        <v>0</v>
      </c>
      <c r="AE724">
        <v>1.2623966942148761</v>
      </c>
      <c r="AF724">
        <v>0.42910640495867763</v>
      </c>
      <c r="AG724">
        <v>2.2999999999999998</v>
      </c>
      <c r="AH724">
        <v>24.89</v>
      </c>
      <c r="AI724">
        <v>50.6</v>
      </c>
    </row>
    <row r="725" spans="1:36" x14ac:dyDescent="0.5">
      <c r="A725">
        <v>60</v>
      </c>
      <c r="B725">
        <v>260</v>
      </c>
      <c r="C725">
        <v>0.1</v>
      </c>
      <c r="D725">
        <v>20</v>
      </c>
      <c r="E725">
        <v>250</v>
      </c>
      <c r="F725">
        <v>200</v>
      </c>
      <c r="G725">
        <v>10</v>
      </c>
      <c r="O725">
        <v>80.02</v>
      </c>
      <c r="P725">
        <v>17.579999999999998</v>
      </c>
      <c r="Q725">
        <v>47.11</v>
      </c>
      <c r="R725">
        <v>6.71</v>
      </c>
      <c r="S725">
        <v>0.22</v>
      </c>
      <c r="T725">
        <v>43.5</v>
      </c>
      <c r="U725">
        <v>0</v>
      </c>
      <c r="V725">
        <v>1.7091912545107195</v>
      </c>
      <c r="W725">
        <v>0.6925281256633411</v>
      </c>
      <c r="X725">
        <v>2.4</v>
      </c>
      <c r="Y725">
        <v>20.56</v>
      </c>
      <c r="Z725">
        <v>67.510000000000005</v>
      </c>
      <c r="AA725">
        <v>5.56</v>
      </c>
      <c r="AB725">
        <v>0.35</v>
      </c>
      <c r="AC725">
        <v>22.41</v>
      </c>
      <c r="AD725">
        <v>0</v>
      </c>
      <c r="AE725">
        <v>0.98829802992149307</v>
      </c>
      <c r="AF725">
        <v>0.24896311657532216</v>
      </c>
      <c r="AG725">
        <v>4.0999999999999996</v>
      </c>
      <c r="AH725">
        <v>29.47</v>
      </c>
      <c r="AI725">
        <v>38.1</v>
      </c>
    </row>
    <row r="726" spans="1:36" x14ac:dyDescent="0.5">
      <c r="A726">
        <v>60</v>
      </c>
      <c r="B726">
        <v>200</v>
      </c>
      <c r="C726">
        <v>0.1</v>
      </c>
      <c r="D726">
        <v>20</v>
      </c>
      <c r="E726">
        <v>250</v>
      </c>
      <c r="F726">
        <v>200</v>
      </c>
      <c r="G726">
        <v>10</v>
      </c>
      <c r="O726">
        <v>95.9</v>
      </c>
      <c r="P726">
        <v>4.0999999999999996</v>
      </c>
      <c r="Q726">
        <v>37.630000000000003</v>
      </c>
      <c r="R726">
        <v>5.21</v>
      </c>
      <c r="S726">
        <v>5.3</v>
      </c>
      <c r="T726">
        <v>20.8</v>
      </c>
      <c r="U726">
        <v>0.21</v>
      </c>
      <c r="V726">
        <v>1.6614403401541322</v>
      </c>
      <c r="W726">
        <v>0.41456284879085831</v>
      </c>
      <c r="X726">
        <v>1</v>
      </c>
      <c r="Y726">
        <v>22.96</v>
      </c>
      <c r="Z726">
        <v>39.07</v>
      </c>
      <c r="AA726">
        <v>5.23</v>
      </c>
      <c r="AB726">
        <v>0</v>
      </c>
      <c r="AC726">
        <v>12.91</v>
      </c>
      <c r="AD726">
        <v>0.18</v>
      </c>
      <c r="AE726">
        <v>1.6063475812643973</v>
      </c>
      <c r="AF726">
        <v>0.24782441771179933</v>
      </c>
      <c r="AG726">
        <v>0.09</v>
      </c>
      <c r="AH726">
        <v>17.43</v>
      </c>
      <c r="AI726">
        <v>96.1</v>
      </c>
    </row>
    <row r="727" spans="1:36" x14ac:dyDescent="0.5">
      <c r="A727">
        <v>60</v>
      </c>
      <c r="B727">
        <v>230</v>
      </c>
      <c r="C727">
        <v>0.1</v>
      </c>
      <c r="D727">
        <v>20</v>
      </c>
      <c r="E727">
        <v>250</v>
      </c>
      <c r="F727">
        <v>200</v>
      </c>
      <c r="G727">
        <v>10</v>
      </c>
      <c r="O727">
        <v>95.9</v>
      </c>
      <c r="P727">
        <v>4.0999999999999996</v>
      </c>
      <c r="Q727">
        <v>37.630000000000003</v>
      </c>
      <c r="R727">
        <v>5.21</v>
      </c>
      <c r="S727">
        <v>5.3</v>
      </c>
      <c r="T727">
        <v>20.8</v>
      </c>
      <c r="U727">
        <v>0.21</v>
      </c>
      <c r="V727">
        <v>1.6614403401541322</v>
      </c>
      <c r="W727">
        <v>0.41456284879085831</v>
      </c>
      <c r="X727">
        <v>1</v>
      </c>
      <c r="Y727">
        <v>22.96</v>
      </c>
      <c r="Z727">
        <v>57.04</v>
      </c>
      <c r="AA727">
        <v>5.73</v>
      </c>
      <c r="AB727">
        <v>0</v>
      </c>
      <c r="AC727">
        <v>7.52</v>
      </c>
      <c r="AD727">
        <v>0.17</v>
      </c>
      <c r="AE727">
        <v>1.2054698457223003</v>
      </c>
      <c r="AF727">
        <v>9.8877980364656379E-2</v>
      </c>
      <c r="AG727">
        <v>0.11</v>
      </c>
      <c r="AH727">
        <v>25.31</v>
      </c>
      <c r="AI727">
        <v>65.099999999999994</v>
      </c>
    </row>
    <row r="728" spans="1:36" x14ac:dyDescent="0.5">
      <c r="A728">
        <v>60</v>
      </c>
      <c r="B728">
        <v>260</v>
      </c>
      <c r="C728">
        <v>0.1</v>
      </c>
      <c r="D728">
        <v>20</v>
      </c>
      <c r="E728">
        <v>250</v>
      </c>
      <c r="F728">
        <v>200</v>
      </c>
      <c r="G728">
        <v>10</v>
      </c>
      <c r="O728">
        <v>95.9</v>
      </c>
      <c r="P728">
        <v>4.0999999999999996</v>
      </c>
      <c r="Q728">
        <v>37.630000000000003</v>
      </c>
      <c r="R728">
        <v>5.21</v>
      </c>
      <c r="S728">
        <v>5.3</v>
      </c>
      <c r="T728">
        <v>20.8</v>
      </c>
      <c r="U728">
        <v>0.21</v>
      </c>
      <c r="V728">
        <v>1.6614403401541322</v>
      </c>
      <c r="W728">
        <v>0.41456284879085831</v>
      </c>
      <c r="X728">
        <v>1</v>
      </c>
      <c r="Y728">
        <v>22.96</v>
      </c>
      <c r="Z728">
        <v>82.54</v>
      </c>
      <c r="AA728">
        <v>7.03</v>
      </c>
      <c r="AB728">
        <v>0</v>
      </c>
      <c r="AC728">
        <v>6.65</v>
      </c>
      <c r="AD728">
        <v>0.03</v>
      </c>
      <c r="AE728">
        <v>1.0220499151926339</v>
      </c>
      <c r="AF728">
        <v>6.0425248364429369E-2</v>
      </c>
      <c r="AG728">
        <v>0.75</v>
      </c>
      <c r="AH728">
        <v>36.869999999999997</v>
      </c>
      <c r="AI728">
        <v>43.9</v>
      </c>
    </row>
    <row r="729" spans="1:36" x14ac:dyDescent="0.5">
      <c r="A729">
        <v>60</v>
      </c>
      <c r="B729">
        <v>200</v>
      </c>
      <c r="C729">
        <v>0.1</v>
      </c>
      <c r="D729">
        <v>20</v>
      </c>
      <c r="E729">
        <v>250</v>
      </c>
      <c r="F729">
        <v>200</v>
      </c>
      <c r="G729">
        <v>10</v>
      </c>
      <c r="O729">
        <v>87.96</v>
      </c>
      <c r="P729">
        <v>10.84</v>
      </c>
      <c r="Q729">
        <v>42.37</v>
      </c>
      <c r="R729">
        <v>5.9</v>
      </c>
      <c r="S729">
        <v>2.76</v>
      </c>
      <c r="T729">
        <v>32.15</v>
      </c>
      <c r="U729">
        <v>0.1</v>
      </c>
      <c r="V729">
        <v>1.6709936275666746</v>
      </c>
      <c r="W729">
        <v>0.56909369837148926</v>
      </c>
      <c r="X729">
        <v>1.7</v>
      </c>
      <c r="Y729">
        <v>21.76</v>
      </c>
      <c r="Z729">
        <v>45.36</v>
      </c>
      <c r="AA729">
        <v>5.74</v>
      </c>
      <c r="AB729">
        <v>0.08</v>
      </c>
      <c r="AC729">
        <v>23.72</v>
      </c>
      <c r="AD729">
        <v>0.1</v>
      </c>
      <c r="AE729">
        <v>1.5185185185185186</v>
      </c>
      <c r="AF729">
        <v>0.39219576719576721</v>
      </c>
      <c r="AG729">
        <v>0</v>
      </c>
      <c r="AH729">
        <v>19.53</v>
      </c>
      <c r="AI729">
        <v>71.8</v>
      </c>
    </row>
    <row r="730" spans="1:36" x14ac:dyDescent="0.5">
      <c r="A730">
        <v>60</v>
      </c>
      <c r="B730">
        <v>230</v>
      </c>
      <c r="C730">
        <v>0.1</v>
      </c>
      <c r="D730">
        <v>20</v>
      </c>
      <c r="E730">
        <v>250</v>
      </c>
      <c r="F730">
        <v>200</v>
      </c>
      <c r="G730">
        <v>10</v>
      </c>
      <c r="O730">
        <v>87.96</v>
      </c>
      <c r="P730">
        <v>10.84</v>
      </c>
      <c r="Q730">
        <v>42.37</v>
      </c>
      <c r="R730">
        <v>5.9</v>
      </c>
      <c r="S730">
        <v>2.76</v>
      </c>
      <c r="T730">
        <v>32.15</v>
      </c>
      <c r="U730">
        <v>0.1</v>
      </c>
      <c r="V730">
        <v>1.6709936275666746</v>
      </c>
      <c r="W730">
        <v>0.56909369837148926</v>
      </c>
      <c r="X730">
        <v>1.7</v>
      </c>
      <c r="Y730">
        <v>21.76</v>
      </c>
      <c r="Z730">
        <v>55.73</v>
      </c>
      <c r="AA730">
        <v>5.31</v>
      </c>
      <c r="AB730">
        <v>0.15</v>
      </c>
      <c r="AC730">
        <v>15.16</v>
      </c>
      <c r="AD730">
        <v>0.09</v>
      </c>
      <c r="AE730">
        <v>1.1433698187690653</v>
      </c>
      <c r="AF730">
        <v>0.20401937914947069</v>
      </c>
      <c r="AG730">
        <v>0.66</v>
      </c>
      <c r="AH730">
        <v>23.98</v>
      </c>
      <c r="AI730">
        <v>58.5</v>
      </c>
    </row>
    <row r="731" spans="1:36" x14ac:dyDescent="0.5">
      <c r="A731">
        <v>60</v>
      </c>
      <c r="B731">
        <v>260</v>
      </c>
      <c r="C731">
        <v>0.1</v>
      </c>
      <c r="D731">
        <v>20</v>
      </c>
      <c r="E731">
        <v>250</v>
      </c>
      <c r="F731">
        <v>200</v>
      </c>
      <c r="G731">
        <v>10</v>
      </c>
      <c r="O731">
        <v>87.96</v>
      </c>
      <c r="P731">
        <v>10.84</v>
      </c>
      <c r="Q731">
        <v>42.37</v>
      </c>
      <c r="R731">
        <v>5.9</v>
      </c>
      <c r="S731">
        <v>2.76</v>
      </c>
      <c r="T731">
        <v>32.15</v>
      </c>
      <c r="U731">
        <v>0.1</v>
      </c>
      <c r="V731">
        <v>1.6709936275666746</v>
      </c>
      <c r="W731">
        <v>0.56909369837148926</v>
      </c>
      <c r="X731">
        <v>1.7</v>
      </c>
      <c r="Y731">
        <v>21.76</v>
      </c>
      <c r="Z731">
        <v>71</v>
      </c>
      <c r="AA731">
        <v>5.92</v>
      </c>
      <c r="AB731">
        <v>0.17</v>
      </c>
      <c r="AC731">
        <v>13.68</v>
      </c>
      <c r="AD731">
        <v>0.04</v>
      </c>
      <c r="AE731">
        <v>1.00056338028169</v>
      </c>
      <c r="AF731">
        <v>0.14450704225352112</v>
      </c>
      <c r="AG731">
        <v>4.78</v>
      </c>
      <c r="AH731">
        <v>32.19</v>
      </c>
      <c r="AI731">
        <v>41.2</v>
      </c>
    </row>
    <row r="732" spans="1:36" x14ac:dyDescent="0.5">
      <c r="A732">
        <v>30</v>
      </c>
      <c r="B732">
        <v>180</v>
      </c>
      <c r="C732">
        <v>0.1</v>
      </c>
      <c r="D732">
        <v>50</v>
      </c>
      <c r="E732">
        <v>1000</v>
      </c>
      <c r="F732">
        <v>500</v>
      </c>
      <c r="G732">
        <v>10</v>
      </c>
      <c r="O732">
        <v>73</v>
      </c>
      <c r="P732">
        <v>6.9</v>
      </c>
      <c r="Q732">
        <v>48.3</v>
      </c>
      <c r="R732">
        <v>8.1</v>
      </c>
      <c r="S732">
        <v>2.2000000000000002</v>
      </c>
      <c r="T732">
        <v>25.2</v>
      </c>
      <c r="U732">
        <v>0.1</v>
      </c>
      <c r="V732">
        <v>2.0124223602484475</v>
      </c>
      <c r="W732">
        <v>0.39130434782608697</v>
      </c>
      <c r="X732">
        <v>20.100000000000001</v>
      </c>
      <c r="Y732">
        <v>23.394000000000002</v>
      </c>
      <c r="Z732">
        <v>53.7</v>
      </c>
      <c r="AA732">
        <v>8.5</v>
      </c>
      <c r="AB732">
        <v>1.1000000000000001</v>
      </c>
      <c r="AC732">
        <v>16.2</v>
      </c>
      <c r="AD732">
        <v>0.2</v>
      </c>
      <c r="AE732">
        <v>1.8994413407821227</v>
      </c>
      <c r="AF732">
        <v>0.22625698324022342</v>
      </c>
      <c r="AG732">
        <v>21.4</v>
      </c>
      <c r="AH732">
        <v>27.396900000000002</v>
      </c>
      <c r="AI732">
        <v>86.1</v>
      </c>
      <c r="AJ732" t="s">
        <v>191</v>
      </c>
    </row>
    <row r="733" spans="1:36" x14ac:dyDescent="0.5">
      <c r="A733">
        <v>30</v>
      </c>
      <c r="B733">
        <v>200</v>
      </c>
      <c r="C733">
        <v>0.1</v>
      </c>
      <c r="D733">
        <v>50</v>
      </c>
      <c r="E733">
        <v>1000</v>
      </c>
      <c r="F733">
        <v>500</v>
      </c>
      <c r="G733">
        <v>10</v>
      </c>
      <c r="O733">
        <v>73</v>
      </c>
      <c r="P733">
        <v>6.9</v>
      </c>
      <c r="Q733">
        <v>48.3</v>
      </c>
      <c r="R733">
        <v>8.1</v>
      </c>
      <c r="S733">
        <v>2.2000000000000002</v>
      </c>
      <c r="T733">
        <v>25.2</v>
      </c>
      <c r="U733">
        <v>0.1</v>
      </c>
      <c r="V733">
        <v>2.0124223602484475</v>
      </c>
      <c r="W733">
        <v>0.39130434782608697</v>
      </c>
      <c r="X733">
        <v>20.100000000000001</v>
      </c>
      <c r="Y733">
        <v>23.394000000000002</v>
      </c>
      <c r="Z733">
        <v>54.5</v>
      </c>
      <c r="AA733">
        <v>8.6</v>
      </c>
      <c r="AB733">
        <v>1.1000000000000001</v>
      </c>
      <c r="AC733">
        <v>15</v>
      </c>
      <c r="AD733">
        <v>0.1</v>
      </c>
      <c r="AE733">
        <v>1.893577981651376</v>
      </c>
      <c r="AF733">
        <v>0.20642201834862384</v>
      </c>
      <c r="AG733">
        <v>21.5</v>
      </c>
      <c r="AH733">
        <v>28.024300000000004</v>
      </c>
      <c r="AI733">
        <v>82.9</v>
      </c>
    </row>
    <row r="734" spans="1:36" x14ac:dyDescent="0.5">
      <c r="A734">
        <v>30</v>
      </c>
      <c r="B734">
        <v>220</v>
      </c>
      <c r="C734">
        <v>0.1</v>
      </c>
      <c r="D734">
        <v>50</v>
      </c>
      <c r="E734">
        <v>1000</v>
      </c>
      <c r="F734">
        <v>500</v>
      </c>
      <c r="G734">
        <v>10</v>
      </c>
      <c r="O734">
        <v>73</v>
      </c>
      <c r="P734">
        <v>6.9</v>
      </c>
      <c r="Q734">
        <v>48.3</v>
      </c>
      <c r="R734">
        <v>8.1</v>
      </c>
      <c r="S734">
        <v>2.2000000000000002</v>
      </c>
      <c r="T734">
        <v>25.2</v>
      </c>
      <c r="U734">
        <v>0.1</v>
      </c>
      <c r="V734">
        <v>2.0124223602484475</v>
      </c>
      <c r="W734">
        <v>0.39130434782608697</v>
      </c>
      <c r="X734">
        <v>20.100000000000001</v>
      </c>
      <c r="Y734">
        <v>23.394000000000002</v>
      </c>
      <c r="Z734">
        <v>52.7</v>
      </c>
      <c r="AA734">
        <v>8.1</v>
      </c>
      <c r="AB734">
        <v>1.2</v>
      </c>
      <c r="AC734">
        <v>15.9</v>
      </c>
      <c r="AD734">
        <v>0.1</v>
      </c>
      <c r="AE734">
        <v>1.844402277039848</v>
      </c>
      <c r="AF734">
        <v>0.22628083491461101</v>
      </c>
      <c r="AG734">
        <v>22.2</v>
      </c>
      <c r="AH734">
        <v>26.541250000000005</v>
      </c>
      <c r="AI734">
        <v>78</v>
      </c>
    </row>
    <row r="735" spans="1:36" x14ac:dyDescent="0.5">
      <c r="A735">
        <v>30</v>
      </c>
      <c r="B735">
        <v>240</v>
      </c>
      <c r="C735">
        <v>0.1</v>
      </c>
      <c r="D735">
        <v>50</v>
      </c>
      <c r="E735">
        <v>1000</v>
      </c>
      <c r="F735">
        <v>500</v>
      </c>
      <c r="G735">
        <v>10</v>
      </c>
      <c r="O735">
        <v>73</v>
      </c>
      <c r="P735">
        <v>6.9</v>
      </c>
      <c r="Q735">
        <v>48.3</v>
      </c>
      <c r="R735">
        <v>8.1</v>
      </c>
      <c r="S735">
        <v>2.2000000000000002</v>
      </c>
      <c r="T735">
        <v>25.2</v>
      </c>
      <c r="U735">
        <v>0.1</v>
      </c>
      <c r="V735">
        <v>2.0124223602484475</v>
      </c>
      <c r="W735">
        <v>0.39130434782608697</v>
      </c>
      <c r="X735">
        <v>20.100000000000001</v>
      </c>
      <c r="Y735">
        <v>23.394000000000002</v>
      </c>
      <c r="Z735">
        <v>51.8</v>
      </c>
      <c r="AA735">
        <v>7.8</v>
      </c>
      <c r="AB735">
        <v>1.2</v>
      </c>
      <c r="AC735">
        <v>17</v>
      </c>
      <c r="AD735">
        <v>0.1</v>
      </c>
      <c r="AE735">
        <v>1.8069498069498071</v>
      </c>
      <c r="AF735">
        <v>0.24613899613899615</v>
      </c>
      <c r="AG735">
        <v>22.4</v>
      </c>
      <c r="AH735">
        <v>25.612300000000001</v>
      </c>
      <c r="AI735">
        <v>77.7</v>
      </c>
    </row>
    <row r="736" spans="1:36" x14ac:dyDescent="0.5">
      <c r="A736">
        <v>30</v>
      </c>
      <c r="B736">
        <v>260</v>
      </c>
      <c r="C736">
        <v>0.1</v>
      </c>
      <c r="D736">
        <v>50</v>
      </c>
      <c r="E736">
        <v>1000</v>
      </c>
      <c r="F736">
        <v>500</v>
      </c>
      <c r="G736">
        <v>10</v>
      </c>
      <c r="O736">
        <v>73</v>
      </c>
      <c r="P736">
        <v>6.9</v>
      </c>
      <c r="Q736">
        <v>48.3</v>
      </c>
      <c r="R736">
        <v>8.1</v>
      </c>
      <c r="S736">
        <v>2.2000000000000002</v>
      </c>
      <c r="T736">
        <v>25.2</v>
      </c>
      <c r="U736">
        <v>0.1</v>
      </c>
      <c r="V736">
        <v>2.0124223602484475</v>
      </c>
      <c r="W736">
        <v>0.39130434782608697</v>
      </c>
      <c r="X736">
        <v>20.100000000000001</v>
      </c>
      <c r="Y736">
        <v>23.394000000000002</v>
      </c>
      <c r="Z736">
        <v>51.7</v>
      </c>
      <c r="AA736">
        <v>7.8</v>
      </c>
      <c r="AB736">
        <v>1.4</v>
      </c>
      <c r="AC736">
        <v>17.2</v>
      </c>
      <c r="AD736">
        <v>0.2</v>
      </c>
      <c r="AE736">
        <v>1.8104448742746613</v>
      </c>
      <c r="AF736">
        <v>0.2495164410058027</v>
      </c>
      <c r="AG736">
        <v>23.1</v>
      </c>
      <c r="AH736">
        <v>25.542800000000003</v>
      </c>
      <c r="AI736">
        <v>74.8</v>
      </c>
    </row>
    <row r="737" spans="1:36" x14ac:dyDescent="0.5">
      <c r="A737">
        <v>30</v>
      </c>
      <c r="B737">
        <v>280</v>
      </c>
      <c r="C737">
        <v>0.1</v>
      </c>
      <c r="D737">
        <v>50</v>
      </c>
      <c r="E737">
        <v>1000</v>
      </c>
      <c r="F737">
        <v>500</v>
      </c>
      <c r="G737">
        <v>10</v>
      </c>
      <c r="O737">
        <v>73</v>
      </c>
      <c r="P737">
        <v>6.9</v>
      </c>
      <c r="Q737">
        <v>48.3</v>
      </c>
      <c r="R737">
        <v>8.1</v>
      </c>
      <c r="S737">
        <v>2.2000000000000002</v>
      </c>
      <c r="T737">
        <v>25.2</v>
      </c>
      <c r="U737">
        <v>0.1</v>
      </c>
      <c r="V737">
        <v>2.0124223602484475</v>
      </c>
      <c r="W737">
        <v>0.39130434782608697</v>
      </c>
      <c r="X737">
        <v>20.100000000000001</v>
      </c>
      <c r="Y737">
        <v>23.394000000000002</v>
      </c>
      <c r="Z737">
        <v>50.4</v>
      </c>
      <c r="AA737">
        <v>7.5</v>
      </c>
      <c r="AB737">
        <v>1.2</v>
      </c>
      <c r="AC737">
        <v>17.399999999999999</v>
      </c>
      <c r="AD737">
        <v>0.2</v>
      </c>
      <c r="AE737">
        <v>1.7857142857142856</v>
      </c>
      <c r="AF737">
        <v>0.2589285714285714</v>
      </c>
      <c r="AG737">
        <v>24.1</v>
      </c>
      <c r="AH737">
        <v>24.639299999999999</v>
      </c>
      <c r="AI737">
        <v>72.5</v>
      </c>
    </row>
    <row r="738" spans="1:36" x14ac:dyDescent="0.5">
      <c r="A738">
        <v>30</v>
      </c>
      <c r="B738">
        <v>300</v>
      </c>
      <c r="C738">
        <v>0.1</v>
      </c>
      <c r="D738">
        <v>50</v>
      </c>
      <c r="E738">
        <v>1000</v>
      </c>
      <c r="F738">
        <v>500</v>
      </c>
      <c r="G738">
        <v>10</v>
      </c>
      <c r="O738">
        <v>73</v>
      </c>
      <c r="P738">
        <v>6.9</v>
      </c>
      <c r="Q738">
        <v>48.3</v>
      </c>
      <c r="R738">
        <v>8.1</v>
      </c>
      <c r="S738">
        <v>2.2000000000000002</v>
      </c>
      <c r="T738">
        <v>25.2</v>
      </c>
      <c r="U738">
        <v>0.1</v>
      </c>
      <c r="V738">
        <v>2.0124223602484475</v>
      </c>
      <c r="W738">
        <v>0.39130434782608697</v>
      </c>
      <c r="X738">
        <v>20.100000000000001</v>
      </c>
      <c r="Y738">
        <v>23.394000000000002</v>
      </c>
      <c r="Z738">
        <v>50.4</v>
      </c>
      <c r="AA738">
        <v>7.5</v>
      </c>
      <c r="AB738">
        <v>1.3</v>
      </c>
      <c r="AC738">
        <v>17.899999999999999</v>
      </c>
      <c r="AD738">
        <v>0.3</v>
      </c>
      <c r="AE738">
        <v>1.7857142857142856</v>
      </c>
      <c r="AF738">
        <v>0.26636904761904756</v>
      </c>
      <c r="AG738">
        <v>25.3</v>
      </c>
      <c r="AH738">
        <v>24.550049999999999</v>
      </c>
      <c r="AI738">
        <v>70.7</v>
      </c>
    </row>
    <row r="739" spans="1:36" x14ac:dyDescent="0.5">
      <c r="A739">
        <v>30</v>
      </c>
      <c r="B739">
        <v>180</v>
      </c>
      <c r="C739">
        <v>0.1</v>
      </c>
      <c r="D739">
        <v>6</v>
      </c>
      <c r="E739">
        <v>50</v>
      </c>
      <c r="F739">
        <v>30</v>
      </c>
      <c r="G739">
        <v>5</v>
      </c>
      <c r="O739">
        <v>70.62</v>
      </c>
      <c r="P739">
        <v>14.23</v>
      </c>
      <c r="Q739">
        <v>39.68</v>
      </c>
      <c r="R739">
        <v>4.7</v>
      </c>
      <c r="S739">
        <v>0.48</v>
      </c>
      <c r="T739">
        <v>39.979999999999997</v>
      </c>
      <c r="U739">
        <v>0</v>
      </c>
      <c r="V739">
        <v>1.4213709677419355</v>
      </c>
      <c r="W739">
        <v>0.75567036290322576</v>
      </c>
      <c r="X739">
        <v>15.15</v>
      </c>
      <c r="Y739">
        <v>13.87</v>
      </c>
      <c r="Z739">
        <v>44.82</v>
      </c>
      <c r="AA739">
        <v>4.91</v>
      </c>
      <c r="AB739">
        <v>0.75</v>
      </c>
      <c r="AC739">
        <v>37.11</v>
      </c>
      <c r="AD739">
        <v>0</v>
      </c>
      <c r="AE739">
        <v>1.3145917001338689</v>
      </c>
      <c r="AF739">
        <v>0.62098393574297195</v>
      </c>
      <c r="AG739">
        <v>12.42</v>
      </c>
      <c r="AH739">
        <v>16.8</v>
      </c>
      <c r="AI739">
        <v>80</v>
      </c>
      <c r="AJ739" t="s">
        <v>193</v>
      </c>
    </row>
    <row r="740" spans="1:36" x14ac:dyDescent="0.5">
      <c r="A740">
        <v>60</v>
      </c>
      <c r="B740">
        <v>180</v>
      </c>
      <c r="C740">
        <v>0.1</v>
      </c>
      <c r="D740">
        <v>6</v>
      </c>
      <c r="E740">
        <v>50</v>
      </c>
      <c r="F740">
        <v>30</v>
      </c>
      <c r="G740">
        <v>5</v>
      </c>
      <c r="O740">
        <v>70.62</v>
      </c>
      <c r="P740">
        <v>14.23</v>
      </c>
      <c r="Q740">
        <v>39.68</v>
      </c>
      <c r="R740">
        <v>4.7</v>
      </c>
      <c r="S740">
        <v>0.48</v>
      </c>
      <c r="T740">
        <v>39.979999999999997</v>
      </c>
      <c r="U740">
        <v>0</v>
      </c>
      <c r="V740">
        <v>1.4213709677419355</v>
      </c>
      <c r="W740">
        <v>0.75567036290322576</v>
      </c>
      <c r="X740">
        <v>15.15</v>
      </c>
      <c r="Y740">
        <v>13.87</v>
      </c>
      <c r="Z740">
        <v>49.38</v>
      </c>
      <c r="AA740">
        <v>4.71</v>
      </c>
      <c r="AB740">
        <v>0.72</v>
      </c>
      <c r="AC740">
        <v>31.07</v>
      </c>
      <c r="AD740">
        <v>0</v>
      </c>
      <c r="AE740">
        <v>1.1445929526123937</v>
      </c>
      <c r="AF740">
        <v>0.47190157958687728</v>
      </c>
      <c r="AG740">
        <v>14.12</v>
      </c>
      <c r="AH740">
        <v>17.309999999999999</v>
      </c>
      <c r="AI740">
        <v>81</v>
      </c>
    </row>
    <row r="741" spans="1:36" x14ac:dyDescent="0.5">
      <c r="A741">
        <v>180</v>
      </c>
      <c r="B741">
        <v>180</v>
      </c>
      <c r="C741">
        <v>0.1</v>
      </c>
      <c r="D741">
        <v>6</v>
      </c>
      <c r="E741">
        <v>50</v>
      </c>
      <c r="F741">
        <v>30</v>
      </c>
      <c r="G741">
        <v>5</v>
      </c>
      <c r="O741">
        <v>70.62</v>
      </c>
      <c r="P741">
        <v>14.23</v>
      </c>
      <c r="Q741">
        <v>39.68</v>
      </c>
      <c r="R741">
        <v>4.7</v>
      </c>
      <c r="S741">
        <v>0.48</v>
      </c>
      <c r="T741">
        <v>39.979999999999997</v>
      </c>
      <c r="U741">
        <v>0</v>
      </c>
      <c r="V741">
        <v>1.4213709677419355</v>
      </c>
      <c r="W741">
        <v>0.75567036290322576</v>
      </c>
      <c r="X741">
        <v>15.15</v>
      </c>
      <c r="Y741">
        <v>13.87</v>
      </c>
      <c r="Z741">
        <v>50.23</v>
      </c>
      <c r="AA741">
        <v>4.63</v>
      </c>
      <c r="AB741">
        <v>0.77</v>
      </c>
      <c r="AC741">
        <v>27.74</v>
      </c>
      <c r="AD741">
        <v>0</v>
      </c>
      <c r="AE741">
        <v>1.1061118853274936</v>
      </c>
      <c r="AF741">
        <v>0.41419470435994427</v>
      </c>
      <c r="AG741">
        <v>14.61</v>
      </c>
      <c r="AH741">
        <v>17.93</v>
      </c>
      <c r="AI741">
        <v>83</v>
      </c>
    </row>
    <row r="742" spans="1:36" x14ac:dyDescent="0.5">
      <c r="A742">
        <v>30</v>
      </c>
      <c r="B742">
        <v>220</v>
      </c>
      <c r="C742">
        <v>0.1</v>
      </c>
      <c r="D742">
        <v>6</v>
      </c>
      <c r="E742">
        <v>50</v>
      </c>
      <c r="F742">
        <v>30</v>
      </c>
      <c r="G742">
        <v>5</v>
      </c>
      <c r="O742">
        <v>70.62</v>
      </c>
      <c r="P742">
        <v>14.23</v>
      </c>
      <c r="Q742">
        <v>39.68</v>
      </c>
      <c r="R742">
        <v>4.7</v>
      </c>
      <c r="S742">
        <v>0.48</v>
      </c>
      <c r="T742">
        <v>39.979999999999997</v>
      </c>
      <c r="U742">
        <v>0</v>
      </c>
      <c r="V742">
        <v>1.4213709677419355</v>
      </c>
      <c r="W742">
        <v>0.75567036290322576</v>
      </c>
      <c r="X742">
        <v>15.15</v>
      </c>
      <c r="Y742">
        <v>13.87</v>
      </c>
      <c r="Z742">
        <v>46.2</v>
      </c>
      <c r="AA742">
        <v>4.59</v>
      </c>
      <c r="AB742">
        <v>0.8</v>
      </c>
      <c r="AC742">
        <v>35.24</v>
      </c>
      <c r="AD742">
        <v>0</v>
      </c>
      <c r="AE742">
        <v>1.192207792207792</v>
      </c>
      <c r="AF742">
        <v>0.57207792207792207</v>
      </c>
      <c r="AG742">
        <v>13.17</v>
      </c>
      <c r="AH742">
        <v>18.82</v>
      </c>
      <c r="AI742">
        <v>84</v>
      </c>
    </row>
    <row r="743" spans="1:36" x14ac:dyDescent="0.5">
      <c r="A743">
        <v>60</v>
      </c>
      <c r="B743">
        <v>220</v>
      </c>
      <c r="C743">
        <v>0.1</v>
      </c>
      <c r="D743">
        <v>6</v>
      </c>
      <c r="E743">
        <v>50</v>
      </c>
      <c r="F743">
        <v>30</v>
      </c>
      <c r="G743">
        <v>5</v>
      </c>
      <c r="O743">
        <v>70.62</v>
      </c>
      <c r="P743">
        <v>14.23</v>
      </c>
      <c r="Q743">
        <v>39.68</v>
      </c>
      <c r="R743">
        <v>4.7</v>
      </c>
      <c r="S743">
        <v>0.48</v>
      </c>
      <c r="T743">
        <v>39.979999999999997</v>
      </c>
      <c r="U743">
        <v>0</v>
      </c>
      <c r="V743">
        <v>1.4213709677419355</v>
      </c>
      <c r="W743">
        <v>0.75567036290322576</v>
      </c>
      <c r="X743">
        <v>15.15</v>
      </c>
      <c r="Y743">
        <v>13.87</v>
      </c>
      <c r="Z743">
        <v>51.29</v>
      </c>
      <c r="AA743">
        <v>4.72</v>
      </c>
      <c r="AB743">
        <v>0.84</v>
      </c>
      <c r="AC743">
        <v>27.98</v>
      </c>
      <c r="AD743">
        <v>0</v>
      </c>
      <c r="AE743">
        <v>1.1043088321310195</v>
      </c>
      <c r="AF743">
        <v>0.40914408266718655</v>
      </c>
      <c r="AG743">
        <v>15.17</v>
      </c>
      <c r="AH743">
        <v>18.93</v>
      </c>
      <c r="AI743">
        <v>81</v>
      </c>
    </row>
    <row r="744" spans="1:36" x14ac:dyDescent="0.5">
      <c r="A744">
        <v>180</v>
      </c>
      <c r="B744">
        <v>220</v>
      </c>
      <c r="C744">
        <v>0.1</v>
      </c>
      <c r="D744">
        <v>6</v>
      </c>
      <c r="E744">
        <v>50</v>
      </c>
      <c r="F744">
        <v>30</v>
      </c>
      <c r="G744">
        <v>5</v>
      </c>
      <c r="O744">
        <v>70.62</v>
      </c>
      <c r="P744">
        <v>14.23</v>
      </c>
      <c r="Q744">
        <v>39.68</v>
      </c>
      <c r="R744">
        <v>4.7</v>
      </c>
      <c r="S744">
        <v>0.48</v>
      </c>
      <c r="T744">
        <v>39.979999999999997</v>
      </c>
      <c r="U744">
        <v>0</v>
      </c>
      <c r="V744">
        <v>1.4213709677419355</v>
      </c>
      <c r="W744">
        <v>0.75567036290322576</v>
      </c>
      <c r="X744">
        <v>15.15</v>
      </c>
      <c r="Y744">
        <v>13.87</v>
      </c>
      <c r="Z744">
        <v>50.32</v>
      </c>
      <c r="AA744">
        <v>4.9000000000000004</v>
      </c>
      <c r="AB744">
        <v>0.77</v>
      </c>
      <c r="AC744">
        <v>29.05</v>
      </c>
      <c r="AD744">
        <v>0</v>
      </c>
      <c r="AE744">
        <v>1.1685214626391098</v>
      </c>
      <c r="AF744">
        <v>0.43297893481717015</v>
      </c>
      <c r="AG744">
        <v>14.96</v>
      </c>
      <c r="AH744">
        <v>19.48</v>
      </c>
      <c r="AI744">
        <v>83</v>
      </c>
    </row>
    <row r="745" spans="1:36" x14ac:dyDescent="0.5">
      <c r="A745">
        <v>30</v>
      </c>
      <c r="B745">
        <v>250</v>
      </c>
      <c r="C745">
        <v>0.1</v>
      </c>
      <c r="D745">
        <v>6</v>
      </c>
      <c r="E745">
        <v>50</v>
      </c>
      <c r="F745">
        <v>30</v>
      </c>
      <c r="G745">
        <v>5</v>
      </c>
      <c r="O745">
        <v>70.62</v>
      </c>
      <c r="P745">
        <v>14.23</v>
      </c>
      <c r="Q745">
        <v>39.68</v>
      </c>
      <c r="R745">
        <v>4.7</v>
      </c>
      <c r="S745">
        <v>0.48</v>
      </c>
      <c r="T745">
        <v>39.979999999999997</v>
      </c>
      <c r="U745">
        <v>0</v>
      </c>
      <c r="V745">
        <v>1.4213709677419355</v>
      </c>
      <c r="W745">
        <v>0.75567036290322576</v>
      </c>
      <c r="X745">
        <v>15.15</v>
      </c>
      <c r="Y745">
        <v>13.87</v>
      </c>
      <c r="Z745">
        <v>47.47</v>
      </c>
      <c r="AA745">
        <v>4.6100000000000003</v>
      </c>
      <c r="AB745">
        <v>0.77</v>
      </c>
      <c r="AC745">
        <v>33.11</v>
      </c>
      <c r="AD745">
        <v>0</v>
      </c>
      <c r="AE745">
        <v>1.1653676005898463</v>
      </c>
      <c r="AF745">
        <v>0.52311986517800724</v>
      </c>
      <c r="AG745">
        <v>14.04</v>
      </c>
      <c r="AH745">
        <v>20.34</v>
      </c>
      <c r="AI745">
        <v>78</v>
      </c>
    </row>
    <row r="746" spans="1:36" x14ac:dyDescent="0.5">
      <c r="A746">
        <v>60</v>
      </c>
      <c r="B746">
        <v>250</v>
      </c>
      <c r="C746">
        <v>0.1</v>
      </c>
      <c r="D746">
        <v>6</v>
      </c>
      <c r="E746">
        <v>50</v>
      </c>
      <c r="F746">
        <v>30</v>
      </c>
      <c r="G746">
        <v>5</v>
      </c>
      <c r="O746">
        <v>70.62</v>
      </c>
      <c r="P746">
        <v>14.23</v>
      </c>
      <c r="Q746">
        <v>39.68</v>
      </c>
      <c r="R746">
        <v>4.7</v>
      </c>
      <c r="S746">
        <v>0.48</v>
      </c>
      <c r="T746">
        <v>39.979999999999997</v>
      </c>
      <c r="U746">
        <v>0</v>
      </c>
      <c r="V746">
        <v>1.4213709677419355</v>
      </c>
      <c r="W746">
        <v>0.75567036290322576</v>
      </c>
      <c r="X746">
        <v>15.15</v>
      </c>
      <c r="Y746">
        <v>13.87</v>
      </c>
      <c r="Z746">
        <v>52.86</v>
      </c>
      <c r="AA746">
        <v>4.8099999999999996</v>
      </c>
      <c r="AB746">
        <v>0.89</v>
      </c>
      <c r="AC746">
        <v>27.25</v>
      </c>
      <c r="AD746">
        <v>0</v>
      </c>
      <c r="AE746">
        <v>1.0919409761634504</v>
      </c>
      <c r="AF746">
        <v>0.38663450624290574</v>
      </c>
      <c r="AG746">
        <v>14.19</v>
      </c>
      <c r="AH746">
        <v>21.03</v>
      </c>
      <c r="AI746">
        <v>80</v>
      </c>
    </row>
    <row r="747" spans="1:36" x14ac:dyDescent="0.5">
      <c r="A747">
        <v>180</v>
      </c>
      <c r="B747">
        <v>250</v>
      </c>
      <c r="C747">
        <v>0.1</v>
      </c>
      <c r="D747">
        <v>6</v>
      </c>
      <c r="E747">
        <v>50</v>
      </c>
      <c r="F747">
        <v>30</v>
      </c>
      <c r="G747">
        <v>5</v>
      </c>
      <c r="O747">
        <v>70.62</v>
      </c>
      <c r="P747">
        <v>14.23</v>
      </c>
      <c r="Q747">
        <v>39.68</v>
      </c>
      <c r="R747">
        <v>4.7</v>
      </c>
      <c r="S747">
        <v>0.48</v>
      </c>
      <c r="T747">
        <v>39.979999999999997</v>
      </c>
      <c r="U747">
        <v>0</v>
      </c>
      <c r="V747">
        <v>1.4213709677419355</v>
      </c>
      <c r="W747">
        <v>0.75567036290322576</v>
      </c>
      <c r="X747">
        <v>15.15</v>
      </c>
      <c r="Y747">
        <v>13.87</v>
      </c>
      <c r="Z747">
        <v>50.48</v>
      </c>
      <c r="AA747">
        <v>4.83</v>
      </c>
      <c r="AB747">
        <v>0.81</v>
      </c>
      <c r="AC747">
        <v>28.94</v>
      </c>
      <c r="AD747">
        <v>0</v>
      </c>
      <c r="AE747">
        <v>1.1481774960380351</v>
      </c>
      <c r="AF747">
        <v>0.42997226624405716</v>
      </c>
      <c r="AG747">
        <v>14.95</v>
      </c>
      <c r="AH747">
        <v>22.39</v>
      </c>
      <c r="AI747">
        <v>83</v>
      </c>
    </row>
    <row r="748" spans="1:36" x14ac:dyDescent="0.5">
      <c r="A748">
        <v>30</v>
      </c>
      <c r="B748">
        <v>250</v>
      </c>
      <c r="C748">
        <v>0.1</v>
      </c>
      <c r="D748">
        <v>6</v>
      </c>
      <c r="E748">
        <v>50</v>
      </c>
      <c r="F748">
        <v>20</v>
      </c>
      <c r="G748">
        <v>3.3333333333333335</v>
      </c>
      <c r="O748">
        <v>70.62</v>
      </c>
      <c r="P748">
        <v>14.23</v>
      </c>
      <c r="Q748">
        <v>39.68</v>
      </c>
      <c r="R748">
        <v>4.7</v>
      </c>
      <c r="S748">
        <v>0.48</v>
      </c>
      <c r="T748">
        <v>39.979999999999997</v>
      </c>
      <c r="U748">
        <v>0</v>
      </c>
      <c r="V748">
        <v>1.4213709677419355</v>
      </c>
      <c r="W748">
        <v>0.75567036290322576</v>
      </c>
      <c r="X748">
        <v>15.15</v>
      </c>
      <c r="Y748">
        <v>13.87</v>
      </c>
      <c r="Z748">
        <v>49.02</v>
      </c>
      <c r="AA748">
        <v>4.62</v>
      </c>
      <c r="AB748">
        <v>0.87</v>
      </c>
      <c r="AC748">
        <v>28.29</v>
      </c>
      <c r="AD748">
        <v>0</v>
      </c>
      <c r="AE748">
        <v>1.1309669522643819</v>
      </c>
      <c r="AF748">
        <v>0.43283353733170132</v>
      </c>
      <c r="AG748">
        <v>16.43</v>
      </c>
      <c r="AH748">
        <v>20.12</v>
      </c>
      <c r="AI748">
        <v>92</v>
      </c>
    </row>
    <row r="749" spans="1:36" x14ac:dyDescent="0.5">
      <c r="A749">
        <v>60</v>
      </c>
      <c r="B749">
        <v>250</v>
      </c>
      <c r="C749">
        <v>0.1</v>
      </c>
      <c r="D749">
        <v>6</v>
      </c>
      <c r="E749">
        <v>50</v>
      </c>
      <c r="F749">
        <v>20</v>
      </c>
      <c r="G749">
        <v>3.3333333333333335</v>
      </c>
      <c r="O749">
        <v>70.62</v>
      </c>
      <c r="P749">
        <v>14.23</v>
      </c>
      <c r="Q749">
        <v>39.68</v>
      </c>
      <c r="R749">
        <v>4.7</v>
      </c>
      <c r="S749">
        <v>0.48</v>
      </c>
      <c r="T749">
        <v>39.979999999999997</v>
      </c>
      <c r="U749">
        <v>0</v>
      </c>
      <c r="V749">
        <v>1.4213709677419355</v>
      </c>
      <c r="W749">
        <v>0.75567036290322576</v>
      </c>
      <c r="X749">
        <v>15.15</v>
      </c>
      <c r="Y749">
        <v>13.87</v>
      </c>
      <c r="Z749">
        <v>52.53</v>
      </c>
      <c r="AA749">
        <v>4.6500000000000004</v>
      </c>
      <c r="AB749">
        <v>1.03</v>
      </c>
      <c r="AC749">
        <v>23.99</v>
      </c>
      <c r="AD749">
        <v>0</v>
      </c>
      <c r="AE749">
        <v>1.0622501427755568</v>
      </c>
      <c r="AF749">
        <v>0.34251856082238713</v>
      </c>
      <c r="AG749">
        <v>16.41</v>
      </c>
      <c r="AH749">
        <v>20.9</v>
      </c>
      <c r="AI749">
        <v>92</v>
      </c>
    </row>
    <row r="750" spans="1:36" x14ac:dyDescent="0.5">
      <c r="A750">
        <v>180</v>
      </c>
      <c r="B750">
        <v>250</v>
      </c>
      <c r="C750">
        <v>0.1</v>
      </c>
      <c r="D750">
        <v>6</v>
      </c>
      <c r="E750">
        <v>50</v>
      </c>
      <c r="F750">
        <v>20</v>
      </c>
      <c r="G750">
        <v>3.3333333333333335</v>
      </c>
      <c r="O750">
        <v>70.62</v>
      </c>
      <c r="P750">
        <v>14.23</v>
      </c>
      <c r="Q750">
        <v>39.68</v>
      </c>
      <c r="R750">
        <v>4.7</v>
      </c>
      <c r="S750">
        <v>0.48</v>
      </c>
      <c r="T750">
        <v>39.979999999999997</v>
      </c>
      <c r="U750">
        <v>0</v>
      </c>
      <c r="V750">
        <v>1.4213709677419355</v>
      </c>
      <c r="W750">
        <v>0.75567036290322576</v>
      </c>
      <c r="X750">
        <v>15.15</v>
      </c>
      <c r="Y750">
        <v>13.87</v>
      </c>
      <c r="Z750">
        <v>50.91</v>
      </c>
      <c r="AA750">
        <v>4.7</v>
      </c>
      <c r="AB750">
        <v>0.97</v>
      </c>
      <c r="AC750">
        <v>26.23</v>
      </c>
      <c r="AD750">
        <v>0</v>
      </c>
      <c r="AE750">
        <v>1.1078373600471421</v>
      </c>
      <c r="AF750">
        <v>0.38641720683559228</v>
      </c>
      <c r="AG750">
        <v>15.27</v>
      </c>
      <c r="AH750">
        <v>21.07</v>
      </c>
      <c r="AI750">
        <v>92</v>
      </c>
    </row>
    <row r="751" spans="1:36" x14ac:dyDescent="0.5">
      <c r="A751">
        <v>30</v>
      </c>
      <c r="B751">
        <v>250</v>
      </c>
      <c r="C751">
        <v>0.1</v>
      </c>
      <c r="D751">
        <v>2.8</v>
      </c>
      <c r="E751">
        <v>50</v>
      </c>
      <c r="F751">
        <v>20</v>
      </c>
      <c r="G751">
        <v>7.1428571428571432</v>
      </c>
      <c r="O751">
        <v>70.62</v>
      </c>
      <c r="P751">
        <v>14.23</v>
      </c>
      <c r="Q751">
        <v>39.68</v>
      </c>
      <c r="R751">
        <v>4.7</v>
      </c>
      <c r="S751">
        <v>0.48</v>
      </c>
      <c r="T751">
        <v>39.979999999999997</v>
      </c>
      <c r="U751">
        <v>0</v>
      </c>
      <c r="V751">
        <v>1.4213709677419355</v>
      </c>
      <c r="W751">
        <v>0.75567036290322576</v>
      </c>
      <c r="X751">
        <v>15.15</v>
      </c>
      <c r="Y751">
        <v>13.87</v>
      </c>
      <c r="Z751">
        <v>50.52</v>
      </c>
      <c r="AA751">
        <v>4.83</v>
      </c>
      <c r="AB751">
        <v>0.78</v>
      </c>
      <c r="AC751">
        <v>29.55</v>
      </c>
      <c r="AD751">
        <v>0</v>
      </c>
      <c r="AE751">
        <v>1.1472684085510689</v>
      </c>
      <c r="AF751">
        <v>0.43868764845605701</v>
      </c>
      <c r="AG751">
        <v>14.32</v>
      </c>
      <c r="AH751">
        <v>20.76</v>
      </c>
      <c r="AI751">
        <v>79</v>
      </c>
    </row>
    <row r="752" spans="1:36" x14ac:dyDescent="0.5">
      <c r="A752">
        <v>60</v>
      </c>
      <c r="B752">
        <v>250</v>
      </c>
      <c r="C752">
        <v>0.1</v>
      </c>
      <c r="D752">
        <v>2.8</v>
      </c>
      <c r="E752">
        <v>50</v>
      </c>
      <c r="F752">
        <v>20</v>
      </c>
      <c r="G752">
        <v>7.1428571428571432</v>
      </c>
      <c r="O752">
        <v>70.62</v>
      </c>
      <c r="P752">
        <v>14.23</v>
      </c>
      <c r="Q752">
        <v>39.68</v>
      </c>
      <c r="R752">
        <v>4.7</v>
      </c>
      <c r="S752">
        <v>0.48</v>
      </c>
      <c r="T752">
        <v>39.979999999999997</v>
      </c>
      <c r="U752">
        <v>0</v>
      </c>
      <c r="V752">
        <v>1.4213709677419355</v>
      </c>
      <c r="W752">
        <v>0.75567036290322576</v>
      </c>
      <c r="X752">
        <v>15.15</v>
      </c>
      <c r="Y752">
        <v>13.87</v>
      </c>
      <c r="Z752">
        <v>51.08</v>
      </c>
      <c r="AA752">
        <v>4.88</v>
      </c>
      <c r="AB752">
        <v>0.84</v>
      </c>
      <c r="AC752">
        <v>29.07</v>
      </c>
      <c r="AD752">
        <v>0</v>
      </c>
      <c r="AE752">
        <v>1.1464369616288175</v>
      </c>
      <c r="AF752">
        <v>0.42683046202036024</v>
      </c>
      <c r="AG752">
        <v>14.13</v>
      </c>
      <c r="AH752">
        <v>20.96</v>
      </c>
      <c r="AI752">
        <v>72</v>
      </c>
    </row>
    <row r="753" spans="1:36" x14ac:dyDescent="0.5">
      <c r="A753">
        <v>180</v>
      </c>
      <c r="B753">
        <v>250</v>
      </c>
      <c r="C753">
        <v>0.1</v>
      </c>
      <c r="D753">
        <v>2.8</v>
      </c>
      <c r="E753">
        <v>50</v>
      </c>
      <c r="F753">
        <v>20</v>
      </c>
      <c r="G753">
        <v>7.1428571428571432</v>
      </c>
      <c r="O753">
        <v>70.62</v>
      </c>
      <c r="P753">
        <v>14.23</v>
      </c>
      <c r="Q753">
        <v>39.68</v>
      </c>
      <c r="R753">
        <v>4.7</v>
      </c>
      <c r="S753">
        <v>0.48</v>
      </c>
      <c r="T753">
        <v>39.979999999999997</v>
      </c>
      <c r="U753">
        <v>0</v>
      </c>
      <c r="V753">
        <v>1.4213709677419355</v>
      </c>
      <c r="W753">
        <v>0.75567036290322576</v>
      </c>
      <c r="X753">
        <v>15.15</v>
      </c>
      <c r="Y753">
        <v>13.87</v>
      </c>
      <c r="Z753">
        <v>53.08</v>
      </c>
      <c r="AA753">
        <v>4.7699999999999996</v>
      </c>
      <c r="AB753">
        <v>0.95</v>
      </c>
      <c r="AC753">
        <v>27.35</v>
      </c>
      <c r="AD753">
        <v>0</v>
      </c>
      <c r="AE753">
        <v>1.0783722682743029</v>
      </c>
      <c r="AF753">
        <v>0.3864449886963075</v>
      </c>
      <c r="AG753">
        <v>13.84</v>
      </c>
      <c r="AH753">
        <v>22.31</v>
      </c>
      <c r="AI753">
        <v>73</v>
      </c>
    </row>
    <row r="754" spans="1:36" x14ac:dyDescent="0.5">
      <c r="A754">
        <v>30</v>
      </c>
      <c r="B754">
        <v>250</v>
      </c>
      <c r="C754">
        <v>0.1</v>
      </c>
      <c r="D754">
        <v>2.8</v>
      </c>
      <c r="E754">
        <v>50</v>
      </c>
      <c r="F754">
        <v>34</v>
      </c>
      <c r="G754">
        <v>12.142857142857144</v>
      </c>
      <c r="O754">
        <v>70.62</v>
      </c>
      <c r="P754">
        <v>14.23</v>
      </c>
      <c r="Q754">
        <v>39.68</v>
      </c>
      <c r="R754">
        <v>4.7</v>
      </c>
      <c r="S754">
        <v>0.48</v>
      </c>
      <c r="T754">
        <v>39.979999999999997</v>
      </c>
      <c r="U754">
        <v>0</v>
      </c>
      <c r="V754">
        <v>1.4213709677419355</v>
      </c>
      <c r="W754">
        <v>0.75567036290322576</v>
      </c>
      <c r="X754">
        <v>15.15</v>
      </c>
      <c r="Y754">
        <v>13.87</v>
      </c>
      <c r="Z754">
        <v>49.64</v>
      </c>
      <c r="AA754">
        <v>4.88</v>
      </c>
      <c r="AB754">
        <v>0.75</v>
      </c>
      <c r="AC754">
        <v>31.69</v>
      </c>
      <c r="AD754">
        <v>0</v>
      </c>
      <c r="AE754">
        <v>1.1796937953263498</v>
      </c>
      <c r="AF754">
        <v>0.47879734085414988</v>
      </c>
      <c r="AG754">
        <v>13.04</v>
      </c>
      <c r="AH754">
        <v>19.170000000000002</v>
      </c>
      <c r="AI754">
        <v>64</v>
      </c>
    </row>
    <row r="755" spans="1:36" x14ac:dyDescent="0.5">
      <c r="A755">
        <v>60</v>
      </c>
      <c r="B755">
        <v>250</v>
      </c>
      <c r="C755">
        <v>0.1</v>
      </c>
      <c r="D755">
        <v>2.8</v>
      </c>
      <c r="E755">
        <v>50</v>
      </c>
      <c r="F755">
        <v>34</v>
      </c>
      <c r="G755">
        <v>12.142857142857144</v>
      </c>
      <c r="O755">
        <v>70.62</v>
      </c>
      <c r="P755">
        <v>14.23</v>
      </c>
      <c r="Q755">
        <v>39.68</v>
      </c>
      <c r="R755">
        <v>4.7</v>
      </c>
      <c r="S755">
        <v>0.48</v>
      </c>
      <c r="T755">
        <v>39.979999999999997</v>
      </c>
      <c r="U755">
        <v>0</v>
      </c>
      <c r="V755">
        <v>1.4213709677419355</v>
      </c>
      <c r="W755">
        <v>0.75567036290322576</v>
      </c>
      <c r="X755">
        <v>15.15</v>
      </c>
      <c r="Y755">
        <v>13.87</v>
      </c>
      <c r="Z755">
        <v>53.95</v>
      </c>
      <c r="AA755">
        <v>4.74</v>
      </c>
      <c r="AB755">
        <v>0.91</v>
      </c>
      <c r="AC755">
        <v>26.28</v>
      </c>
      <c r="AD755">
        <v>0</v>
      </c>
      <c r="AE755">
        <v>1.0543095458758109</v>
      </c>
      <c r="AF755">
        <v>0.36533827618164966</v>
      </c>
      <c r="AG755">
        <v>14.13</v>
      </c>
      <c r="AH755">
        <v>19.53</v>
      </c>
      <c r="AI755">
        <v>63</v>
      </c>
    </row>
    <row r="756" spans="1:36" x14ac:dyDescent="0.5">
      <c r="A756">
        <v>180</v>
      </c>
      <c r="B756">
        <v>250</v>
      </c>
      <c r="C756">
        <v>0.1</v>
      </c>
      <c r="D756">
        <v>2.8</v>
      </c>
      <c r="E756">
        <v>50</v>
      </c>
      <c r="F756">
        <v>34</v>
      </c>
      <c r="G756">
        <v>12.142857142857144</v>
      </c>
      <c r="O756">
        <v>70.62</v>
      </c>
      <c r="P756">
        <v>14.23</v>
      </c>
      <c r="Q756">
        <v>39.68</v>
      </c>
      <c r="R756">
        <v>4.7</v>
      </c>
      <c r="S756">
        <v>0.48</v>
      </c>
      <c r="T756">
        <v>39.979999999999997</v>
      </c>
      <c r="U756">
        <v>0</v>
      </c>
      <c r="V756">
        <v>1.4213709677419355</v>
      </c>
      <c r="W756">
        <v>0.75567036290322576</v>
      </c>
      <c r="X756">
        <v>15.15</v>
      </c>
      <c r="Y756">
        <v>13.87</v>
      </c>
      <c r="Z756">
        <v>52.77</v>
      </c>
      <c r="AA756">
        <v>4.6900000000000004</v>
      </c>
      <c r="AB756">
        <v>1.03</v>
      </c>
      <c r="AC756">
        <v>26.81</v>
      </c>
      <c r="AD756">
        <v>0</v>
      </c>
      <c r="AE756">
        <v>1.0665150653780557</v>
      </c>
      <c r="AF756">
        <v>0.38104036384309264</v>
      </c>
      <c r="AG756">
        <v>14.69</v>
      </c>
      <c r="AH756">
        <v>20.82</v>
      </c>
      <c r="AI756">
        <v>63</v>
      </c>
    </row>
    <row r="757" spans="1:36" x14ac:dyDescent="0.5">
      <c r="A757">
        <v>30</v>
      </c>
      <c r="B757">
        <v>220</v>
      </c>
      <c r="C757">
        <v>2</v>
      </c>
      <c r="D757">
        <v>10</v>
      </c>
      <c r="E757">
        <v>500</v>
      </c>
      <c r="F757">
        <v>150</v>
      </c>
      <c r="G757">
        <v>15</v>
      </c>
      <c r="N757">
        <v>4.22</v>
      </c>
      <c r="O757">
        <v>79.72</v>
      </c>
      <c r="P757">
        <v>15.11</v>
      </c>
      <c r="Q757">
        <v>53</v>
      </c>
      <c r="R757">
        <v>5.6</v>
      </c>
      <c r="S757">
        <v>1.5</v>
      </c>
      <c r="T757">
        <v>39.619999999999997</v>
      </c>
      <c r="U757">
        <v>0</v>
      </c>
      <c r="V757">
        <v>1.2679245283018867</v>
      </c>
      <c r="W757">
        <v>0.5606603773584905</v>
      </c>
      <c r="X757">
        <v>0.95</v>
      </c>
      <c r="Y757">
        <v>19.87</v>
      </c>
      <c r="Z757">
        <v>59.58</v>
      </c>
      <c r="AA757">
        <v>5.46</v>
      </c>
      <c r="AB757">
        <v>1.57</v>
      </c>
      <c r="AC757">
        <v>29.74</v>
      </c>
      <c r="AD757">
        <v>0</v>
      </c>
      <c r="AE757">
        <v>1.0996978851963746</v>
      </c>
      <c r="AF757">
        <v>0.37437059415911378</v>
      </c>
      <c r="AG757">
        <v>0.66</v>
      </c>
      <c r="AH757">
        <v>24.27</v>
      </c>
      <c r="AI757">
        <v>64.010000000000005</v>
      </c>
      <c r="AJ757" t="s">
        <v>195</v>
      </c>
    </row>
    <row r="758" spans="1:36" x14ac:dyDescent="0.5">
      <c r="A758">
        <v>30</v>
      </c>
      <c r="B758">
        <v>240</v>
      </c>
      <c r="C758">
        <v>3.17</v>
      </c>
      <c r="D758">
        <v>10</v>
      </c>
      <c r="E758">
        <v>500</v>
      </c>
      <c r="F758">
        <v>150</v>
      </c>
      <c r="G758">
        <v>15</v>
      </c>
      <c r="N758">
        <v>4.22</v>
      </c>
      <c r="O758">
        <v>79.72</v>
      </c>
      <c r="P758">
        <v>15.11</v>
      </c>
      <c r="Q758">
        <v>53</v>
      </c>
      <c r="R758">
        <v>5.6</v>
      </c>
      <c r="S758">
        <v>1.5</v>
      </c>
      <c r="T758">
        <v>39.619999999999997</v>
      </c>
      <c r="U758">
        <v>0</v>
      </c>
      <c r="V758">
        <v>1.2679245283018867</v>
      </c>
      <c r="W758">
        <v>0.5606603773584905</v>
      </c>
      <c r="X758">
        <v>0.95</v>
      </c>
      <c r="Y758">
        <v>19.87</v>
      </c>
      <c r="Z758">
        <v>71.91</v>
      </c>
      <c r="AA758">
        <v>5.2</v>
      </c>
      <c r="AB758">
        <v>1.59</v>
      </c>
      <c r="AC758">
        <v>17.97</v>
      </c>
      <c r="AD758">
        <v>0</v>
      </c>
      <c r="AE758">
        <v>0.86775135586149366</v>
      </c>
      <c r="AF758">
        <v>0.18742177722152692</v>
      </c>
      <c r="AG758">
        <v>0.96</v>
      </c>
      <c r="AH758">
        <v>29.67</v>
      </c>
      <c r="AI758">
        <v>53.18</v>
      </c>
    </row>
    <row r="759" spans="1:36" x14ac:dyDescent="0.5">
      <c r="A759">
        <v>30</v>
      </c>
      <c r="B759">
        <v>260</v>
      </c>
      <c r="C759">
        <v>4.53</v>
      </c>
      <c r="D759">
        <v>10</v>
      </c>
      <c r="E759">
        <v>500</v>
      </c>
      <c r="F759">
        <v>150</v>
      </c>
      <c r="G759">
        <v>15</v>
      </c>
      <c r="N759">
        <v>4.22</v>
      </c>
      <c r="O759">
        <v>79.72</v>
      </c>
      <c r="P759">
        <v>15.11</v>
      </c>
      <c r="Q759">
        <v>53</v>
      </c>
      <c r="R759">
        <v>5.6</v>
      </c>
      <c r="S759">
        <v>1.5</v>
      </c>
      <c r="T759">
        <v>39.619999999999997</v>
      </c>
      <c r="U759">
        <v>0</v>
      </c>
      <c r="V759">
        <v>1.2679245283018867</v>
      </c>
      <c r="W759">
        <v>0.5606603773584905</v>
      </c>
      <c r="X759">
        <v>0.95</v>
      </c>
      <c r="Y759">
        <v>19.87</v>
      </c>
      <c r="Z759">
        <v>73.41</v>
      </c>
      <c r="AA759">
        <v>4.5199999999999996</v>
      </c>
      <c r="AB759">
        <v>1.61</v>
      </c>
      <c r="AC759">
        <v>18.62</v>
      </c>
      <c r="AD759">
        <v>0</v>
      </c>
      <c r="AE759">
        <v>0.73886391499795667</v>
      </c>
      <c r="AF759">
        <v>0.19023293829178589</v>
      </c>
      <c r="AG759">
        <v>0.57999999999999996</v>
      </c>
      <c r="AH759">
        <v>29.42</v>
      </c>
      <c r="AI759">
        <v>49.1</v>
      </c>
    </row>
    <row r="760" spans="1:36" x14ac:dyDescent="0.5">
      <c r="A760">
        <v>30</v>
      </c>
      <c r="B760">
        <v>260</v>
      </c>
      <c r="C760">
        <v>4.53</v>
      </c>
      <c r="D760">
        <v>10</v>
      </c>
      <c r="E760">
        <v>500</v>
      </c>
      <c r="F760">
        <v>150</v>
      </c>
      <c r="G760">
        <v>15</v>
      </c>
      <c r="N760">
        <v>4.22</v>
      </c>
      <c r="O760">
        <v>79.72</v>
      </c>
      <c r="P760">
        <v>15.11</v>
      </c>
      <c r="Q760">
        <v>53</v>
      </c>
      <c r="R760">
        <v>5.6</v>
      </c>
      <c r="S760">
        <v>1.5</v>
      </c>
      <c r="T760">
        <v>39.619999999999997</v>
      </c>
      <c r="U760">
        <v>0</v>
      </c>
      <c r="V760">
        <v>1.2679245283018867</v>
      </c>
      <c r="W760">
        <v>0.5606603773584905</v>
      </c>
      <c r="X760">
        <v>0.95</v>
      </c>
      <c r="Y760">
        <v>19.87</v>
      </c>
      <c r="Z760">
        <v>72.959999999999994</v>
      </c>
      <c r="AA760">
        <v>4.8</v>
      </c>
      <c r="AB760">
        <v>1.62</v>
      </c>
      <c r="AC760">
        <v>19.579999999999998</v>
      </c>
      <c r="AD760">
        <v>0</v>
      </c>
      <c r="AE760">
        <v>0.78947368421052644</v>
      </c>
      <c r="AF760">
        <v>0.20127467105263158</v>
      </c>
      <c r="AG760">
        <v>0.18</v>
      </c>
      <c r="AH760">
        <v>29.48</v>
      </c>
      <c r="AI760">
        <v>49.07</v>
      </c>
    </row>
    <row r="761" spans="1:36" x14ac:dyDescent="0.5">
      <c r="A761">
        <v>30</v>
      </c>
      <c r="B761">
        <v>260</v>
      </c>
      <c r="C761">
        <v>4.51</v>
      </c>
      <c r="D761">
        <v>10</v>
      </c>
      <c r="E761">
        <v>500</v>
      </c>
      <c r="F761">
        <v>150</v>
      </c>
      <c r="G761">
        <v>15</v>
      </c>
      <c r="N761">
        <v>4.22</v>
      </c>
      <c r="O761">
        <v>79.72</v>
      </c>
      <c r="P761">
        <v>15.11</v>
      </c>
      <c r="Q761">
        <v>53</v>
      </c>
      <c r="R761">
        <v>5.6</v>
      </c>
      <c r="S761">
        <v>1.5</v>
      </c>
      <c r="T761">
        <v>39.619999999999997</v>
      </c>
      <c r="U761">
        <v>0</v>
      </c>
      <c r="V761">
        <v>1.2679245283018867</v>
      </c>
      <c r="W761">
        <v>0.5606603773584905</v>
      </c>
      <c r="X761">
        <v>0.95</v>
      </c>
      <c r="Y761">
        <v>19.87</v>
      </c>
      <c r="Z761">
        <v>72.44</v>
      </c>
      <c r="AA761">
        <v>5.21</v>
      </c>
      <c r="AB761">
        <v>1.66</v>
      </c>
      <c r="AC761">
        <v>19.350000000000001</v>
      </c>
      <c r="AD761">
        <v>0</v>
      </c>
      <c r="AE761">
        <v>0.86305908337934845</v>
      </c>
      <c r="AF761">
        <v>0.20033821093318613</v>
      </c>
      <c r="AG761">
        <v>0.57999999999999996</v>
      </c>
      <c r="AH761">
        <v>29.78</v>
      </c>
      <c r="AI761">
        <v>50.03</v>
      </c>
    </row>
    <row r="762" spans="1:36" x14ac:dyDescent="0.5">
      <c r="A762">
        <v>60</v>
      </c>
      <c r="B762">
        <v>260</v>
      </c>
      <c r="C762">
        <v>4.53</v>
      </c>
      <c r="D762">
        <v>10</v>
      </c>
      <c r="E762">
        <v>500</v>
      </c>
      <c r="F762">
        <v>150</v>
      </c>
      <c r="G762">
        <v>15</v>
      </c>
      <c r="N762">
        <v>4.22</v>
      </c>
      <c r="O762">
        <v>79.72</v>
      </c>
      <c r="P762">
        <v>15.11</v>
      </c>
      <c r="Q762">
        <v>53</v>
      </c>
      <c r="R762">
        <v>5.6</v>
      </c>
      <c r="S762">
        <v>1.5</v>
      </c>
      <c r="T762">
        <v>39.619999999999997</v>
      </c>
      <c r="U762">
        <v>0</v>
      </c>
      <c r="V762">
        <v>1.2679245283018867</v>
      </c>
      <c r="W762">
        <v>0.5606603773584905</v>
      </c>
      <c r="X762">
        <v>0.95</v>
      </c>
      <c r="Y762">
        <v>19.87</v>
      </c>
      <c r="Z762">
        <v>74.650000000000006</v>
      </c>
      <c r="AA762">
        <v>4.53</v>
      </c>
      <c r="AB762">
        <v>1.62</v>
      </c>
      <c r="AC762">
        <v>17.739999999999998</v>
      </c>
      <c r="AD762">
        <v>0</v>
      </c>
      <c r="AE762">
        <v>0.72819825853985265</v>
      </c>
      <c r="AF762">
        <v>0.17823174815807097</v>
      </c>
      <c r="AG762">
        <v>0.78</v>
      </c>
      <c r="AH762">
        <v>29.98</v>
      </c>
      <c r="AI762">
        <v>47.9</v>
      </c>
    </row>
    <row r="763" spans="1:36" x14ac:dyDescent="0.5">
      <c r="A763">
        <v>90</v>
      </c>
      <c r="B763">
        <v>260</v>
      </c>
      <c r="C763">
        <v>4.55</v>
      </c>
      <c r="D763">
        <v>10</v>
      </c>
      <c r="E763">
        <v>500</v>
      </c>
      <c r="F763">
        <v>150</v>
      </c>
      <c r="G763">
        <v>15</v>
      </c>
      <c r="N763">
        <v>4.22</v>
      </c>
      <c r="O763">
        <v>79.72</v>
      </c>
      <c r="P763">
        <v>15.11</v>
      </c>
      <c r="Q763">
        <v>53</v>
      </c>
      <c r="R763">
        <v>5.6</v>
      </c>
      <c r="S763">
        <v>1.5</v>
      </c>
      <c r="T763">
        <v>39.619999999999997</v>
      </c>
      <c r="U763">
        <v>0</v>
      </c>
      <c r="V763">
        <v>1.2679245283018867</v>
      </c>
      <c r="W763">
        <v>0.5606603773584905</v>
      </c>
      <c r="X763">
        <v>0.95</v>
      </c>
      <c r="Y763">
        <v>19.87</v>
      </c>
      <c r="Z763">
        <v>75.290000000000006</v>
      </c>
      <c r="AA763">
        <v>4.54</v>
      </c>
      <c r="AB763">
        <v>1.59</v>
      </c>
      <c r="AC763">
        <v>17.329999999999998</v>
      </c>
      <c r="AD763">
        <v>0</v>
      </c>
      <c r="AE763">
        <v>0.72360207198831183</v>
      </c>
      <c r="AF763">
        <v>0.17263248771417183</v>
      </c>
      <c r="AG763">
        <v>0.5</v>
      </c>
      <c r="AH763">
        <v>30.26</v>
      </c>
      <c r="AI763">
        <v>48.3</v>
      </c>
    </row>
    <row r="764" spans="1:36" x14ac:dyDescent="0.5">
      <c r="A764">
        <v>30</v>
      </c>
      <c r="B764">
        <v>180</v>
      </c>
      <c r="C764">
        <v>0.1</v>
      </c>
      <c r="D764">
        <v>20</v>
      </c>
      <c r="E764">
        <v>500</v>
      </c>
      <c r="F764">
        <v>200</v>
      </c>
      <c r="G764">
        <v>10</v>
      </c>
      <c r="O764">
        <v>74.13</v>
      </c>
      <c r="P764">
        <v>11.71</v>
      </c>
      <c r="Q764">
        <v>38.270000000000003</v>
      </c>
      <c r="R764">
        <v>5.95</v>
      </c>
      <c r="S764">
        <v>0.76</v>
      </c>
      <c r="T764">
        <v>40.74</v>
      </c>
      <c r="U764">
        <v>0.12</v>
      </c>
      <c r="V764">
        <v>1.8656911418865951</v>
      </c>
      <c r="W764">
        <v>0.79840606218970467</v>
      </c>
      <c r="X764">
        <v>14.16</v>
      </c>
      <c r="Y764">
        <v>14.159770000000002</v>
      </c>
      <c r="Z764">
        <v>42.24</v>
      </c>
      <c r="AA764">
        <v>5.43</v>
      </c>
      <c r="AB764">
        <v>0.9</v>
      </c>
      <c r="AC764">
        <v>37.5</v>
      </c>
      <c r="AD764">
        <v>0.16</v>
      </c>
      <c r="AE764">
        <v>1.5426136363636362</v>
      </c>
      <c r="AF764">
        <v>0.66583806818181823</v>
      </c>
      <c r="AG764">
        <v>13.77</v>
      </c>
      <c r="AH764">
        <v>15.337410000000002</v>
      </c>
      <c r="AI764">
        <v>75</v>
      </c>
      <c r="AJ764" t="s">
        <v>197</v>
      </c>
    </row>
    <row r="765" spans="1:36" x14ac:dyDescent="0.5">
      <c r="A765">
        <v>30</v>
      </c>
      <c r="B765">
        <v>200</v>
      </c>
      <c r="C765">
        <v>0.1</v>
      </c>
      <c r="D765">
        <v>20</v>
      </c>
      <c r="E765">
        <v>500</v>
      </c>
      <c r="F765">
        <v>200</v>
      </c>
      <c r="G765">
        <v>10</v>
      </c>
      <c r="O765">
        <v>74.13</v>
      </c>
      <c r="P765">
        <v>11.71</v>
      </c>
      <c r="Q765">
        <v>38.270000000000003</v>
      </c>
      <c r="R765">
        <v>5.95</v>
      </c>
      <c r="S765">
        <v>0.76</v>
      </c>
      <c r="T765">
        <v>40.74</v>
      </c>
      <c r="U765">
        <v>0.12</v>
      </c>
      <c r="V765">
        <v>1.8656911418865951</v>
      </c>
      <c r="W765">
        <v>0.79840606218970467</v>
      </c>
      <c r="X765">
        <v>14.16</v>
      </c>
      <c r="Y765">
        <v>14.159770000000002</v>
      </c>
      <c r="Z765">
        <v>45.57</v>
      </c>
      <c r="AA765">
        <v>5.39</v>
      </c>
      <c r="AB765">
        <v>0.83</v>
      </c>
      <c r="AC765">
        <v>35.6</v>
      </c>
      <c r="AD765">
        <v>0.15</v>
      </c>
      <c r="AE765">
        <v>1.4193548387096775</v>
      </c>
      <c r="AF765">
        <v>0.58591178406846611</v>
      </c>
      <c r="AG765">
        <v>12.46</v>
      </c>
      <c r="AH765">
        <v>16.744980000000002</v>
      </c>
      <c r="AI765">
        <v>69</v>
      </c>
    </row>
    <row r="766" spans="1:36" x14ac:dyDescent="0.5">
      <c r="A766">
        <v>30</v>
      </c>
      <c r="B766">
        <v>220</v>
      </c>
      <c r="C766">
        <v>0.1</v>
      </c>
      <c r="D766">
        <v>20</v>
      </c>
      <c r="E766">
        <v>500</v>
      </c>
      <c r="F766">
        <v>200</v>
      </c>
      <c r="G766">
        <v>10</v>
      </c>
      <c r="O766">
        <v>74.13</v>
      </c>
      <c r="P766">
        <v>11.71</v>
      </c>
      <c r="Q766">
        <v>38.270000000000003</v>
      </c>
      <c r="R766">
        <v>5.95</v>
      </c>
      <c r="S766">
        <v>0.76</v>
      </c>
      <c r="T766">
        <v>40.74</v>
      </c>
      <c r="U766">
        <v>0.12</v>
      </c>
      <c r="V766">
        <v>1.8656911418865951</v>
      </c>
      <c r="W766">
        <v>0.79840606218970467</v>
      </c>
      <c r="X766">
        <v>14.16</v>
      </c>
      <c r="Y766">
        <v>14.159770000000002</v>
      </c>
      <c r="Z766">
        <v>49.04</v>
      </c>
      <c r="AA766">
        <v>5.21</v>
      </c>
      <c r="AB766">
        <v>0.8</v>
      </c>
      <c r="AC766">
        <v>33.5</v>
      </c>
      <c r="AD766">
        <v>0.15</v>
      </c>
      <c r="AE766">
        <v>1.2748776508972266</v>
      </c>
      <c r="AF766">
        <v>0.51233686786296895</v>
      </c>
      <c r="AG766">
        <v>11.3</v>
      </c>
      <c r="AH766">
        <v>18.03565</v>
      </c>
      <c r="AI766">
        <v>64</v>
      </c>
    </row>
    <row r="767" spans="1:36" x14ac:dyDescent="0.5">
      <c r="A767">
        <v>30</v>
      </c>
      <c r="B767">
        <v>240</v>
      </c>
      <c r="C767">
        <v>0.1</v>
      </c>
      <c r="D767">
        <v>20</v>
      </c>
      <c r="E767">
        <v>500</v>
      </c>
      <c r="F767">
        <v>200</v>
      </c>
      <c r="G767">
        <v>10</v>
      </c>
      <c r="O767">
        <v>74.13</v>
      </c>
      <c r="P767">
        <v>11.71</v>
      </c>
      <c r="Q767">
        <v>38.270000000000003</v>
      </c>
      <c r="R767">
        <v>5.95</v>
      </c>
      <c r="S767">
        <v>0.76</v>
      </c>
      <c r="T767">
        <v>40.74</v>
      </c>
      <c r="U767">
        <v>0.12</v>
      </c>
      <c r="V767">
        <v>1.8656911418865951</v>
      </c>
      <c r="W767">
        <v>0.79840606218970467</v>
      </c>
      <c r="X767">
        <v>14.16</v>
      </c>
      <c r="Y767">
        <v>14.159770000000002</v>
      </c>
      <c r="Z767">
        <v>52.44</v>
      </c>
      <c r="AA767">
        <v>4.75</v>
      </c>
      <c r="AB767">
        <v>0.83</v>
      </c>
      <c r="AC767">
        <v>30.5</v>
      </c>
      <c r="AD767">
        <v>0.22</v>
      </c>
      <c r="AE767">
        <v>1.0869565217391304</v>
      </c>
      <c r="AF767">
        <v>0.43621281464530892</v>
      </c>
      <c r="AG767">
        <v>11.26</v>
      </c>
      <c r="AH767">
        <v>19.063470000000002</v>
      </c>
      <c r="AI767">
        <v>55</v>
      </c>
    </row>
    <row r="768" spans="1:36" x14ac:dyDescent="0.5">
      <c r="A768">
        <v>90</v>
      </c>
      <c r="B768">
        <v>220</v>
      </c>
      <c r="C768">
        <v>0.1</v>
      </c>
      <c r="D768">
        <v>6</v>
      </c>
      <c r="E768">
        <v>100</v>
      </c>
      <c r="F768">
        <v>24</v>
      </c>
      <c r="G768">
        <v>4</v>
      </c>
      <c r="M768">
        <v>28.5</v>
      </c>
      <c r="N768">
        <v>2.2999999999999998</v>
      </c>
      <c r="O768">
        <v>79.8</v>
      </c>
      <c r="P768">
        <v>10.5</v>
      </c>
      <c r="Q768">
        <v>45.6</v>
      </c>
      <c r="R768">
        <v>6.1</v>
      </c>
      <c r="S768">
        <v>0.09</v>
      </c>
      <c r="T768">
        <v>40.61</v>
      </c>
      <c r="U768">
        <v>0</v>
      </c>
      <c r="V768">
        <v>1.6052631578947367</v>
      </c>
      <c r="W768">
        <v>0.6679276315789473</v>
      </c>
      <c r="X768">
        <v>7.4</v>
      </c>
      <c r="Y768">
        <v>18.059999999999999</v>
      </c>
      <c r="Z768">
        <v>52</v>
      </c>
      <c r="AA768">
        <v>4.8</v>
      </c>
      <c r="AB768">
        <v>0.04</v>
      </c>
      <c r="AC768">
        <v>36.46</v>
      </c>
      <c r="AD768">
        <v>0</v>
      </c>
      <c r="AE768">
        <v>1.1076923076923078</v>
      </c>
      <c r="AF768">
        <v>0.52586538461538468</v>
      </c>
      <c r="AG768">
        <v>6.7</v>
      </c>
      <c r="AH768">
        <v>20.61</v>
      </c>
      <c r="AI768">
        <v>55.7</v>
      </c>
      <c r="AJ768" t="s">
        <v>199</v>
      </c>
    </row>
    <row r="769" spans="1:36" x14ac:dyDescent="0.5">
      <c r="A769">
        <v>90</v>
      </c>
      <c r="B769">
        <v>220</v>
      </c>
      <c r="C769">
        <v>0.1</v>
      </c>
      <c r="D769">
        <v>6</v>
      </c>
      <c r="E769">
        <v>100</v>
      </c>
      <c r="F769">
        <v>24</v>
      </c>
      <c r="G769">
        <v>4</v>
      </c>
      <c r="M769">
        <v>69.900000000000006</v>
      </c>
      <c r="N769">
        <v>5.2</v>
      </c>
      <c r="O769">
        <v>57.1</v>
      </c>
      <c r="P769">
        <v>33.4</v>
      </c>
      <c r="Q769">
        <v>44.6</v>
      </c>
      <c r="R769">
        <v>5.6</v>
      </c>
      <c r="S769">
        <v>0.66</v>
      </c>
      <c r="T769">
        <v>44.84</v>
      </c>
      <c r="U769">
        <v>0</v>
      </c>
      <c r="V769">
        <v>1.506726457399103</v>
      </c>
      <c r="W769">
        <v>0.75403587443946196</v>
      </c>
      <c r="X769">
        <v>4.3</v>
      </c>
      <c r="Y769">
        <v>17.53</v>
      </c>
      <c r="Z769">
        <v>53.7</v>
      </c>
      <c r="AA769">
        <v>5.3</v>
      </c>
      <c r="AB769">
        <v>0.87</v>
      </c>
      <c r="AC769">
        <v>40.130000000000003</v>
      </c>
      <c r="AD769">
        <v>0</v>
      </c>
      <c r="AE769">
        <v>1.1843575418994412</v>
      </c>
      <c r="AF769">
        <v>0.56047486033519545</v>
      </c>
      <c r="AG769">
        <v>0</v>
      </c>
      <c r="AH769">
        <v>21.46</v>
      </c>
      <c r="AI769">
        <v>64.8</v>
      </c>
    </row>
    <row r="770" spans="1:36" x14ac:dyDescent="0.5">
      <c r="A770">
        <v>90</v>
      </c>
      <c r="B770">
        <v>220</v>
      </c>
      <c r="C770">
        <v>0.1</v>
      </c>
      <c r="D770">
        <v>6</v>
      </c>
      <c r="E770">
        <v>100</v>
      </c>
      <c r="F770">
        <v>24</v>
      </c>
      <c r="G770">
        <v>4</v>
      </c>
      <c r="M770">
        <v>61.3</v>
      </c>
      <c r="N770">
        <v>5.6</v>
      </c>
      <c r="O770">
        <v>60.8</v>
      </c>
      <c r="P770">
        <v>27.1</v>
      </c>
      <c r="Q770">
        <v>47.1</v>
      </c>
      <c r="R770">
        <v>5.8</v>
      </c>
      <c r="S770">
        <v>2.7</v>
      </c>
      <c r="T770">
        <v>37.9</v>
      </c>
      <c r="U770">
        <v>0</v>
      </c>
      <c r="V770">
        <v>1.4777070063694266</v>
      </c>
      <c r="W770">
        <v>0.60350318471337572</v>
      </c>
      <c r="X770">
        <v>6.5</v>
      </c>
      <c r="Y770">
        <v>19.25</v>
      </c>
      <c r="Z770">
        <v>54.8</v>
      </c>
      <c r="AA770">
        <v>5.4</v>
      </c>
      <c r="AB770">
        <v>2.9</v>
      </c>
      <c r="AC770">
        <v>28.5</v>
      </c>
      <c r="AD770">
        <v>0</v>
      </c>
      <c r="AE770">
        <v>1.1824817518248176</v>
      </c>
      <c r="AF770">
        <v>0.39005474452554745</v>
      </c>
      <c r="AG770">
        <v>8.4</v>
      </c>
      <c r="AH770">
        <v>22.53</v>
      </c>
      <c r="AI770">
        <v>71</v>
      </c>
    </row>
    <row r="771" spans="1:36" x14ac:dyDescent="0.5">
      <c r="A771">
        <v>90</v>
      </c>
      <c r="B771">
        <v>220</v>
      </c>
      <c r="C771">
        <v>0.1</v>
      </c>
      <c r="D771">
        <v>6</v>
      </c>
      <c r="E771">
        <v>100</v>
      </c>
      <c r="F771">
        <v>24</v>
      </c>
      <c r="G771">
        <v>4</v>
      </c>
      <c r="M771">
        <v>48.9</v>
      </c>
      <c r="N771">
        <v>2.1</v>
      </c>
      <c r="O771">
        <v>73.099999999999994</v>
      </c>
      <c r="P771">
        <v>24.7</v>
      </c>
      <c r="Q771">
        <v>46.6</v>
      </c>
      <c r="R771">
        <v>5.9</v>
      </c>
      <c r="S771">
        <v>1.4</v>
      </c>
      <c r="T771">
        <v>46</v>
      </c>
      <c r="U771">
        <v>0</v>
      </c>
      <c r="V771">
        <v>1.5193133047210301</v>
      </c>
      <c r="W771">
        <v>0.74034334763948495</v>
      </c>
      <c r="X771">
        <v>0.1</v>
      </c>
      <c r="Y771">
        <v>19.66</v>
      </c>
      <c r="Z771">
        <v>61.1</v>
      </c>
      <c r="AA771">
        <v>6.4</v>
      </c>
      <c r="AB771">
        <v>0.9</v>
      </c>
      <c r="AC771">
        <v>26.1</v>
      </c>
      <c r="AD771">
        <v>0</v>
      </c>
      <c r="AE771">
        <v>1.2569558101472995</v>
      </c>
      <c r="AF771">
        <v>0.32037643207855976</v>
      </c>
      <c r="AG771">
        <v>5.5</v>
      </c>
      <c r="AH771">
        <v>25.56</v>
      </c>
      <c r="AI771">
        <v>65.8</v>
      </c>
    </row>
    <row r="772" spans="1:36" x14ac:dyDescent="0.5">
      <c r="A772">
        <v>90</v>
      </c>
      <c r="B772">
        <v>220</v>
      </c>
      <c r="C772">
        <v>0.1</v>
      </c>
      <c r="D772">
        <v>6</v>
      </c>
      <c r="E772">
        <v>100</v>
      </c>
      <c r="F772">
        <v>24</v>
      </c>
      <c r="G772">
        <v>4</v>
      </c>
      <c r="M772">
        <v>40.200000000000003</v>
      </c>
      <c r="N772">
        <v>1.6</v>
      </c>
      <c r="O772">
        <v>78.599999999999994</v>
      </c>
      <c r="P772">
        <v>17.100000000000001</v>
      </c>
      <c r="Q772">
        <v>48.9</v>
      </c>
      <c r="R772">
        <v>5.9</v>
      </c>
      <c r="S772">
        <v>0.25</v>
      </c>
      <c r="T772">
        <v>42.25</v>
      </c>
      <c r="U772">
        <v>0</v>
      </c>
      <c r="V772">
        <v>1.4478527607361964</v>
      </c>
      <c r="W772">
        <v>0.64800613496932513</v>
      </c>
      <c r="X772">
        <v>2.7</v>
      </c>
      <c r="Y772">
        <v>19.739999999999998</v>
      </c>
      <c r="Z772">
        <v>57.6</v>
      </c>
      <c r="AA772">
        <v>5.7</v>
      </c>
      <c r="AB772">
        <v>0.33</v>
      </c>
      <c r="AC772">
        <v>27.07</v>
      </c>
      <c r="AD772">
        <v>0</v>
      </c>
      <c r="AE772">
        <v>1.1875</v>
      </c>
      <c r="AF772">
        <v>0.35247395833333334</v>
      </c>
      <c r="AG772">
        <v>9.3000000000000007</v>
      </c>
      <c r="AH772">
        <v>23.64</v>
      </c>
      <c r="AI772">
        <v>60.8</v>
      </c>
    </row>
    <row r="773" spans="1:36" x14ac:dyDescent="0.5">
      <c r="A773">
        <v>90</v>
      </c>
      <c r="B773">
        <v>220</v>
      </c>
      <c r="C773">
        <v>0.1</v>
      </c>
      <c r="D773">
        <v>6</v>
      </c>
      <c r="E773">
        <v>100</v>
      </c>
      <c r="F773">
        <v>24</v>
      </c>
      <c r="G773">
        <v>4</v>
      </c>
      <c r="M773">
        <v>58.9</v>
      </c>
      <c r="N773">
        <v>4.4000000000000004</v>
      </c>
      <c r="O773">
        <v>54</v>
      </c>
      <c r="P773">
        <v>36.5</v>
      </c>
      <c r="Q773">
        <v>45.7</v>
      </c>
      <c r="R773">
        <v>5.3</v>
      </c>
      <c r="S773">
        <v>1.7</v>
      </c>
      <c r="T773">
        <v>42.2</v>
      </c>
      <c r="U773">
        <v>0</v>
      </c>
      <c r="V773">
        <v>1.3916849015317285</v>
      </c>
      <c r="W773">
        <v>0.69256017505470457</v>
      </c>
      <c r="X773">
        <v>5.0999999999999996</v>
      </c>
      <c r="Y773">
        <v>17.07</v>
      </c>
      <c r="Z773">
        <v>53.5</v>
      </c>
      <c r="AA773">
        <v>5.0999999999999996</v>
      </c>
      <c r="AB773">
        <v>1.5</v>
      </c>
      <c r="AC773">
        <v>28.1</v>
      </c>
      <c r="AD773">
        <v>0</v>
      </c>
      <c r="AE773">
        <v>1.1439252336448598</v>
      </c>
      <c r="AF773">
        <v>0.39392523364485987</v>
      </c>
      <c r="AG773">
        <v>11.8</v>
      </c>
      <c r="AH773">
        <v>20.99</v>
      </c>
      <c r="AI773">
        <v>65.8</v>
      </c>
    </row>
    <row r="774" spans="1:36" x14ac:dyDescent="0.5">
      <c r="A774">
        <v>160</v>
      </c>
      <c r="B774">
        <v>250</v>
      </c>
      <c r="C774">
        <v>0.1</v>
      </c>
      <c r="D774">
        <v>10</v>
      </c>
      <c r="E774">
        <v>250</v>
      </c>
      <c r="F774">
        <v>100</v>
      </c>
      <c r="G774">
        <v>10</v>
      </c>
      <c r="K774">
        <v>37.42</v>
      </c>
      <c r="L774">
        <v>32.020000000000003</v>
      </c>
      <c r="M774">
        <v>20.96</v>
      </c>
      <c r="Q774">
        <v>46.84</v>
      </c>
      <c r="R774">
        <v>6.26</v>
      </c>
      <c r="S774">
        <v>1.17</v>
      </c>
      <c r="T774">
        <v>40.700000000000003</v>
      </c>
      <c r="U774">
        <v>0.4</v>
      </c>
      <c r="V774">
        <v>1.6037574722459433</v>
      </c>
      <c r="W774">
        <v>0.65168659265584972</v>
      </c>
      <c r="X774">
        <v>4.6399999999999997</v>
      </c>
      <c r="Y774">
        <v>17.510000000000002</v>
      </c>
      <c r="Z774">
        <v>71.36</v>
      </c>
      <c r="AA774">
        <v>5.6</v>
      </c>
      <c r="AB774">
        <v>2</v>
      </c>
      <c r="AC774">
        <v>16.27</v>
      </c>
      <c r="AD774">
        <v>0.4</v>
      </c>
      <c r="AE774">
        <v>0.9417040358744394</v>
      </c>
      <c r="AF774">
        <v>0.17099915919282513</v>
      </c>
      <c r="AG774">
        <v>4.3600000000000003</v>
      </c>
      <c r="AH774">
        <v>29.21</v>
      </c>
      <c r="AI774">
        <v>35.479999999999997</v>
      </c>
      <c r="AJ774" t="s">
        <v>201</v>
      </c>
    </row>
    <row r="775" spans="1:36" x14ac:dyDescent="0.5">
      <c r="A775">
        <v>160</v>
      </c>
      <c r="B775">
        <v>250</v>
      </c>
      <c r="C775">
        <v>0.1</v>
      </c>
      <c r="D775">
        <v>10</v>
      </c>
      <c r="E775">
        <v>250</v>
      </c>
      <c r="F775">
        <v>100</v>
      </c>
      <c r="G775">
        <v>10</v>
      </c>
      <c r="K775">
        <v>44.17</v>
      </c>
      <c r="L775">
        <v>24.11</v>
      </c>
      <c r="M775">
        <v>15.69</v>
      </c>
      <c r="Q775">
        <v>47.95</v>
      </c>
      <c r="R775">
        <v>6.62</v>
      </c>
      <c r="S775">
        <v>0.38</v>
      </c>
      <c r="T775">
        <v>43.37</v>
      </c>
      <c r="U775">
        <v>0.37</v>
      </c>
      <c r="V775">
        <v>1.6567257559958288</v>
      </c>
      <c r="W775">
        <v>0.67836287799791439</v>
      </c>
      <c r="X775">
        <v>1.31</v>
      </c>
      <c r="Y775">
        <v>17.93</v>
      </c>
      <c r="Z775">
        <v>72.08</v>
      </c>
      <c r="AA775">
        <v>5.42</v>
      </c>
      <c r="AB775">
        <v>0.96</v>
      </c>
      <c r="AC775">
        <v>20.87</v>
      </c>
      <c r="AD775">
        <v>0.27</v>
      </c>
      <c r="AE775">
        <v>0.90233074361820198</v>
      </c>
      <c r="AF775">
        <v>0.21715455049944507</v>
      </c>
      <c r="AG775">
        <v>0.41</v>
      </c>
      <c r="AH775">
        <v>28.38</v>
      </c>
      <c r="AI775">
        <v>38.1</v>
      </c>
    </row>
    <row r="776" spans="1:36" x14ac:dyDescent="0.5">
      <c r="A776">
        <v>30</v>
      </c>
      <c r="B776">
        <v>180</v>
      </c>
      <c r="C776">
        <v>0.1</v>
      </c>
      <c r="D776">
        <v>8</v>
      </c>
      <c r="E776">
        <v>250</v>
      </c>
      <c r="F776">
        <v>150</v>
      </c>
      <c r="G776">
        <v>18.75</v>
      </c>
      <c r="O776">
        <v>77.2</v>
      </c>
      <c r="P776">
        <v>15.78</v>
      </c>
      <c r="Q776">
        <v>48.99</v>
      </c>
      <c r="R776">
        <v>7.6</v>
      </c>
      <c r="S776">
        <v>0.66</v>
      </c>
      <c r="T776">
        <v>36.06</v>
      </c>
      <c r="U776">
        <v>0</v>
      </c>
      <c r="V776">
        <v>1.8616044090630739</v>
      </c>
      <c r="W776">
        <v>0.55205143906919774</v>
      </c>
      <c r="X776">
        <v>7.02</v>
      </c>
      <c r="Y776">
        <v>20.440000000000001</v>
      </c>
      <c r="Z776">
        <v>55.2</v>
      </c>
      <c r="AA776">
        <v>7.74</v>
      </c>
      <c r="AB776">
        <v>0.55000000000000004</v>
      </c>
      <c r="AC776">
        <v>32.340000000000003</v>
      </c>
      <c r="AD776">
        <v>0</v>
      </c>
      <c r="AE776">
        <v>1.6826086956521737</v>
      </c>
      <c r="AF776">
        <v>0.43940217391304348</v>
      </c>
      <c r="AG776">
        <v>4.17</v>
      </c>
      <c r="AH776">
        <v>24.16</v>
      </c>
      <c r="AI776">
        <v>61</v>
      </c>
      <c r="AJ776" t="s">
        <v>203</v>
      </c>
    </row>
    <row r="777" spans="1:36" x14ac:dyDescent="0.5">
      <c r="A777">
        <v>60</v>
      </c>
      <c r="B777">
        <v>180</v>
      </c>
      <c r="C777">
        <v>0.1</v>
      </c>
      <c r="D777">
        <v>8</v>
      </c>
      <c r="E777">
        <v>250</v>
      </c>
      <c r="F777">
        <v>150</v>
      </c>
      <c r="G777">
        <v>18.75</v>
      </c>
      <c r="O777">
        <v>77.2</v>
      </c>
      <c r="P777">
        <v>15.78</v>
      </c>
      <c r="Q777">
        <v>48.99</v>
      </c>
      <c r="R777">
        <v>7.6</v>
      </c>
      <c r="S777">
        <v>0.66</v>
      </c>
      <c r="T777">
        <v>36.06</v>
      </c>
      <c r="U777">
        <v>0</v>
      </c>
      <c r="V777">
        <v>1.8616044090630739</v>
      </c>
      <c r="W777">
        <v>0.55205143906919774</v>
      </c>
      <c r="X777">
        <v>7.02</v>
      </c>
      <c r="Y777">
        <v>20.440000000000001</v>
      </c>
      <c r="Z777">
        <v>55.9</v>
      </c>
      <c r="AA777">
        <v>7.62</v>
      </c>
      <c r="AB777">
        <v>0.6</v>
      </c>
      <c r="AC777">
        <v>30.79</v>
      </c>
      <c r="AD777">
        <v>0</v>
      </c>
      <c r="AE777">
        <v>1.6357781753130591</v>
      </c>
      <c r="AF777">
        <v>0.41310375670840788</v>
      </c>
      <c r="AG777">
        <v>5.09</v>
      </c>
      <c r="AH777">
        <v>24.23</v>
      </c>
      <c r="AI777">
        <v>60</v>
      </c>
    </row>
    <row r="778" spans="1:36" x14ac:dyDescent="0.5">
      <c r="A778">
        <v>100</v>
      </c>
      <c r="B778">
        <v>180</v>
      </c>
      <c r="C778">
        <v>0.1</v>
      </c>
      <c r="D778">
        <v>8</v>
      </c>
      <c r="E778">
        <v>250</v>
      </c>
      <c r="F778">
        <v>150</v>
      </c>
      <c r="G778">
        <v>18.75</v>
      </c>
      <c r="O778">
        <v>77.2</v>
      </c>
      <c r="P778">
        <v>15.78</v>
      </c>
      <c r="Q778">
        <v>48.99</v>
      </c>
      <c r="R778">
        <v>7.6</v>
      </c>
      <c r="S778">
        <v>0.66</v>
      </c>
      <c r="T778">
        <v>36.06</v>
      </c>
      <c r="U778">
        <v>0</v>
      </c>
      <c r="V778">
        <v>1.8616044090630739</v>
      </c>
      <c r="W778">
        <v>0.55205143906919774</v>
      </c>
      <c r="X778">
        <v>7.02</v>
      </c>
      <c r="Y778">
        <v>20.440000000000001</v>
      </c>
      <c r="Z778">
        <v>56.81</v>
      </c>
      <c r="AA778">
        <v>7.67</v>
      </c>
      <c r="AB778">
        <v>0.63</v>
      </c>
      <c r="AC778">
        <v>29.42</v>
      </c>
      <c r="AD778">
        <v>0</v>
      </c>
      <c r="AE778">
        <v>1.6201372997711669</v>
      </c>
      <c r="AF778">
        <v>0.38839992958986097</v>
      </c>
      <c r="AG778">
        <v>5.47</v>
      </c>
      <c r="AH778">
        <v>24.66</v>
      </c>
      <c r="AI778">
        <v>59</v>
      </c>
    </row>
    <row r="779" spans="1:36" x14ac:dyDescent="0.5">
      <c r="A779">
        <v>30</v>
      </c>
      <c r="B779">
        <v>210</v>
      </c>
      <c r="C779">
        <v>0.1</v>
      </c>
      <c r="D779">
        <v>8</v>
      </c>
      <c r="E779">
        <v>250</v>
      </c>
      <c r="F779">
        <v>150</v>
      </c>
      <c r="G779">
        <v>18.75</v>
      </c>
      <c r="O779">
        <v>77.2</v>
      </c>
      <c r="P779">
        <v>15.78</v>
      </c>
      <c r="Q779">
        <v>48.99</v>
      </c>
      <c r="R779">
        <v>7.6</v>
      </c>
      <c r="S779">
        <v>0.66</v>
      </c>
      <c r="T779">
        <v>36.06</v>
      </c>
      <c r="U779">
        <v>0</v>
      </c>
      <c r="V779">
        <v>1.8616044090630739</v>
      </c>
      <c r="W779">
        <v>0.55205143906919774</v>
      </c>
      <c r="X779">
        <v>7.02</v>
      </c>
      <c r="Y779">
        <v>20.440000000000001</v>
      </c>
      <c r="Z779">
        <v>57.27</v>
      </c>
      <c r="AA779">
        <v>7.71</v>
      </c>
      <c r="AB779">
        <v>0.55000000000000004</v>
      </c>
      <c r="AC779">
        <v>28.81</v>
      </c>
      <c r="AD779">
        <v>0</v>
      </c>
      <c r="AE779">
        <v>1.6155055002619172</v>
      </c>
      <c r="AF779">
        <v>0.37729177579884754</v>
      </c>
      <c r="AG779">
        <v>5.66</v>
      </c>
      <c r="AH779">
        <v>24.9</v>
      </c>
      <c r="AI779">
        <v>58</v>
      </c>
    </row>
    <row r="780" spans="1:36" x14ac:dyDescent="0.5">
      <c r="A780">
        <v>60</v>
      </c>
      <c r="B780">
        <v>210</v>
      </c>
      <c r="C780">
        <v>0.1</v>
      </c>
      <c r="D780">
        <v>8</v>
      </c>
      <c r="E780">
        <v>250</v>
      </c>
      <c r="F780">
        <v>150</v>
      </c>
      <c r="G780">
        <v>18.75</v>
      </c>
      <c r="O780">
        <v>77.2</v>
      </c>
      <c r="P780">
        <v>15.78</v>
      </c>
      <c r="Q780">
        <v>48.99</v>
      </c>
      <c r="R780">
        <v>7.6</v>
      </c>
      <c r="S780">
        <v>0.66</v>
      </c>
      <c r="T780">
        <v>36.06</v>
      </c>
      <c r="U780">
        <v>0</v>
      </c>
      <c r="V780">
        <v>1.8616044090630739</v>
      </c>
      <c r="W780">
        <v>0.55205143906919774</v>
      </c>
      <c r="X780">
        <v>7.02</v>
      </c>
      <c r="Y780">
        <v>20.440000000000001</v>
      </c>
      <c r="Z780">
        <v>58.05</v>
      </c>
      <c r="AA780">
        <v>7.75</v>
      </c>
      <c r="AB780">
        <v>0.5</v>
      </c>
      <c r="AC780">
        <v>28.08</v>
      </c>
      <c r="AD780">
        <v>0</v>
      </c>
      <c r="AE780">
        <v>1.6020671834625324</v>
      </c>
      <c r="AF780">
        <v>0.36279069767441863</v>
      </c>
      <c r="AG780">
        <v>5.62</v>
      </c>
      <c r="AH780">
        <v>25.3</v>
      </c>
      <c r="AI780">
        <v>57</v>
      </c>
    </row>
    <row r="781" spans="1:36" x14ac:dyDescent="0.5">
      <c r="A781">
        <v>100</v>
      </c>
      <c r="B781">
        <v>210</v>
      </c>
      <c r="C781">
        <v>0.1</v>
      </c>
      <c r="D781">
        <v>8</v>
      </c>
      <c r="E781">
        <v>250</v>
      </c>
      <c r="F781">
        <v>150</v>
      </c>
      <c r="G781">
        <v>18.75</v>
      </c>
      <c r="O781">
        <v>77.2</v>
      </c>
      <c r="P781">
        <v>15.78</v>
      </c>
      <c r="Q781">
        <v>48.99</v>
      </c>
      <c r="R781">
        <v>7.6</v>
      </c>
      <c r="S781">
        <v>0.66</v>
      </c>
      <c r="T781">
        <v>36.06</v>
      </c>
      <c r="U781">
        <v>0</v>
      </c>
      <c r="V781">
        <v>1.8616044090630739</v>
      </c>
      <c r="W781">
        <v>0.55205143906919774</v>
      </c>
      <c r="X781">
        <v>7.02</v>
      </c>
      <c r="Y781">
        <v>20.440000000000001</v>
      </c>
      <c r="Z781">
        <v>59.56</v>
      </c>
      <c r="AA781">
        <v>8.0299999999999994</v>
      </c>
      <c r="AB781">
        <v>0.53</v>
      </c>
      <c r="AC781">
        <v>25.36</v>
      </c>
      <c r="AD781">
        <v>0</v>
      </c>
      <c r="AE781">
        <v>1.6178643384822025</v>
      </c>
      <c r="AF781">
        <v>0.31934184016118194</v>
      </c>
      <c r="AG781">
        <v>6.51</v>
      </c>
      <c r="AH781">
        <v>26.25</v>
      </c>
      <c r="AI781">
        <v>57</v>
      </c>
    </row>
    <row r="782" spans="1:36" x14ac:dyDescent="0.5">
      <c r="A782">
        <v>30</v>
      </c>
      <c r="B782">
        <v>240</v>
      </c>
      <c r="C782">
        <v>0.1</v>
      </c>
      <c r="D782">
        <v>8</v>
      </c>
      <c r="E782">
        <v>250</v>
      </c>
      <c r="F782">
        <v>150</v>
      </c>
      <c r="G782">
        <v>18.75</v>
      </c>
      <c r="O782">
        <v>77.2</v>
      </c>
      <c r="P782">
        <v>15.78</v>
      </c>
      <c r="Q782">
        <v>48.99</v>
      </c>
      <c r="R782">
        <v>7.6</v>
      </c>
      <c r="S782">
        <v>0.66</v>
      </c>
      <c r="T782">
        <v>36.06</v>
      </c>
      <c r="U782">
        <v>0</v>
      </c>
      <c r="V782">
        <v>1.8616044090630739</v>
      </c>
      <c r="W782">
        <v>0.55205143906919774</v>
      </c>
      <c r="X782">
        <v>7.02</v>
      </c>
      <c r="Y782">
        <v>20.440000000000001</v>
      </c>
      <c r="Z782">
        <v>61.91</v>
      </c>
      <c r="AA782">
        <v>8</v>
      </c>
      <c r="AB782">
        <v>0.56999999999999995</v>
      </c>
      <c r="AC782">
        <v>23.17</v>
      </c>
      <c r="AD782">
        <v>0</v>
      </c>
      <c r="AE782">
        <v>1.5506380229365206</v>
      </c>
      <c r="AF782">
        <v>0.28068971087061867</v>
      </c>
      <c r="AG782">
        <v>6.35</v>
      </c>
      <c r="AH782">
        <v>27.29</v>
      </c>
      <c r="AI782">
        <v>52</v>
      </c>
    </row>
    <row r="783" spans="1:36" x14ac:dyDescent="0.5">
      <c r="A783">
        <v>60</v>
      </c>
      <c r="B783">
        <v>240</v>
      </c>
      <c r="C783">
        <v>0.1</v>
      </c>
      <c r="D783">
        <v>8</v>
      </c>
      <c r="E783">
        <v>250</v>
      </c>
      <c r="F783">
        <v>150</v>
      </c>
      <c r="G783">
        <v>18.75</v>
      </c>
      <c r="O783">
        <v>77.2</v>
      </c>
      <c r="P783">
        <v>15.78</v>
      </c>
      <c r="Q783">
        <v>48.99</v>
      </c>
      <c r="R783">
        <v>7.6</v>
      </c>
      <c r="S783">
        <v>0.66</v>
      </c>
      <c r="T783">
        <v>36.06</v>
      </c>
      <c r="U783">
        <v>0</v>
      </c>
      <c r="V783">
        <v>1.8616044090630739</v>
      </c>
      <c r="W783">
        <v>0.55205143906919774</v>
      </c>
      <c r="X783">
        <v>7.02</v>
      </c>
      <c r="Y783">
        <v>20.440000000000001</v>
      </c>
      <c r="Z783">
        <v>64.05</v>
      </c>
      <c r="AA783">
        <v>8.02</v>
      </c>
      <c r="AB783">
        <v>0.65</v>
      </c>
      <c r="AC783">
        <v>19.399999999999999</v>
      </c>
      <c r="AD783">
        <v>0</v>
      </c>
      <c r="AE783">
        <v>1.5025761124121781</v>
      </c>
      <c r="AF783">
        <v>0.22716627634660422</v>
      </c>
      <c r="AG783">
        <v>7.89</v>
      </c>
      <c r="AH783">
        <v>28.13</v>
      </c>
      <c r="AI783">
        <v>48</v>
      </c>
    </row>
    <row r="784" spans="1:36" x14ac:dyDescent="0.5">
      <c r="A784">
        <v>100</v>
      </c>
      <c r="B784">
        <v>240</v>
      </c>
      <c r="C784">
        <v>0.1</v>
      </c>
      <c r="D784">
        <v>8</v>
      </c>
      <c r="E784">
        <v>250</v>
      </c>
      <c r="F784">
        <v>150</v>
      </c>
      <c r="G784">
        <v>18.75</v>
      </c>
      <c r="O784">
        <v>77.2</v>
      </c>
      <c r="P784">
        <v>15.78</v>
      </c>
      <c r="Q784">
        <v>48.99</v>
      </c>
      <c r="R784">
        <v>7.6</v>
      </c>
      <c r="S784">
        <v>0.66</v>
      </c>
      <c r="T784">
        <v>36.06</v>
      </c>
      <c r="U784">
        <v>0</v>
      </c>
      <c r="V784">
        <v>1.8616044090630739</v>
      </c>
      <c r="W784">
        <v>0.55205143906919774</v>
      </c>
      <c r="X784">
        <v>7.02</v>
      </c>
      <c r="Y784">
        <v>20.440000000000001</v>
      </c>
      <c r="Z784">
        <v>66.52</v>
      </c>
      <c r="AA784">
        <v>8.17</v>
      </c>
      <c r="AB784">
        <v>0.73</v>
      </c>
      <c r="AC784">
        <v>16.309999999999999</v>
      </c>
      <c r="AD784">
        <v>0</v>
      </c>
      <c r="AE784">
        <v>1.4738424533974746</v>
      </c>
      <c r="AF784">
        <v>0.18389206253758267</v>
      </c>
      <c r="AG784">
        <v>8.27</v>
      </c>
      <c r="AH784">
        <v>29.41</v>
      </c>
      <c r="AI784">
        <v>46</v>
      </c>
    </row>
    <row r="785" spans="1:36" x14ac:dyDescent="0.5">
      <c r="A785">
        <v>60</v>
      </c>
      <c r="B785">
        <v>190</v>
      </c>
      <c r="C785">
        <v>0.1</v>
      </c>
      <c r="D785">
        <v>60</v>
      </c>
      <c r="E785">
        <v>2000</v>
      </c>
      <c r="F785">
        <v>540</v>
      </c>
      <c r="G785">
        <v>9</v>
      </c>
      <c r="Q785">
        <v>41.18</v>
      </c>
      <c r="R785">
        <v>6.56</v>
      </c>
      <c r="S785">
        <v>1.63</v>
      </c>
      <c r="T785">
        <v>41.45</v>
      </c>
      <c r="U785">
        <v>0</v>
      </c>
      <c r="V785">
        <v>1.9116075764934433</v>
      </c>
      <c r="W785">
        <v>0.7549174356483731</v>
      </c>
      <c r="X785">
        <v>9.17</v>
      </c>
      <c r="Y785">
        <v>15.887695000000001</v>
      </c>
      <c r="Z785">
        <v>57.44</v>
      </c>
      <c r="AA785">
        <v>5.85</v>
      </c>
      <c r="AB785">
        <v>2.5099999999999998</v>
      </c>
      <c r="AC785">
        <v>29</v>
      </c>
      <c r="AD785">
        <v>0</v>
      </c>
      <c r="AE785">
        <v>1.2221448467966574</v>
      </c>
      <c r="AF785">
        <v>0.37865598885793877</v>
      </c>
      <c r="AG785">
        <v>5.2</v>
      </c>
      <c r="AH785">
        <v>22.592019999999998</v>
      </c>
      <c r="AI785">
        <v>65.73</v>
      </c>
      <c r="AJ785" t="s">
        <v>205</v>
      </c>
    </row>
    <row r="786" spans="1:36" x14ac:dyDescent="0.5">
      <c r="A786">
        <v>360</v>
      </c>
      <c r="B786">
        <v>190</v>
      </c>
      <c r="C786">
        <v>0.1</v>
      </c>
      <c r="D786">
        <v>60</v>
      </c>
      <c r="E786">
        <v>2000</v>
      </c>
      <c r="F786">
        <v>540</v>
      </c>
      <c r="G786">
        <v>9</v>
      </c>
      <c r="Q786">
        <v>41.18</v>
      </c>
      <c r="R786">
        <v>6.56</v>
      </c>
      <c r="S786">
        <v>1.63</v>
      </c>
      <c r="T786">
        <v>41.45</v>
      </c>
      <c r="U786">
        <v>0</v>
      </c>
      <c r="V786">
        <v>1.9116075764934433</v>
      </c>
      <c r="W786">
        <v>0.7549174356483731</v>
      </c>
      <c r="X786">
        <v>9.17</v>
      </c>
      <c r="Y786">
        <v>15.887695000000001</v>
      </c>
      <c r="Z786">
        <v>58.8</v>
      </c>
      <c r="AA786">
        <v>5.95</v>
      </c>
      <c r="AB786">
        <v>2.2200000000000002</v>
      </c>
      <c r="AC786">
        <v>26.79</v>
      </c>
      <c r="AD786">
        <v>0</v>
      </c>
      <c r="AE786">
        <v>1.2142857142857144</v>
      </c>
      <c r="AF786">
        <v>0.34170918367346942</v>
      </c>
      <c r="AG786">
        <v>6.24</v>
      </c>
      <c r="AH786">
        <v>23.588985000000001</v>
      </c>
      <c r="AI786">
        <v>90.32</v>
      </c>
    </row>
    <row r="787" spans="1:36" x14ac:dyDescent="0.5">
      <c r="A787">
        <v>720</v>
      </c>
      <c r="B787">
        <v>190</v>
      </c>
      <c r="C787">
        <v>0.1</v>
      </c>
      <c r="D787">
        <v>60</v>
      </c>
      <c r="E787">
        <v>2000</v>
      </c>
      <c r="F787">
        <v>540</v>
      </c>
      <c r="G787">
        <v>9</v>
      </c>
      <c r="Q787">
        <v>41.18</v>
      </c>
      <c r="R787">
        <v>6.56</v>
      </c>
      <c r="S787">
        <v>1.63</v>
      </c>
      <c r="T787">
        <v>41.45</v>
      </c>
      <c r="U787">
        <v>0</v>
      </c>
      <c r="V787">
        <v>1.9116075764934433</v>
      </c>
      <c r="W787">
        <v>0.7549174356483731</v>
      </c>
      <c r="X787">
        <v>9.17</v>
      </c>
      <c r="Y787">
        <v>15.887695000000001</v>
      </c>
      <c r="Z787">
        <v>60.99</v>
      </c>
      <c r="AA787">
        <v>6</v>
      </c>
      <c r="AB787">
        <v>2.66</v>
      </c>
      <c r="AC787">
        <v>26.16</v>
      </c>
      <c r="AD787">
        <v>0</v>
      </c>
      <c r="AE787">
        <v>1.1805213969503197</v>
      </c>
      <c r="AF787">
        <v>0.3216920806689621</v>
      </c>
      <c r="AG787">
        <v>4.1900000000000004</v>
      </c>
      <c r="AH787">
        <v>24.513060000000003</v>
      </c>
      <c r="AI787">
        <v>94.76</v>
      </c>
    </row>
    <row r="788" spans="1:36" x14ac:dyDescent="0.5">
      <c r="A788">
        <v>60</v>
      </c>
      <c r="B788">
        <v>260</v>
      </c>
      <c r="C788">
        <v>0.1</v>
      </c>
      <c r="D788">
        <v>60</v>
      </c>
      <c r="E788">
        <v>2000</v>
      </c>
      <c r="F788">
        <v>540</v>
      </c>
      <c r="G788">
        <v>9</v>
      </c>
      <c r="Q788">
        <v>41.18</v>
      </c>
      <c r="R788">
        <v>6.56</v>
      </c>
      <c r="S788">
        <v>1.63</v>
      </c>
      <c r="T788">
        <v>41.45</v>
      </c>
      <c r="U788">
        <v>0</v>
      </c>
      <c r="V788">
        <v>1.9116075764934433</v>
      </c>
      <c r="W788">
        <v>0.7549174356483731</v>
      </c>
      <c r="X788">
        <v>9.17</v>
      </c>
      <c r="Y788">
        <v>15.887695000000001</v>
      </c>
      <c r="Z788">
        <v>69.930000000000007</v>
      </c>
      <c r="AA788">
        <v>6.01</v>
      </c>
      <c r="AB788">
        <v>3.12</v>
      </c>
      <c r="AC788">
        <v>15.62</v>
      </c>
      <c r="AD788">
        <v>0</v>
      </c>
      <c r="AE788">
        <v>1.0313170313170312</v>
      </c>
      <c r="AF788">
        <v>0.16752466752466749</v>
      </c>
      <c r="AG788">
        <v>5.33</v>
      </c>
      <c r="AH788">
        <v>29.430450000000004</v>
      </c>
      <c r="AI788">
        <v>53.83</v>
      </c>
    </row>
    <row r="789" spans="1:36" x14ac:dyDescent="0.5">
      <c r="A789">
        <v>360</v>
      </c>
      <c r="B789">
        <v>260</v>
      </c>
      <c r="C789">
        <v>0.1</v>
      </c>
      <c r="D789">
        <v>60</v>
      </c>
      <c r="E789">
        <v>2000</v>
      </c>
      <c r="F789">
        <v>540</v>
      </c>
      <c r="G789">
        <v>9</v>
      </c>
      <c r="Q789">
        <v>41.18</v>
      </c>
      <c r="R789">
        <v>6.56</v>
      </c>
      <c r="S789">
        <v>1.63</v>
      </c>
      <c r="T789">
        <v>41.45</v>
      </c>
      <c r="U789">
        <v>0</v>
      </c>
      <c r="V789">
        <v>1.9116075764934433</v>
      </c>
      <c r="W789">
        <v>0.7549174356483731</v>
      </c>
      <c r="X789">
        <v>9.17</v>
      </c>
      <c r="Y789">
        <v>15.887695000000001</v>
      </c>
      <c r="Z789">
        <v>71.19</v>
      </c>
      <c r="AA789">
        <v>6.14</v>
      </c>
      <c r="AB789">
        <v>2.65</v>
      </c>
      <c r="AC789">
        <v>13.84</v>
      </c>
      <c r="AD789">
        <v>0</v>
      </c>
      <c r="AE789">
        <v>1.0349768225874421</v>
      </c>
      <c r="AF789">
        <v>0.14580699536451749</v>
      </c>
      <c r="AG789">
        <v>6.18</v>
      </c>
      <c r="AH789">
        <v>30.3597</v>
      </c>
      <c r="AI789">
        <v>45.77</v>
      </c>
    </row>
    <row r="790" spans="1:36" x14ac:dyDescent="0.5">
      <c r="A790">
        <v>720</v>
      </c>
      <c r="B790">
        <v>260</v>
      </c>
      <c r="C790">
        <v>0.1</v>
      </c>
      <c r="D790">
        <v>60</v>
      </c>
      <c r="E790">
        <v>2000</v>
      </c>
      <c r="F790">
        <v>540</v>
      </c>
      <c r="G790">
        <v>9</v>
      </c>
      <c r="Q790">
        <v>41.18</v>
      </c>
      <c r="R790">
        <v>6.56</v>
      </c>
      <c r="S790">
        <v>1.63</v>
      </c>
      <c r="T790">
        <v>41.45</v>
      </c>
      <c r="U790">
        <v>0</v>
      </c>
      <c r="V790">
        <v>1.9116075764934433</v>
      </c>
      <c r="W790">
        <v>0.7549174356483731</v>
      </c>
      <c r="X790">
        <v>9.17</v>
      </c>
      <c r="Y790">
        <v>15.887695000000001</v>
      </c>
      <c r="Z790">
        <v>72.11</v>
      </c>
      <c r="AA790">
        <v>5.87</v>
      </c>
      <c r="AB790">
        <v>3.25</v>
      </c>
      <c r="AC790">
        <v>12.16</v>
      </c>
      <c r="AD790">
        <v>0</v>
      </c>
      <c r="AE790">
        <v>0.97684093745666345</v>
      </c>
      <c r="AF790">
        <v>0.12647344335043684</v>
      </c>
      <c r="AG790">
        <v>6.61</v>
      </c>
      <c r="AH790">
        <v>30.584980000000002</v>
      </c>
      <c r="AI790">
        <v>56.45</v>
      </c>
    </row>
    <row r="791" spans="1:36" x14ac:dyDescent="0.5">
      <c r="A791">
        <v>60</v>
      </c>
      <c r="B791">
        <v>180</v>
      </c>
      <c r="C791">
        <v>0.1</v>
      </c>
      <c r="D791">
        <v>5.4</v>
      </c>
      <c r="E791">
        <v>50</v>
      </c>
      <c r="F791">
        <v>27</v>
      </c>
      <c r="G791">
        <v>5</v>
      </c>
      <c r="Q791">
        <v>49.71</v>
      </c>
      <c r="R791">
        <v>6.15</v>
      </c>
      <c r="S791">
        <v>2.4300000000000002</v>
      </c>
      <c r="T791">
        <v>35.57</v>
      </c>
      <c r="U791">
        <v>0</v>
      </c>
      <c r="V791">
        <v>1.4846107423053712</v>
      </c>
      <c r="W791">
        <v>0.53666264333132163</v>
      </c>
      <c r="X791">
        <v>6</v>
      </c>
      <c r="Y791">
        <v>19.234935</v>
      </c>
      <c r="Z791">
        <v>56.21</v>
      </c>
      <c r="AA791">
        <v>5.88</v>
      </c>
      <c r="AB791">
        <v>2.5299999999999998</v>
      </c>
      <c r="AC791">
        <v>31.99</v>
      </c>
      <c r="AD791">
        <v>0</v>
      </c>
      <c r="AE791">
        <v>1.2552926525529264</v>
      </c>
      <c r="AF791">
        <v>0.42683686176836855</v>
      </c>
      <c r="AG791">
        <v>3.38</v>
      </c>
      <c r="AH791">
        <v>21.685405000000003</v>
      </c>
      <c r="AI791">
        <v>76</v>
      </c>
      <c r="AJ791" t="s">
        <v>207</v>
      </c>
    </row>
    <row r="792" spans="1:36" x14ac:dyDescent="0.5">
      <c r="A792">
        <v>180</v>
      </c>
      <c r="B792">
        <v>180</v>
      </c>
      <c r="C792">
        <v>0.1</v>
      </c>
      <c r="D792">
        <v>5.4</v>
      </c>
      <c r="E792">
        <v>50</v>
      </c>
      <c r="F792">
        <v>27</v>
      </c>
      <c r="G792">
        <v>5</v>
      </c>
      <c r="Q792">
        <v>49.71</v>
      </c>
      <c r="R792">
        <v>6.15</v>
      </c>
      <c r="S792">
        <v>2.4300000000000002</v>
      </c>
      <c r="T792">
        <v>35.57</v>
      </c>
      <c r="U792">
        <v>0</v>
      </c>
      <c r="V792">
        <v>1.4846107423053712</v>
      </c>
      <c r="W792">
        <v>0.53666264333132163</v>
      </c>
      <c r="X792">
        <v>6</v>
      </c>
      <c r="Y792">
        <v>19.234935</v>
      </c>
      <c r="Z792">
        <v>56.98</v>
      </c>
      <c r="AA792">
        <v>5.64</v>
      </c>
      <c r="AB792">
        <v>2.58</v>
      </c>
      <c r="AC792">
        <v>30.18</v>
      </c>
      <c r="AD792">
        <v>0</v>
      </c>
      <c r="AE792">
        <v>1.1877851877851877</v>
      </c>
      <c r="AF792">
        <v>0.39724464724464725</v>
      </c>
      <c r="AG792">
        <v>4.62</v>
      </c>
      <c r="AH792">
        <v>21.926030000000001</v>
      </c>
      <c r="AI792">
        <v>72</v>
      </c>
    </row>
    <row r="793" spans="1:36" x14ac:dyDescent="0.5">
      <c r="A793">
        <v>480</v>
      </c>
      <c r="B793">
        <v>180</v>
      </c>
      <c r="C793">
        <v>0.1</v>
      </c>
      <c r="D793">
        <v>5.4</v>
      </c>
      <c r="E793">
        <v>50</v>
      </c>
      <c r="F793">
        <v>27</v>
      </c>
      <c r="G793">
        <v>5</v>
      </c>
      <c r="Q793">
        <v>49.71</v>
      </c>
      <c r="R793">
        <v>6.15</v>
      </c>
      <c r="S793">
        <v>2.4300000000000002</v>
      </c>
      <c r="T793">
        <v>35.57</v>
      </c>
      <c r="U793">
        <v>0</v>
      </c>
      <c r="V793">
        <v>1.4846107423053712</v>
      </c>
      <c r="W793">
        <v>0.53666264333132163</v>
      </c>
      <c r="X793">
        <v>6</v>
      </c>
      <c r="Y793">
        <v>19.234935</v>
      </c>
      <c r="Z793">
        <v>57.23</v>
      </c>
      <c r="AA793">
        <v>5.71</v>
      </c>
      <c r="AB793">
        <v>2.78</v>
      </c>
      <c r="AC793">
        <v>29.67</v>
      </c>
      <c r="AD793">
        <v>0</v>
      </c>
      <c r="AE793">
        <v>1.1972741569107113</v>
      </c>
      <c r="AF793">
        <v>0.38882579066922951</v>
      </c>
      <c r="AG793">
        <v>4.62</v>
      </c>
      <c r="AH793">
        <v>22.201525</v>
      </c>
      <c r="AI793">
        <v>74</v>
      </c>
    </row>
    <row r="794" spans="1:36" x14ac:dyDescent="0.5">
      <c r="A794">
        <v>60</v>
      </c>
      <c r="B794">
        <v>220</v>
      </c>
      <c r="C794">
        <v>0.1</v>
      </c>
      <c r="D794">
        <v>5.4</v>
      </c>
      <c r="E794">
        <v>50</v>
      </c>
      <c r="F794">
        <v>27</v>
      </c>
      <c r="G794">
        <v>5</v>
      </c>
      <c r="Q794">
        <v>49.71</v>
      </c>
      <c r="R794">
        <v>6.15</v>
      </c>
      <c r="S794">
        <v>2.4300000000000002</v>
      </c>
      <c r="T794">
        <v>35.57</v>
      </c>
      <c r="U794">
        <v>0</v>
      </c>
      <c r="V794">
        <v>1.4846107423053712</v>
      </c>
      <c r="W794">
        <v>0.53666264333132163</v>
      </c>
      <c r="X794">
        <v>6</v>
      </c>
      <c r="Y794">
        <v>19.234935</v>
      </c>
      <c r="Z794">
        <v>59.85</v>
      </c>
      <c r="AA794">
        <v>5.74</v>
      </c>
      <c r="AB794">
        <v>2.59</v>
      </c>
      <c r="AC794">
        <v>28</v>
      </c>
      <c r="AD794">
        <v>0</v>
      </c>
      <c r="AE794">
        <v>1.1508771929824562</v>
      </c>
      <c r="AF794">
        <v>0.35087719298245618</v>
      </c>
      <c r="AG794">
        <v>3.83</v>
      </c>
      <c r="AH794">
        <v>23.428020000000004</v>
      </c>
      <c r="AI794">
        <v>70</v>
      </c>
    </row>
    <row r="795" spans="1:36" x14ac:dyDescent="0.5">
      <c r="A795">
        <v>180</v>
      </c>
      <c r="B795">
        <v>220</v>
      </c>
      <c r="C795">
        <v>0.1</v>
      </c>
      <c r="D795">
        <v>5.4</v>
      </c>
      <c r="E795">
        <v>50</v>
      </c>
      <c r="F795">
        <v>27</v>
      </c>
      <c r="G795">
        <v>5</v>
      </c>
      <c r="Q795">
        <v>49.71</v>
      </c>
      <c r="R795">
        <v>6.15</v>
      </c>
      <c r="S795">
        <v>2.4300000000000002</v>
      </c>
      <c r="T795">
        <v>35.57</v>
      </c>
      <c r="U795">
        <v>0</v>
      </c>
      <c r="V795">
        <v>1.4846107423053712</v>
      </c>
      <c r="W795">
        <v>0.53666264333132163</v>
      </c>
      <c r="X795">
        <v>6</v>
      </c>
      <c r="Y795">
        <v>19.234935</v>
      </c>
      <c r="Z795">
        <v>62.47</v>
      </c>
      <c r="AA795">
        <v>5.43</v>
      </c>
      <c r="AB795">
        <v>2.72</v>
      </c>
      <c r="AC795">
        <v>25.85</v>
      </c>
      <c r="AD795">
        <v>0</v>
      </c>
      <c r="AE795">
        <v>1.0430606691211781</v>
      </c>
      <c r="AF795">
        <v>0.31034896750440211</v>
      </c>
      <c r="AG795">
        <v>3.53</v>
      </c>
      <c r="AH795">
        <v>24.254674999999999</v>
      </c>
      <c r="AI795">
        <v>67</v>
      </c>
    </row>
    <row r="796" spans="1:36" x14ac:dyDescent="0.5">
      <c r="A796">
        <v>480</v>
      </c>
      <c r="B796">
        <v>220</v>
      </c>
      <c r="C796">
        <v>0.1</v>
      </c>
      <c r="D796">
        <v>5.4</v>
      </c>
      <c r="E796">
        <v>50</v>
      </c>
      <c r="F796">
        <v>27</v>
      </c>
      <c r="G796">
        <v>5</v>
      </c>
      <c r="Q796">
        <v>49.71</v>
      </c>
      <c r="R796">
        <v>6.15</v>
      </c>
      <c r="S796">
        <v>2.4300000000000002</v>
      </c>
      <c r="T796">
        <v>35.57</v>
      </c>
      <c r="U796">
        <v>0</v>
      </c>
      <c r="V796">
        <v>1.4846107423053712</v>
      </c>
      <c r="W796">
        <v>0.53666264333132163</v>
      </c>
      <c r="X796">
        <v>6</v>
      </c>
      <c r="Y796">
        <v>19.234935</v>
      </c>
      <c r="Z796">
        <v>64.099999999999994</v>
      </c>
      <c r="AA796">
        <v>5.66</v>
      </c>
      <c r="AB796">
        <v>2.2400000000000002</v>
      </c>
      <c r="AC796">
        <v>24.02</v>
      </c>
      <c r="AD796">
        <v>0</v>
      </c>
      <c r="AE796">
        <v>1.0595943837753512</v>
      </c>
      <c r="AF796">
        <v>0.28104524180967244</v>
      </c>
      <c r="AG796">
        <v>3.98</v>
      </c>
      <c r="AH796">
        <v>25.460710000000002</v>
      </c>
      <c r="AI796">
        <v>59</v>
      </c>
    </row>
    <row r="797" spans="1:36" x14ac:dyDescent="0.5">
      <c r="A797">
        <v>60</v>
      </c>
      <c r="B797">
        <v>250</v>
      </c>
      <c r="C797">
        <v>0.1</v>
      </c>
      <c r="D797">
        <v>5.4</v>
      </c>
      <c r="E797">
        <v>50</v>
      </c>
      <c r="F797">
        <v>27</v>
      </c>
      <c r="G797">
        <v>5</v>
      </c>
      <c r="Q797">
        <v>49.71</v>
      </c>
      <c r="R797">
        <v>6.15</v>
      </c>
      <c r="S797">
        <v>2.4300000000000002</v>
      </c>
      <c r="T797">
        <v>35.57</v>
      </c>
      <c r="U797">
        <v>0</v>
      </c>
      <c r="V797">
        <v>1.4846107423053712</v>
      </c>
      <c r="W797">
        <v>0.53666264333132163</v>
      </c>
      <c r="X797">
        <v>6</v>
      </c>
      <c r="Y797">
        <v>19.234935</v>
      </c>
      <c r="Z797">
        <v>64.94</v>
      </c>
      <c r="AA797">
        <v>5.8</v>
      </c>
      <c r="AB797">
        <v>2.77</v>
      </c>
      <c r="AC797">
        <v>22.4</v>
      </c>
      <c r="AD797">
        <v>0</v>
      </c>
      <c r="AE797">
        <v>1.0717585463504775</v>
      </c>
      <c r="AF797">
        <v>0.25870033877425319</v>
      </c>
      <c r="AG797">
        <v>4.09</v>
      </c>
      <c r="AH797">
        <v>26.233719999999998</v>
      </c>
      <c r="AI797">
        <v>62</v>
      </c>
    </row>
    <row r="798" spans="1:36" x14ac:dyDescent="0.5">
      <c r="A798">
        <v>180</v>
      </c>
      <c r="B798">
        <v>250</v>
      </c>
      <c r="C798">
        <v>0.1</v>
      </c>
      <c r="D798">
        <v>5.4</v>
      </c>
      <c r="E798">
        <v>50</v>
      </c>
      <c r="F798">
        <v>27</v>
      </c>
      <c r="G798">
        <v>5</v>
      </c>
      <c r="Q798">
        <v>49.71</v>
      </c>
      <c r="R798">
        <v>6.15</v>
      </c>
      <c r="S798">
        <v>2.4300000000000002</v>
      </c>
      <c r="T798">
        <v>35.57</v>
      </c>
      <c r="U798">
        <v>0</v>
      </c>
      <c r="V798">
        <v>1.4846107423053712</v>
      </c>
      <c r="W798">
        <v>0.53666264333132163</v>
      </c>
      <c r="X798">
        <v>6</v>
      </c>
      <c r="Y798">
        <v>19.234935</v>
      </c>
      <c r="Z798">
        <v>65.58</v>
      </c>
      <c r="AA798">
        <v>6</v>
      </c>
      <c r="AB798">
        <v>2.81</v>
      </c>
      <c r="AC798">
        <v>20.350000000000001</v>
      </c>
      <c r="AD798">
        <v>0</v>
      </c>
      <c r="AE798">
        <v>1.0978956999085088</v>
      </c>
      <c r="AF798">
        <v>0.23273101555352244</v>
      </c>
      <c r="AG798">
        <v>5.26</v>
      </c>
      <c r="AH798">
        <v>27.101565000000001</v>
      </c>
      <c r="AI798">
        <v>58</v>
      </c>
    </row>
    <row r="799" spans="1:36" x14ac:dyDescent="0.5">
      <c r="A799">
        <v>480</v>
      </c>
      <c r="B799">
        <v>250</v>
      </c>
      <c r="C799">
        <v>0.1</v>
      </c>
      <c r="D799">
        <v>5.4</v>
      </c>
      <c r="E799">
        <v>50</v>
      </c>
      <c r="F799">
        <v>27</v>
      </c>
      <c r="G799">
        <v>5</v>
      </c>
      <c r="Q799">
        <v>49.71</v>
      </c>
      <c r="R799">
        <v>6.15</v>
      </c>
      <c r="S799">
        <v>2.4300000000000002</v>
      </c>
      <c r="T799">
        <v>35.57</v>
      </c>
      <c r="U799">
        <v>0</v>
      </c>
      <c r="V799">
        <v>1.4846107423053712</v>
      </c>
      <c r="W799">
        <v>0.53666264333132163</v>
      </c>
      <c r="X799">
        <v>6</v>
      </c>
      <c r="Y799">
        <v>19.234935</v>
      </c>
      <c r="Z799">
        <v>68.069999999999993</v>
      </c>
      <c r="AA799">
        <v>5.81</v>
      </c>
      <c r="AB799">
        <v>2.56</v>
      </c>
      <c r="AC799">
        <v>19.36</v>
      </c>
      <c r="AD799">
        <v>0</v>
      </c>
      <c r="AE799">
        <v>1.0242397531952403</v>
      </c>
      <c r="AF799">
        <v>0.21330982811811372</v>
      </c>
      <c r="AG799">
        <v>4.2</v>
      </c>
      <c r="AH799">
        <v>27.848579999999998</v>
      </c>
      <c r="AI799">
        <v>57</v>
      </c>
    </row>
    <row r="800" spans="1:36" x14ac:dyDescent="0.5">
      <c r="A800">
        <v>60</v>
      </c>
      <c r="B800">
        <v>260</v>
      </c>
      <c r="C800">
        <v>0.1</v>
      </c>
      <c r="D800">
        <v>8</v>
      </c>
      <c r="E800">
        <v>250</v>
      </c>
      <c r="F800">
        <v>100</v>
      </c>
      <c r="G800">
        <v>12.5</v>
      </c>
      <c r="O800">
        <v>78.63</v>
      </c>
      <c r="P800">
        <v>17.350000000000001</v>
      </c>
      <c r="Q800">
        <v>44.93</v>
      </c>
      <c r="R800">
        <v>6.65</v>
      </c>
      <c r="S800">
        <v>0.49</v>
      </c>
      <c r="T800">
        <v>40.51</v>
      </c>
      <c r="U800">
        <v>0</v>
      </c>
      <c r="V800">
        <v>1.7760961495659917</v>
      </c>
      <c r="W800">
        <v>0.6762185622078789</v>
      </c>
      <c r="X800">
        <v>4.16</v>
      </c>
      <c r="Y800">
        <v>19.239999999999998</v>
      </c>
      <c r="Z800">
        <v>67.98</v>
      </c>
      <c r="AA800">
        <v>5.05</v>
      </c>
      <c r="AB800">
        <v>0.88</v>
      </c>
      <c r="AC800">
        <v>20.37</v>
      </c>
      <c r="AD800">
        <v>0</v>
      </c>
      <c r="AE800">
        <v>0.89143865842894965</v>
      </c>
      <c r="AF800">
        <v>0.22473521624007062</v>
      </c>
      <c r="AG800">
        <v>5.53</v>
      </c>
      <c r="AH800">
        <v>27.45</v>
      </c>
      <c r="AI800">
        <v>36.25</v>
      </c>
      <c r="AJ800" t="s">
        <v>209</v>
      </c>
    </row>
    <row r="801" spans="1:36" x14ac:dyDescent="0.5">
      <c r="A801">
        <v>60</v>
      </c>
      <c r="B801">
        <v>260</v>
      </c>
      <c r="C801">
        <v>0.1</v>
      </c>
      <c r="D801">
        <v>8</v>
      </c>
      <c r="E801">
        <v>250</v>
      </c>
      <c r="F801">
        <v>100</v>
      </c>
      <c r="G801">
        <v>12.5</v>
      </c>
      <c r="O801">
        <v>94.47</v>
      </c>
      <c r="P801">
        <v>5.76</v>
      </c>
      <c r="Q801">
        <v>40.1</v>
      </c>
      <c r="R801">
        <v>4.97</v>
      </c>
      <c r="S801">
        <v>0</v>
      </c>
      <c r="T801">
        <v>19.850000000000001</v>
      </c>
      <c r="U801">
        <v>2.1000000000000001E-2</v>
      </c>
      <c r="V801">
        <v>1.4872817955112219</v>
      </c>
      <c r="W801">
        <v>0.37125935162094764</v>
      </c>
      <c r="X801">
        <v>0</v>
      </c>
      <c r="Y801">
        <v>17.8</v>
      </c>
      <c r="Z801">
        <v>76.94</v>
      </c>
      <c r="AA801">
        <v>6.49</v>
      </c>
      <c r="AB801">
        <v>3.5000000000000003E-2</v>
      </c>
      <c r="AC801">
        <v>8.89</v>
      </c>
      <c r="AD801">
        <v>0</v>
      </c>
      <c r="AE801">
        <v>1.0122173121913181</v>
      </c>
      <c r="AF801">
        <v>8.665843514426827E-2</v>
      </c>
      <c r="AG801">
        <v>3.25</v>
      </c>
      <c r="AH801">
        <v>33.520000000000003</v>
      </c>
      <c r="AI801">
        <v>48.19</v>
      </c>
    </row>
    <row r="802" spans="1:36" x14ac:dyDescent="0.5">
      <c r="A802">
        <v>60</v>
      </c>
      <c r="B802">
        <v>220</v>
      </c>
      <c r="C802">
        <v>0.1</v>
      </c>
      <c r="D802">
        <v>20</v>
      </c>
      <c r="E802">
        <v>750</v>
      </c>
      <c r="F802">
        <v>400</v>
      </c>
      <c r="G802">
        <v>20</v>
      </c>
      <c r="O802">
        <v>84.75</v>
      </c>
      <c r="P802">
        <v>6.98</v>
      </c>
      <c r="Q802">
        <v>44.2</v>
      </c>
      <c r="R802">
        <v>6.24</v>
      </c>
      <c r="S802">
        <v>0.84</v>
      </c>
      <c r="T802">
        <v>48.21</v>
      </c>
      <c r="U802">
        <v>0</v>
      </c>
      <c r="V802">
        <v>1.6941176470588235</v>
      </c>
      <c r="W802">
        <v>0.81804298642533935</v>
      </c>
      <c r="X802">
        <v>8.3000000000000007</v>
      </c>
      <c r="Y802">
        <v>15.43</v>
      </c>
      <c r="Z802">
        <v>65.2</v>
      </c>
      <c r="AA802">
        <v>5.83</v>
      </c>
      <c r="AB802">
        <v>0.88</v>
      </c>
      <c r="AC802">
        <v>28.05</v>
      </c>
      <c r="AD802">
        <v>0</v>
      </c>
      <c r="AE802">
        <v>1.0730061349693252</v>
      </c>
      <c r="AF802">
        <v>0.32266104294478526</v>
      </c>
      <c r="AG802">
        <v>4.34</v>
      </c>
      <c r="AH802">
        <v>24.37</v>
      </c>
      <c r="AI802">
        <v>59.83</v>
      </c>
      <c r="AJ802" t="s">
        <v>211</v>
      </c>
    </row>
    <row r="803" spans="1:36" x14ac:dyDescent="0.5">
      <c r="A803">
        <v>60</v>
      </c>
      <c r="B803">
        <v>220</v>
      </c>
      <c r="C803">
        <v>0.1</v>
      </c>
      <c r="D803">
        <v>20</v>
      </c>
      <c r="E803">
        <v>750</v>
      </c>
      <c r="F803">
        <v>400</v>
      </c>
      <c r="G803">
        <v>20</v>
      </c>
      <c r="O803">
        <v>76.62</v>
      </c>
      <c r="P803">
        <v>15.75</v>
      </c>
      <c r="Q803">
        <v>35.159999999999997</v>
      </c>
      <c r="R803">
        <v>4.9000000000000004</v>
      </c>
      <c r="S803">
        <v>1.01</v>
      </c>
      <c r="T803">
        <v>56.8</v>
      </c>
      <c r="U803">
        <v>0</v>
      </c>
      <c r="V803">
        <v>1.672354948805461</v>
      </c>
      <c r="W803">
        <v>1.21160409556314</v>
      </c>
      <c r="X803">
        <v>5.39</v>
      </c>
      <c r="Y803">
        <v>9.48</v>
      </c>
      <c r="Z803">
        <v>59</v>
      </c>
      <c r="AA803">
        <v>5.43</v>
      </c>
      <c r="AB803">
        <v>1.56</v>
      </c>
      <c r="AC803">
        <v>34</v>
      </c>
      <c r="AD803">
        <v>0</v>
      </c>
      <c r="AE803">
        <v>1.1044067796610169</v>
      </c>
      <c r="AF803">
        <v>0.43220338983050843</v>
      </c>
      <c r="AG803">
        <v>4.1399999999999997</v>
      </c>
      <c r="AH803">
        <v>21.64</v>
      </c>
      <c r="AI803">
        <v>13.64</v>
      </c>
    </row>
    <row r="804" spans="1:36" x14ac:dyDescent="0.5">
      <c r="A804">
        <v>60</v>
      </c>
      <c r="B804">
        <v>220</v>
      </c>
      <c r="C804">
        <v>0.1</v>
      </c>
      <c r="D804">
        <v>20</v>
      </c>
      <c r="E804">
        <v>750</v>
      </c>
      <c r="F804">
        <v>400</v>
      </c>
      <c r="G804">
        <v>20</v>
      </c>
      <c r="O804">
        <v>78.709999999999994</v>
      </c>
      <c r="P804">
        <v>14.33</v>
      </c>
      <c r="Q804">
        <v>42.41</v>
      </c>
      <c r="R804">
        <v>5.78</v>
      </c>
      <c r="S804">
        <v>0.99</v>
      </c>
      <c r="T804">
        <v>50.8</v>
      </c>
      <c r="U804">
        <v>0</v>
      </c>
      <c r="V804">
        <v>1.6354633341193117</v>
      </c>
      <c r="W804">
        <v>0.8983730252298987</v>
      </c>
      <c r="X804">
        <v>7.05</v>
      </c>
      <c r="Y804">
        <v>13.54</v>
      </c>
      <c r="Z804">
        <v>68.260000000000005</v>
      </c>
      <c r="AA804">
        <v>6.02</v>
      </c>
      <c r="AB804">
        <v>1</v>
      </c>
      <c r="AC804">
        <v>24.4</v>
      </c>
      <c r="AD804">
        <v>0</v>
      </c>
      <c r="AE804">
        <v>1.0583064752417228</v>
      </c>
      <c r="AF804">
        <v>0.26809258716671547</v>
      </c>
      <c r="AG804">
        <v>4.32</v>
      </c>
      <c r="AH804">
        <v>27.64</v>
      </c>
      <c r="AI804">
        <v>45.27</v>
      </c>
    </row>
    <row r="805" spans="1:36" x14ac:dyDescent="0.5">
      <c r="A805">
        <v>30</v>
      </c>
      <c r="B805">
        <v>175</v>
      </c>
      <c r="C805">
        <v>0.1</v>
      </c>
      <c r="D805">
        <v>50</v>
      </c>
      <c r="E805">
        <v>1000</v>
      </c>
      <c r="F805">
        <v>400</v>
      </c>
      <c r="G805">
        <v>8</v>
      </c>
      <c r="K805">
        <v>14.3</v>
      </c>
      <c r="L805">
        <v>6.3</v>
      </c>
      <c r="M805">
        <v>3.3</v>
      </c>
      <c r="Q805">
        <v>45.4</v>
      </c>
      <c r="R805">
        <v>6.3</v>
      </c>
      <c r="S805">
        <v>1.59</v>
      </c>
      <c r="T805">
        <v>1.1000000000000001</v>
      </c>
      <c r="U805">
        <v>0.15</v>
      </c>
      <c r="V805">
        <v>1.6651982378854626</v>
      </c>
      <c r="W805">
        <v>1.8171806167400884E-2</v>
      </c>
      <c r="X805">
        <v>5.5</v>
      </c>
      <c r="Y805">
        <v>20.3</v>
      </c>
      <c r="Z805">
        <v>54.23</v>
      </c>
      <c r="AA805">
        <v>6.19</v>
      </c>
      <c r="AB805">
        <v>2.13</v>
      </c>
      <c r="AC805">
        <v>33.1</v>
      </c>
      <c r="AD805">
        <v>0.24</v>
      </c>
      <c r="AE805">
        <v>1.3697215563341327</v>
      </c>
      <c r="AF805">
        <v>0.45777245067305927</v>
      </c>
      <c r="AH805">
        <v>21.260710000000003</v>
      </c>
      <c r="AI805">
        <v>49</v>
      </c>
      <c r="AJ805" t="s">
        <v>212</v>
      </c>
    </row>
    <row r="806" spans="1:36" x14ac:dyDescent="0.5">
      <c r="A806">
        <v>60</v>
      </c>
      <c r="B806">
        <v>175</v>
      </c>
      <c r="C806">
        <v>0.1</v>
      </c>
      <c r="D806">
        <v>50</v>
      </c>
      <c r="E806">
        <v>1000</v>
      </c>
      <c r="F806">
        <v>400</v>
      </c>
      <c r="G806">
        <v>8</v>
      </c>
      <c r="K806">
        <v>14.3</v>
      </c>
      <c r="L806">
        <v>6.3</v>
      </c>
      <c r="M806">
        <v>3.3</v>
      </c>
      <c r="Q806">
        <v>45.4</v>
      </c>
      <c r="R806">
        <v>6.3</v>
      </c>
      <c r="S806">
        <v>1.59</v>
      </c>
      <c r="T806">
        <v>1.1000000000000001</v>
      </c>
      <c r="U806">
        <v>0.15</v>
      </c>
      <c r="V806">
        <v>1.6651982378854626</v>
      </c>
      <c r="W806">
        <v>1.8171806167400884E-2</v>
      </c>
      <c r="X806">
        <v>5.5</v>
      </c>
      <c r="Y806">
        <v>20.3</v>
      </c>
      <c r="Z806">
        <v>53.16</v>
      </c>
      <c r="AA806">
        <v>6.1</v>
      </c>
      <c r="AB806">
        <v>1.98</v>
      </c>
      <c r="AC806">
        <v>34.380000000000003</v>
      </c>
      <c r="AD806">
        <v>0.26</v>
      </c>
      <c r="AE806">
        <v>1.3769751693002257</v>
      </c>
      <c r="AF806">
        <v>0.48504514672686239</v>
      </c>
      <c r="AH806">
        <v>20.54205</v>
      </c>
      <c r="AI806">
        <v>51</v>
      </c>
    </row>
    <row r="807" spans="1:36" x14ac:dyDescent="0.5">
      <c r="A807">
        <v>90</v>
      </c>
      <c r="B807">
        <v>175</v>
      </c>
      <c r="C807">
        <v>0.1</v>
      </c>
      <c r="D807">
        <v>50</v>
      </c>
      <c r="E807">
        <v>1000</v>
      </c>
      <c r="F807">
        <v>400</v>
      </c>
      <c r="G807">
        <v>8</v>
      </c>
      <c r="K807">
        <v>14.3</v>
      </c>
      <c r="L807">
        <v>6.3</v>
      </c>
      <c r="M807">
        <v>3.3</v>
      </c>
      <c r="Q807">
        <v>45.4</v>
      </c>
      <c r="R807">
        <v>6.3</v>
      </c>
      <c r="S807">
        <v>1.59</v>
      </c>
      <c r="T807">
        <v>1.1000000000000001</v>
      </c>
      <c r="U807">
        <v>0.15</v>
      </c>
      <c r="V807">
        <v>1.6651982378854626</v>
      </c>
      <c r="W807">
        <v>1.8171806167400884E-2</v>
      </c>
      <c r="X807">
        <v>5.5</v>
      </c>
      <c r="Y807">
        <v>20.3</v>
      </c>
      <c r="Z807">
        <v>54.41</v>
      </c>
      <c r="AA807">
        <v>6.14</v>
      </c>
      <c r="AB807">
        <v>2.04</v>
      </c>
      <c r="AC807">
        <v>32.99</v>
      </c>
      <c r="AD807">
        <v>0.23</v>
      </c>
      <c r="AE807">
        <v>1.3541628377136554</v>
      </c>
      <c r="AF807">
        <v>0.45474177540893218</v>
      </c>
      <c r="AH807">
        <v>21.269784999999999</v>
      </c>
      <c r="AI807">
        <v>51</v>
      </c>
    </row>
    <row r="808" spans="1:36" x14ac:dyDescent="0.5">
      <c r="A808">
        <v>120</v>
      </c>
      <c r="B808">
        <v>175</v>
      </c>
      <c r="C808">
        <v>0.1</v>
      </c>
      <c r="D808">
        <v>50</v>
      </c>
      <c r="E808">
        <v>1000</v>
      </c>
      <c r="F808">
        <v>400</v>
      </c>
      <c r="G808">
        <v>8</v>
      </c>
      <c r="K808">
        <v>14.3</v>
      </c>
      <c r="L808">
        <v>6.3</v>
      </c>
      <c r="M808">
        <v>3.3</v>
      </c>
      <c r="Q808">
        <v>45.4</v>
      </c>
      <c r="R808">
        <v>6.3</v>
      </c>
      <c r="S808">
        <v>1.59</v>
      </c>
      <c r="T808">
        <v>1.1000000000000001</v>
      </c>
      <c r="U808">
        <v>0.15</v>
      </c>
      <c r="V808">
        <v>1.6651982378854626</v>
      </c>
      <c r="W808">
        <v>1.8171806167400884E-2</v>
      </c>
      <c r="X808">
        <v>5.5</v>
      </c>
      <c r="Y808">
        <v>20.3</v>
      </c>
      <c r="Z808">
        <v>55.8</v>
      </c>
      <c r="AA808">
        <v>6</v>
      </c>
      <c r="AB808">
        <v>2.14</v>
      </c>
      <c r="AC808">
        <v>31.62</v>
      </c>
      <c r="AD808">
        <v>0.23</v>
      </c>
      <c r="AE808">
        <v>1.2903225806451615</v>
      </c>
      <c r="AF808">
        <v>0.42500000000000004</v>
      </c>
      <c r="AH808">
        <v>21.784230000000001</v>
      </c>
      <c r="AI808">
        <v>54</v>
      </c>
    </row>
    <row r="809" spans="1:36" x14ac:dyDescent="0.5">
      <c r="A809">
        <v>30</v>
      </c>
      <c r="B809">
        <v>190</v>
      </c>
      <c r="C809">
        <v>0.1</v>
      </c>
      <c r="D809">
        <v>50</v>
      </c>
      <c r="E809">
        <v>1000</v>
      </c>
      <c r="F809">
        <v>400</v>
      </c>
      <c r="G809">
        <v>8</v>
      </c>
      <c r="K809">
        <v>14.3</v>
      </c>
      <c r="L809">
        <v>6.3</v>
      </c>
      <c r="M809">
        <v>3.3</v>
      </c>
      <c r="Q809">
        <v>45.4</v>
      </c>
      <c r="R809">
        <v>6.3</v>
      </c>
      <c r="S809">
        <v>1.59</v>
      </c>
      <c r="T809">
        <v>1.1000000000000001</v>
      </c>
      <c r="U809">
        <v>0.15</v>
      </c>
      <c r="V809">
        <v>1.6651982378854626</v>
      </c>
      <c r="W809">
        <v>1.8171806167400884E-2</v>
      </c>
      <c r="X809">
        <v>5.5</v>
      </c>
      <c r="Y809">
        <v>20.3</v>
      </c>
      <c r="Z809">
        <v>53.85</v>
      </c>
      <c r="AA809">
        <v>5.92</v>
      </c>
      <c r="AB809">
        <v>1.96</v>
      </c>
      <c r="AC809">
        <v>33.79</v>
      </c>
      <c r="AD809">
        <v>0.22</v>
      </c>
      <c r="AE809">
        <v>1.3192200557103064</v>
      </c>
      <c r="AF809">
        <v>0.47061281337047356</v>
      </c>
      <c r="AH809">
        <v>20.623545000000004</v>
      </c>
      <c r="AI809">
        <v>48</v>
      </c>
    </row>
    <row r="810" spans="1:36" x14ac:dyDescent="0.5">
      <c r="A810">
        <v>60</v>
      </c>
      <c r="B810">
        <v>190</v>
      </c>
      <c r="C810">
        <v>0.1</v>
      </c>
      <c r="D810">
        <v>50</v>
      </c>
      <c r="E810">
        <v>1000</v>
      </c>
      <c r="F810">
        <v>400</v>
      </c>
      <c r="G810">
        <v>8</v>
      </c>
      <c r="K810">
        <v>14.3</v>
      </c>
      <c r="L810">
        <v>6.3</v>
      </c>
      <c r="M810">
        <v>3.3</v>
      </c>
      <c r="Q810">
        <v>45.4</v>
      </c>
      <c r="R810">
        <v>6.3</v>
      </c>
      <c r="S810">
        <v>1.59</v>
      </c>
      <c r="T810">
        <v>1.1000000000000001</v>
      </c>
      <c r="U810">
        <v>0.15</v>
      </c>
      <c r="V810">
        <v>1.6651982378854626</v>
      </c>
      <c r="W810">
        <v>1.8171806167400884E-2</v>
      </c>
      <c r="X810">
        <v>5.5</v>
      </c>
      <c r="Y810">
        <v>20.3</v>
      </c>
      <c r="Z810">
        <v>55.38</v>
      </c>
      <c r="AA810">
        <v>6</v>
      </c>
      <c r="AB810">
        <v>1.91</v>
      </c>
      <c r="AC810">
        <v>32.200000000000003</v>
      </c>
      <c r="AD810">
        <v>0.22</v>
      </c>
      <c r="AE810">
        <v>1.3001083423618633</v>
      </c>
      <c r="AF810">
        <v>0.43607800650054174</v>
      </c>
      <c r="AH810">
        <v>21.538740000000001</v>
      </c>
      <c r="AI810">
        <v>51</v>
      </c>
    </row>
    <row r="811" spans="1:36" x14ac:dyDescent="0.5">
      <c r="A811">
        <v>90</v>
      </c>
      <c r="B811">
        <v>190</v>
      </c>
      <c r="C811">
        <v>0.1</v>
      </c>
      <c r="D811">
        <v>50</v>
      </c>
      <c r="E811">
        <v>1000</v>
      </c>
      <c r="F811">
        <v>400</v>
      </c>
      <c r="G811">
        <v>8</v>
      </c>
      <c r="K811">
        <v>14.3</v>
      </c>
      <c r="L811">
        <v>6.3</v>
      </c>
      <c r="M811">
        <v>3.3</v>
      </c>
      <c r="Q811">
        <v>45.4</v>
      </c>
      <c r="R811">
        <v>6.3</v>
      </c>
      <c r="S811">
        <v>1.59</v>
      </c>
      <c r="T811">
        <v>1.1000000000000001</v>
      </c>
      <c r="U811">
        <v>0.15</v>
      </c>
      <c r="V811">
        <v>1.6651982378854626</v>
      </c>
      <c r="W811">
        <v>1.8171806167400884E-2</v>
      </c>
      <c r="X811">
        <v>5.5</v>
      </c>
      <c r="Y811">
        <v>20.3</v>
      </c>
      <c r="Z811">
        <v>55.44</v>
      </c>
      <c r="AA811">
        <v>5.7</v>
      </c>
      <c r="AB811">
        <v>1.95</v>
      </c>
      <c r="AC811">
        <v>32.35</v>
      </c>
      <c r="AD811">
        <v>0.28000000000000003</v>
      </c>
      <c r="AE811">
        <v>1.2337662337662338</v>
      </c>
      <c r="AF811">
        <v>0.4376352813852814</v>
      </c>
      <c r="AH811">
        <v>21.103845</v>
      </c>
      <c r="AI811">
        <v>51</v>
      </c>
    </row>
    <row r="812" spans="1:36" x14ac:dyDescent="0.5">
      <c r="A812">
        <v>120</v>
      </c>
      <c r="B812">
        <v>190</v>
      </c>
      <c r="C812">
        <v>0.1</v>
      </c>
      <c r="D812">
        <v>50</v>
      </c>
      <c r="E812">
        <v>1000</v>
      </c>
      <c r="F812">
        <v>400</v>
      </c>
      <c r="G812">
        <v>8</v>
      </c>
      <c r="K812">
        <v>14.3</v>
      </c>
      <c r="L812">
        <v>6.3</v>
      </c>
      <c r="M812">
        <v>3.3</v>
      </c>
      <c r="Q812">
        <v>45.4</v>
      </c>
      <c r="R812">
        <v>6.3</v>
      </c>
      <c r="S812">
        <v>1.59</v>
      </c>
      <c r="T812">
        <v>1.1000000000000001</v>
      </c>
      <c r="U812">
        <v>0.15</v>
      </c>
      <c r="V812">
        <v>1.6651982378854626</v>
      </c>
      <c r="W812">
        <v>1.8171806167400884E-2</v>
      </c>
      <c r="X812">
        <v>5.5</v>
      </c>
      <c r="Y812">
        <v>20.3</v>
      </c>
      <c r="Z812">
        <v>55.53</v>
      </c>
      <c r="AA812">
        <v>6.16</v>
      </c>
      <c r="AB812">
        <v>1.87</v>
      </c>
      <c r="AC812">
        <v>31.92</v>
      </c>
      <c r="AD812">
        <v>0.23</v>
      </c>
      <c r="AE812">
        <v>1.3311723392760668</v>
      </c>
      <c r="AF812">
        <v>0.43111831442463533</v>
      </c>
      <c r="AH812">
        <v>21.867899999999999</v>
      </c>
      <c r="AI812">
        <v>53</v>
      </c>
    </row>
    <row r="813" spans="1:36" x14ac:dyDescent="0.5">
      <c r="A813">
        <v>30</v>
      </c>
      <c r="B813">
        <v>225</v>
      </c>
      <c r="C813">
        <v>0.1</v>
      </c>
      <c r="D813">
        <v>50</v>
      </c>
      <c r="E813">
        <v>1000</v>
      </c>
      <c r="F813">
        <v>400</v>
      </c>
      <c r="G813">
        <v>8</v>
      </c>
      <c r="K813">
        <v>14.3</v>
      </c>
      <c r="L813">
        <v>6.3</v>
      </c>
      <c r="M813">
        <v>3.3</v>
      </c>
      <c r="Q813">
        <v>45.4</v>
      </c>
      <c r="R813">
        <v>6.3</v>
      </c>
      <c r="S813">
        <v>1.59</v>
      </c>
      <c r="T813">
        <v>1.1000000000000001</v>
      </c>
      <c r="U813">
        <v>0.15</v>
      </c>
      <c r="V813">
        <v>1.6651982378854626</v>
      </c>
      <c r="W813">
        <v>1.8171806167400884E-2</v>
      </c>
      <c r="X813">
        <v>5.5</v>
      </c>
      <c r="Y813">
        <v>20.3</v>
      </c>
      <c r="Z813">
        <v>56.45</v>
      </c>
      <c r="AA813">
        <v>5.64</v>
      </c>
      <c r="AB813">
        <v>1.79</v>
      </c>
      <c r="AC813">
        <v>31.55</v>
      </c>
      <c r="AD813">
        <v>0.23</v>
      </c>
      <c r="AE813">
        <v>1.1989371124889281</v>
      </c>
      <c r="AF813">
        <v>0.4191762621789194</v>
      </c>
      <c r="AH813">
        <v>21.502345000000002</v>
      </c>
      <c r="AI813">
        <v>47</v>
      </c>
    </row>
    <row r="814" spans="1:36" x14ac:dyDescent="0.5">
      <c r="A814">
        <v>60</v>
      </c>
      <c r="B814">
        <v>225</v>
      </c>
      <c r="C814">
        <v>0.1</v>
      </c>
      <c r="D814">
        <v>50</v>
      </c>
      <c r="E814">
        <v>1000</v>
      </c>
      <c r="F814">
        <v>400</v>
      </c>
      <c r="G814">
        <v>8</v>
      </c>
      <c r="K814">
        <v>14.3</v>
      </c>
      <c r="L814">
        <v>6.3</v>
      </c>
      <c r="M814">
        <v>3.3</v>
      </c>
      <c r="Q814">
        <v>45.4</v>
      </c>
      <c r="R814">
        <v>6.3</v>
      </c>
      <c r="S814">
        <v>1.59</v>
      </c>
      <c r="T814">
        <v>1.1000000000000001</v>
      </c>
      <c r="U814">
        <v>0.15</v>
      </c>
      <c r="V814">
        <v>1.6651982378854626</v>
      </c>
      <c r="W814">
        <v>1.8171806167400884E-2</v>
      </c>
      <c r="X814">
        <v>5.5</v>
      </c>
      <c r="Y814">
        <v>20.3</v>
      </c>
      <c r="Z814">
        <v>57.66</v>
      </c>
      <c r="AA814">
        <v>5.84</v>
      </c>
      <c r="AB814">
        <v>2.02</v>
      </c>
      <c r="AC814">
        <v>29.67</v>
      </c>
      <c r="AD814">
        <v>0.25</v>
      </c>
      <c r="AE814">
        <v>1.2154006243496358</v>
      </c>
      <c r="AF814">
        <v>0.38592611862643084</v>
      </c>
      <c r="AH814">
        <v>22.532505</v>
      </c>
      <c r="AI814">
        <v>46</v>
      </c>
    </row>
    <row r="815" spans="1:36" x14ac:dyDescent="0.5">
      <c r="A815">
        <v>90</v>
      </c>
      <c r="B815">
        <v>225</v>
      </c>
      <c r="C815">
        <v>0.1</v>
      </c>
      <c r="D815">
        <v>50</v>
      </c>
      <c r="E815">
        <v>1000</v>
      </c>
      <c r="F815">
        <v>400</v>
      </c>
      <c r="G815">
        <v>8</v>
      </c>
      <c r="K815">
        <v>14.3</v>
      </c>
      <c r="L815">
        <v>6.3</v>
      </c>
      <c r="M815">
        <v>3.3</v>
      </c>
      <c r="Q815">
        <v>45.4</v>
      </c>
      <c r="R815">
        <v>6.3</v>
      </c>
      <c r="S815">
        <v>1.59</v>
      </c>
      <c r="T815">
        <v>1.1000000000000001</v>
      </c>
      <c r="U815">
        <v>0.15</v>
      </c>
      <c r="V815">
        <v>1.6651982378854626</v>
      </c>
      <c r="W815">
        <v>1.8171806167400884E-2</v>
      </c>
      <c r="X815">
        <v>5.5</v>
      </c>
      <c r="Y815">
        <v>20.3</v>
      </c>
      <c r="Z815">
        <v>58.32</v>
      </c>
      <c r="AA815">
        <v>5.91</v>
      </c>
      <c r="AB815">
        <v>2</v>
      </c>
      <c r="AC815">
        <v>28.94</v>
      </c>
      <c r="AD815">
        <v>0.26</v>
      </c>
      <c r="AE815">
        <v>1.2160493827160492</v>
      </c>
      <c r="AF815">
        <v>0.37217078189300412</v>
      </c>
      <c r="AH815">
        <v>22.985849999999999</v>
      </c>
      <c r="AI815">
        <v>45</v>
      </c>
    </row>
    <row r="816" spans="1:36" x14ac:dyDescent="0.5">
      <c r="A816">
        <v>120</v>
      </c>
      <c r="B816">
        <v>225</v>
      </c>
      <c r="C816">
        <v>0.1</v>
      </c>
      <c r="D816">
        <v>50</v>
      </c>
      <c r="E816">
        <v>1000</v>
      </c>
      <c r="F816">
        <v>400</v>
      </c>
      <c r="G816">
        <v>8</v>
      </c>
      <c r="K816">
        <v>14.3</v>
      </c>
      <c r="L816">
        <v>6.3</v>
      </c>
      <c r="M816">
        <v>3.3</v>
      </c>
      <c r="Q816">
        <v>45.4</v>
      </c>
      <c r="R816">
        <v>6.3</v>
      </c>
      <c r="S816">
        <v>1.59</v>
      </c>
      <c r="T816">
        <v>1.1000000000000001</v>
      </c>
      <c r="U816">
        <v>0.15</v>
      </c>
      <c r="V816">
        <v>1.6651982378854626</v>
      </c>
      <c r="W816">
        <v>1.8171806167400884E-2</v>
      </c>
      <c r="X816">
        <v>5.5</v>
      </c>
      <c r="Y816">
        <v>20.3</v>
      </c>
      <c r="Z816">
        <v>60.12</v>
      </c>
      <c r="AA816">
        <v>5.65</v>
      </c>
      <c r="AB816">
        <v>2.19</v>
      </c>
      <c r="AC816">
        <v>27.19</v>
      </c>
      <c r="AD816">
        <v>2.9</v>
      </c>
      <c r="AE816">
        <v>1.127744510978044</v>
      </c>
      <c r="AF816">
        <v>0.33919660678642716</v>
      </c>
      <c r="AH816">
        <v>23.535345</v>
      </c>
      <c r="AI816">
        <v>43</v>
      </c>
    </row>
    <row r="817" spans="1:36" x14ac:dyDescent="0.5">
      <c r="A817">
        <v>30</v>
      </c>
      <c r="B817">
        <v>260</v>
      </c>
      <c r="C817">
        <v>0.1</v>
      </c>
      <c r="D817">
        <v>50</v>
      </c>
      <c r="E817">
        <v>1000</v>
      </c>
      <c r="F817">
        <v>400</v>
      </c>
      <c r="G817">
        <v>8</v>
      </c>
      <c r="K817">
        <v>14.3</v>
      </c>
      <c r="L817">
        <v>6.3</v>
      </c>
      <c r="M817">
        <v>3.3</v>
      </c>
      <c r="Q817">
        <v>45.4</v>
      </c>
      <c r="R817">
        <v>6.3</v>
      </c>
      <c r="S817">
        <v>1.59</v>
      </c>
      <c r="T817">
        <v>1.1000000000000001</v>
      </c>
      <c r="U817">
        <v>0.15</v>
      </c>
      <c r="V817">
        <v>1.6651982378854626</v>
      </c>
      <c r="W817">
        <v>1.8171806167400884E-2</v>
      </c>
      <c r="X817">
        <v>5.5</v>
      </c>
      <c r="Y817">
        <v>20.3</v>
      </c>
      <c r="Z817">
        <v>61.38</v>
      </c>
      <c r="AA817">
        <v>5.66</v>
      </c>
      <c r="AB817">
        <v>2.35</v>
      </c>
      <c r="AC817">
        <v>25.54</v>
      </c>
      <c r="AD817">
        <v>0.22</v>
      </c>
      <c r="AE817">
        <v>1.1065493646138806</v>
      </c>
      <c r="AF817">
        <v>0.31207233626588465</v>
      </c>
      <c r="AH817">
        <v>24.270030000000002</v>
      </c>
      <c r="AI817">
        <v>38</v>
      </c>
    </row>
    <row r="818" spans="1:36" x14ac:dyDescent="0.5">
      <c r="A818">
        <v>60</v>
      </c>
      <c r="B818">
        <v>260</v>
      </c>
      <c r="C818">
        <v>0.1</v>
      </c>
      <c r="D818">
        <v>50</v>
      </c>
      <c r="E818">
        <v>1000</v>
      </c>
      <c r="F818">
        <v>400</v>
      </c>
      <c r="G818">
        <v>8</v>
      </c>
      <c r="K818">
        <v>14.3</v>
      </c>
      <c r="L818">
        <v>6.3</v>
      </c>
      <c r="M818">
        <v>3.3</v>
      </c>
      <c r="Q818">
        <v>45.4</v>
      </c>
      <c r="R818">
        <v>6.3</v>
      </c>
      <c r="S818">
        <v>1.59</v>
      </c>
      <c r="T818">
        <v>1.1000000000000001</v>
      </c>
      <c r="U818">
        <v>0.15</v>
      </c>
      <c r="V818">
        <v>1.6651982378854626</v>
      </c>
      <c r="W818">
        <v>1.8171806167400884E-2</v>
      </c>
      <c r="X818">
        <v>5.5</v>
      </c>
      <c r="Y818">
        <v>20.3</v>
      </c>
      <c r="Z818">
        <v>65.849999999999994</v>
      </c>
      <c r="AA818">
        <v>5.52</v>
      </c>
      <c r="AB818">
        <v>2.65</v>
      </c>
      <c r="AC818">
        <v>20.82</v>
      </c>
      <c r="AD818">
        <v>0.26</v>
      </c>
      <c r="AE818">
        <v>1.0059225512528474</v>
      </c>
      <c r="AF818">
        <v>0.23712984054669706</v>
      </c>
      <c r="AH818">
        <v>26.423490000000001</v>
      </c>
      <c r="AI818">
        <v>35</v>
      </c>
    </row>
    <row r="819" spans="1:36" x14ac:dyDescent="0.5">
      <c r="A819">
        <v>90</v>
      </c>
      <c r="B819">
        <v>260</v>
      </c>
      <c r="C819">
        <v>0.1</v>
      </c>
      <c r="D819">
        <v>50</v>
      </c>
      <c r="E819">
        <v>1000</v>
      </c>
      <c r="F819">
        <v>400</v>
      </c>
      <c r="G819">
        <v>8</v>
      </c>
      <c r="K819">
        <v>14.3</v>
      </c>
      <c r="L819">
        <v>6.3</v>
      </c>
      <c r="M819">
        <v>3.3</v>
      </c>
      <c r="Q819">
        <v>45.4</v>
      </c>
      <c r="R819">
        <v>6.3</v>
      </c>
      <c r="S819">
        <v>1.59</v>
      </c>
      <c r="T819">
        <v>1.1000000000000001</v>
      </c>
      <c r="U819">
        <v>0.15</v>
      </c>
      <c r="V819">
        <v>1.6651982378854626</v>
      </c>
      <c r="W819">
        <v>1.8171806167400884E-2</v>
      </c>
      <c r="X819">
        <v>5.5</v>
      </c>
      <c r="Y819">
        <v>20.3</v>
      </c>
      <c r="Z819">
        <v>66.290000000000006</v>
      </c>
      <c r="AA819">
        <v>5.49</v>
      </c>
      <c r="AB819">
        <v>2.7</v>
      </c>
      <c r="AC819">
        <v>20.27</v>
      </c>
      <c r="AD819">
        <v>0.28000000000000003</v>
      </c>
      <c r="AE819">
        <v>0.99381505506109513</v>
      </c>
      <c r="AF819">
        <v>0.22933323276512294</v>
      </c>
      <c r="AH819">
        <v>26.627545000000005</v>
      </c>
      <c r="AI819">
        <v>33</v>
      </c>
    </row>
    <row r="820" spans="1:36" x14ac:dyDescent="0.5">
      <c r="A820">
        <v>120</v>
      </c>
      <c r="B820">
        <v>260</v>
      </c>
      <c r="C820">
        <v>0.1</v>
      </c>
      <c r="D820">
        <v>50</v>
      </c>
      <c r="E820">
        <v>1000</v>
      </c>
      <c r="F820">
        <v>400</v>
      </c>
      <c r="G820">
        <v>8</v>
      </c>
      <c r="K820">
        <v>14.3</v>
      </c>
      <c r="L820">
        <v>6.3</v>
      </c>
      <c r="M820">
        <v>3.3</v>
      </c>
      <c r="Q820">
        <v>45.4</v>
      </c>
      <c r="R820">
        <v>6.3</v>
      </c>
      <c r="S820">
        <v>1.59</v>
      </c>
      <c r="T820">
        <v>1.1000000000000001</v>
      </c>
      <c r="U820">
        <v>0.15</v>
      </c>
      <c r="V820">
        <v>1.6651982378854626</v>
      </c>
      <c r="W820">
        <v>1.8171806167400884E-2</v>
      </c>
      <c r="X820">
        <v>5.5</v>
      </c>
      <c r="Y820">
        <v>20.3</v>
      </c>
      <c r="Z820">
        <v>69.239999999999995</v>
      </c>
      <c r="AA820">
        <v>5.53</v>
      </c>
      <c r="AB820">
        <v>2.7</v>
      </c>
      <c r="AC820">
        <v>17.34</v>
      </c>
      <c r="AD820">
        <v>0.23</v>
      </c>
      <c r="AE820">
        <v>0.95840554592720983</v>
      </c>
      <c r="AF820">
        <v>0.1878249566724437</v>
      </c>
      <c r="AH820">
        <v>28.204770000000003</v>
      </c>
      <c r="AI820">
        <v>35</v>
      </c>
    </row>
    <row r="821" spans="1:36" x14ac:dyDescent="0.5">
      <c r="A821">
        <v>30</v>
      </c>
      <c r="B821">
        <v>180</v>
      </c>
      <c r="C821">
        <v>0.1</v>
      </c>
      <c r="D821">
        <v>10</v>
      </c>
      <c r="E821">
        <v>250</v>
      </c>
      <c r="F821">
        <v>150</v>
      </c>
      <c r="G821">
        <v>15</v>
      </c>
      <c r="O821">
        <v>47.38</v>
      </c>
      <c r="P821">
        <v>5.18</v>
      </c>
      <c r="Q821">
        <v>22.65</v>
      </c>
      <c r="R821">
        <v>3.22</v>
      </c>
      <c r="S821">
        <v>1.32</v>
      </c>
      <c r="T821">
        <v>24.25</v>
      </c>
      <c r="U821">
        <v>1.07</v>
      </c>
      <c r="V821">
        <v>1.7059602649006624</v>
      </c>
      <c r="W821">
        <v>0.80298013245033117</v>
      </c>
      <c r="X821">
        <v>47.44</v>
      </c>
      <c r="Y821">
        <v>7.9252350000000007</v>
      </c>
      <c r="Z821">
        <v>20.91</v>
      </c>
      <c r="AA821">
        <v>2.6</v>
      </c>
      <c r="AB821">
        <v>0.78</v>
      </c>
      <c r="AC821">
        <v>20.11</v>
      </c>
      <c r="AD821">
        <v>0.77</v>
      </c>
      <c r="AE821">
        <v>1.4921090387374463</v>
      </c>
      <c r="AF821">
        <v>0.72130559540889527</v>
      </c>
      <c r="AG821">
        <v>54.81</v>
      </c>
      <c r="AH821">
        <v>7.1907450000000006</v>
      </c>
      <c r="AI821">
        <v>88</v>
      </c>
      <c r="AJ821" t="s">
        <v>214</v>
      </c>
    </row>
    <row r="822" spans="1:36" x14ac:dyDescent="0.5">
      <c r="A822">
        <v>30</v>
      </c>
      <c r="B822">
        <v>210</v>
      </c>
      <c r="C822">
        <v>0.1</v>
      </c>
      <c r="D822">
        <v>10</v>
      </c>
      <c r="E822">
        <v>250</v>
      </c>
      <c r="F822">
        <v>150</v>
      </c>
      <c r="G822">
        <v>15</v>
      </c>
      <c r="O822">
        <v>47.38</v>
      </c>
      <c r="P822">
        <v>5.18</v>
      </c>
      <c r="Q822">
        <v>22.65</v>
      </c>
      <c r="R822">
        <v>3.22</v>
      </c>
      <c r="S822">
        <v>1.32</v>
      </c>
      <c r="T822">
        <v>24.25</v>
      </c>
      <c r="U822">
        <v>1.07</v>
      </c>
      <c r="V822">
        <v>1.7059602649006624</v>
      </c>
      <c r="W822">
        <v>0.80298013245033117</v>
      </c>
      <c r="X822">
        <v>47.44</v>
      </c>
      <c r="Y822">
        <v>7.9252350000000007</v>
      </c>
      <c r="Z822">
        <v>20.32</v>
      </c>
      <c r="AA822">
        <v>2.2999999999999998</v>
      </c>
      <c r="AB822">
        <v>0.55000000000000004</v>
      </c>
      <c r="AC822">
        <v>18.239999999999998</v>
      </c>
      <c r="AD822">
        <v>0.7</v>
      </c>
      <c r="AE822">
        <v>1.3582677165354329</v>
      </c>
      <c r="AF822">
        <v>0.67322834645669283</v>
      </c>
      <c r="AG822">
        <v>57.86</v>
      </c>
      <c r="AH822">
        <v>6.8967200000000002</v>
      </c>
      <c r="AI822">
        <v>90</v>
      </c>
    </row>
    <row r="823" spans="1:36" x14ac:dyDescent="0.5">
      <c r="A823">
        <v>30</v>
      </c>
      <c r="B823">
        <v>240</v>
      </c>
      <c r="C823">
        <v>0.1</v>
      </c>
      <c r="D823">
        <v>10</v>
      </c>
      <c r="E823">
        <v>250</v>
      </c>
      <c r="F823">
        <v>150</v>
      </c>
      <c r="G823">
        <v>15</v>
      </c>
      <c r="O823">
        <v>47.38</v>
      </c>
      <c r="P823">
        <v>5.18</v>
      </c>
      <c r="Q823">
        <v>22.65</v>
      </c>
      <c r="R823">
        <v>3.22</v>
      </c>
      <c r="S823">
        <v>1.32</v>
      </c>
      <c r="T823">
        <v>24.25</v>
      </c>
      <c r="U823">
        <v>1.07</v>
      </c>
      <c r="V823">
        <v>1.7059602649006624</v>
      </c>
      <c r="W823">
        <v>0.80298013245033117</v>
      </c>
      <c r="X823">
        <v>47.44</v>
      </c>
      <c r="Y823">
        <v>7.9252350000000007</v>
      </c>
      <c r="Z823">
        <v>19.66</v>
      </c>
      <c r="AA823">
        <v>1.96</v>
      </c>
      <c r="AB823">
        <v>0.43</v>
      </c>
      <c r="AC823">
        <v>16.7</v>
      </c>
      <c r="AD823">
        <v>0.68</v>
      </c>
      <c r="AE823">
        <v>1.1963377416073244</v>
      </c>
      <c r="AF823">
        <v>0.63708036622583919</v>
      </c>
      <c r="AG823">
        <v>60.54</v>
      </c>
      <c r="AH823">
        <v>6.4630100000000006</v>
      </c>
      <c r="AI823">
        <v>84</v>
      </c>
    </row>
    <row r="824" spans="1:36" x14ac:dyDescent="0.5">
      <c r="A824">
        <v>30</v>
      </c>
      <c r="B824">
        <v>270</v>
      </c>
      <c r="C824">
        <v>0.1</v>
      </c>
      <c r="D824">
        <v>10</v>
      </c>
      <c r="E824">
        <v>250</v>
      </c>
      <c r="F824">
        <v>150</v>
      </c>
      <c r="G824">
        <v>15</v>
      </c>
      <c r="O824">
        <v>47.38</v>
      </c>
      <c r="P824">
        <v>5.18</v>
      </c>
      <c r="Q824">
        <v>22.65</v>
      </c>
      <c r="R824">
        <v>3.22</v>
      </c>
      <c r="S824">
        <v>1.32</v>
      </c>
      <c r="T824">
        <v>24.25</v>
      </c>
      <c r="U824">
        <v>1.07</v>
      </c>
      <c r="V824">
        <v>1.7059602649006624</v>
      </c>
      <c r="W824">
        <v>0.80298013245033117</v>
      </c>
      <c r="X824">
        <v>47.44</v>
      </c>
      <c r="Y824">
        <v>7.9252350000000007</v>
      </c>
      <c r="Z824">
        <v>19.170000000000002</v>
      </c>
      <c r="AA824">
        <v>1.88</v>
      </c>
      <c r="AB824">
        <v>0.42</v>
      </c>
      <c r="AC824">
        <v>14.12</v>
      </c>
      <c r="AD824">
        <v>0.61</v>
      </c>
      <c r="AE824">
        <v>1.1768388106416274</v>
      </c>
      <c r="AF824">
        <v>0.55242566510172131</v>
      </c>
      <c r="AG824">
        <v>63.78</v>
      </c>
      <c r="AH824">
        <v>6.6436800000000016</v>
      </c>
      <c r="AI824">
        <v>76</v>
      </c>
    </row>
    <row r="825" spans="1:36" x14ac:dyDescent="0.5">
      <c r="A825">
        <v>30</v>
      </c>
      <c r="B825">
        <v>300</v>
      </c>
      <c r="C825">
        <v>0.1</v>
      </c>
      <c r="D825">
        <v>10</v>
      </c>
      <c r="E825">
        <v>250</v>
      </c>
      <c r="F825">
        <v>150</v>
      </c>
      <c r="G825">
        <v>15</v>
      </c>
      <c r="O825">
        <v>47.38</v>
      </c>
      <c r="P825">
        <v>5.18</v>
      </c>
      <c r="Q825">
        <v>22.65</v>
      </c>
      <c r="R825">
        <v>3.22</v>
      </c>
      <c r="S825">
        <v>1.32</v>
      </c>
      <c r="T825">
        <v>24.25</v>
      </c>
      <c r="U825">
        <v>1.07</v>
      </c>
      <c r="V825">
        <v>1.7059602649006624</v>
      </c>
      <c r="W825">
        <v>0.80298013245033117</v>
      </c>
      <c r="X825">
        <v>47.44</v>
      </c>
      <c r="Y825">
        <v>7.9252350000000007</v>
      </c>
      <c r="Z825">
        <v>19.11</v>
      </c>
      <c r="AA825">
        <v>1.71</v>
      </c>
      <c r="AB825">
        <v>0.39</v>
      </c>
      <c r="AC825">
        <v>11.91</v>
      </c>
      <c r="AD825">
        <v>0.63</v>
      </c>
      <c r="AE825">
        <v>1.0737833594976451</v>
      </c>
      <c r="AF825">
        <v>0.46742543171114598</v>
      </c>
      <c r="AG825">
        <v>66.23</v>
      </c>
      <c r="AH825">
        <v>6.7751250000000001</v>
      </c>
      <c r="AI825">
        <v>73</v>
      </c>
    </row>
    <row r="826" spans="1:36" x14ac:dyDescent="0.5">
      <c r="A826">
        <v>60</v>
      </c>
      <c r="B826">
        <v>180</v>
      </c>
      <c r="C826">
        <v>0.1</v>
      </c>
      <c r="D826">
        <v>50</v>
      </c>
      <c r="E826">
        <v>1000</v>
      </c>
      <c r="F826">
        <v>400</v>
      </c>
      <c r="G826">
        <v>8</v>
      </c>
      <c r="Q826">
        <v>52.05</v>
      </c>
      <c r="R826">
        <v>8.2100000000000009</v>
      </c>
      <c r="S826">
        <v>2.33</v>
      </c>
      <c r="T826">
        <v>36.76</v>
      </c>
      <c r="U826">
        <v>0.65</v>
      </c>
      <c r="V826">
        <v>1.8927953890489917</v>
      </c>
      <c r="W826">
        <v>0.5296829971181557</v>
      </c>
      <c r="X826">
        <v>10.68</v>
      </c>
      <c r="Y826">
        <v>24.5</v>
      </c>
      <c r="Z826">
        <v>55.18</v>
      </c>
      <c r="AA826">
        <v>7.08</v>
      </c>
      <c r="AB826">
        <v>1.88</v>
      </c>
      <c r="AC826">
        <v>35.15</v>
      </c>
      <c r="AD826">
        <v>0.71</v>
      </c>
      <c r="AE826">
        <v>1.5396882928597317</v>
      </c>
      <c r="AF826">
        <v>0.47775462123957951</v>
      </c>
      <c r="AG826">
        <v>9.6</v>
      </c>
      <c r="AH826">
        <v>24.1</v>
      </c>
      <c r="AI826">
        <v>80.7</v>
      </c>
      <c r="AJ826" t="s">
        <v>216</v>
      </c>
    </row>
    <row r="827" spans="1:36" x14ac:dyDescent="0.5">
      <c r="A827">
        <v>60</v>
      </c>
      <c r="B827">
        <v>220</v>
      </c>
      <c r="C827">
        <v>0.1</v>
      </c>
      <c r="D827">
        <v>50</v>
      </c>
      <c r="E827">
        <v>1000</v>
      </c>
      <c r="F827">
        <v>400</v>
      </c>
      <c r="G827">
        <v>8</v>
      </c>
      <c r="Q827">
        <v>52.05</v>
      </c>
      <c r="R827">
        <v>8.2100000000000009</v>
      </c>
      <c r="S827">
        <v>2.33</v>
      </c>
      <c r="T827">
        <v>36.76</v>
      </c>
      <c r="U827">
        <v>0.65</v>
      </c>
      <c r="V827">
        <v>1.8927953890489917</v>
      </c>
      <c r="W827">
        <v>0.5296829971181557</v>
      </c>
      <c r="X827">
        <v>10.68</v>
      </c>
      <c r="Y827">
        <v>24.5</v>
      </c>
      <c r="Z827">
        <v>62.09</v>
      </c>
      <c r="AA827">
        <v>6.75</v>
      </c>
      <c r="AB827">
        <v>2.29</v>
      </c>
      <c r="AC827">
        <v>28.13</v>
      </c>
      <c r="AD827">
        <v>0.74</v>
      </c>
      <c r="AE827">
        <v>1.3045578998228378</v>
      </c>
      <c r="AF827">
        <v>0.33978901594459648</v>
      </c>
      <c r="AG827">
        <v>13.44</v>
      </c>
      <c r="AH827">
        <v>26.8</v>
      </c>
      <c r="AI827">
        <v>66.400000000000006</v>
      </c>
    </row>
    <row r="828" spans="1:36" x14ac:dyDescent="0.5">
      <c r="A828">
        <v>60</v>
      </c>
      <c r="B828">
        <v>260</v>
      </c>
      <c r="C828">
        <v>0.1</v>
      </c>
      <c r="D828">
        <v>50</v>
      </c>
      <c r="E828">
        <v>1000</v>
      </c>
      <c r="F828">
        <v>400</v>
      </c>
      <c r="G828">
        <v>8</v>
      </c>
      <c r="Q828">
        <v>52.05</v>
      </c>
      <c r="R828">
        <v>8.2100000000000009</v>
      </c>
      <c r="S828">
        <v>2.33</v>
      </c>
      <c r="T828">
        <v>36.76</v>
      </c>
      <c r="U828">
        <v>0.65</v>
      </c>
      <c r="V828">
        <v>1.8927953890489917</v>
      </c>
      <c r="W828">
        <v>0.5296829971181557</v>
      </c>
      <c r="X828">
        <v>10.68</v>
      </c>
      <c r="Y828">
        <v>24.5</v>
      </c>
      <c r="Z828">
        <v>69.819999999999993</v>
      </c>
      <c r="AA828">
        <v>6.42</v>
      </c>
      <c r="AB828">
        <v>3.22</v>
      </c>
      <c r="AC828">
        <v>19.760000000000002</v>
      </c>
      <c r="AD828">
        <v>0.78</v>
      </c>
      <c r="AE828">
        <v>1.1034087653967346</v>
      </c>
      <c r="AF828">
        <v>0.2122600973932971</v>
      </c>
      <c r="AG828">
        <v>16.72</v>
      </c>
      <c r="AH828">
        <v>29.9</v>
      </c>
      <c r="AI828">
        <v>46.3</v>
      </c>
    </row>
    <row r="829" spans="1:36" x14ac:dyDescent="0.5">
      <c r="A829">
        <v>240</v>
      </c>
      <c r="B829">
        <v>200</v>
      </c>
      <c r="C829">
        <v>0.1</v>
      </c>
      <c r="D829">
        <v>10.3</v>
      </c>
      <c r="E829">
        <v>125</v>
      </c>
      <c r="F829">
        <v>50</v>
      </c>
      <c r="G829">
        <v>4.8543689320388346</v>
      </c>
      <c r="O829">
        <v>69.98</v>
      </c>
      <c r="P829">
        <v>1.42</v>
      </c>
      <c r="Q829">
        <v>36.700000000000003</v>
      </c>
      <c r="R829">
        <v>6.4</v>
      </c>
      <c r="S829">
        <v>5.5</v>
      </c>
      <c r="T829">
        <v>35.9</v>
      </c>
      <c r="U829">
        <v>9.5</v>
      </c>
      <c r="V829">
        <v>2.092643051771117</v>
      </c>
      <c r="W829">
        <v>0.73365122615803802</v>
      </c>
      <c r="X829">
        <v>28.6</v>
      </c>
      <c r="Y829">
        <v>24.12</v>
      </c>
      <c r="Z829">
        <v>33.299999999999997</v>
      </c>
      <c r="AA829">
        <v>4.4000000000000004</v>
      </c>
      <c r="AB829">
        <v>2.1</v>
      </c>
      <c r="AC829">
        <v>18.5</v>
      </c>
      <c r="AD829">
        <v>3.8</v>
      </c>
      <c r="AE829">
        <v>1.5855855855855858</v>
      </c>
      <c r="AF829">
        <v>0.41666666666666669</v>
      </c>
      <c r="AG829">
        <v>43.89</v>
      </c>
      <c r="AH829">
        <v>28.4</v>
      </c>
      <c r="AI829">
        <v>53.9</v>
      </c>
      <c r="AJ829" t="s">
        <v>218</v>
      </c>
    </row>
    <row r="830" spans="1:36" x14ac:dyDescent="0.5">
      <c r="A830">
        <v>360</v>
      </c>
      <c r="B830">
        <v>200</v>
      </c>
      <c r="C830">
        <v>0.1</v>
      </c>
      <c r="D830">
        <v>10.3</v>
      </c>
      <c r="E830">
        <v>125</v>
      </c>
      <c r="F830">
        <v>50</v>
      </c>
      <c r="G830">
        <v>4.8543689320388346</v>
      </c>
      <c r="O830">
        <v>69.98</v>
      </c>
      <c r="P830">
        <v>1.42</v>
      </c>
      <c r="Q830">
        <v>36.700000000000003</v>
      </c>
      <c r="R830">
        <v>6.4</v>
      </c>
      <c r="S830">
        <v>5.5</v>
      </c>
      <c r="T830">
        <v>35.9</v>
      </c>
      <c r="U830">
        <v>9.5</v>
      </c>
      <c r="V830">
        <v>2.092643051771117</v>
      </c>
      <c r="W830">
        <v>0.73365122615803802</v>
      </c>
      <c r="X830">
        <v>28.6</v>
      </c>
      <c r="Y830">
        <v>24.12</v>
      </c>
      <c r="Z830">
        <v>33.200000000000003</v>
      </c>
      <c r="AA830">
        <v>4.3</v>
      </c>
      <c r="AB830">
        <v>2.1</v>
      </c>
      <c r="AC830">
        <v>17.8</v>
      </c>
      <c r="AD830">
        <v>3.8</v>
      </c>
      <c r="AE830">
        <v>1.5542168674698793</v>
      </c>
      <c r="AF830">
        <v>0.40210843373493971</v>
      </c>
      <c r="AG830">
        <v>44.39</v>
      </c>
      <c r="AH830">
        <v>27.55</v>
      </c>
      <c r="AI830">
        <v>58.7</v>
      </c>
    </row>
    <row r="831" spans="1:36" x14ac:dyDescent="0.5">
      <c r="A831">
        <v>480</v>
      </c>
      <c r="B831">
        <v>200</v>
      </c>
      <c r="C831">
        <v>0.1</v>
      </c>
      <c r="D831">
        <v>10.3</v>
      </c>
      <c r="E831">
        <v>125</v>
      </c>
      <c r="F831">
        <v>50</v>
      </c>
      <c r="G831">
        <v>4.8543689320388346</v>
      </c>
      <c r="O831">
        <v>69.98</v>
      </c>
      <c r="P831">
        <v>1.42</v>
      </c>
      <c r="Q831">
        <v>36.700000000000003</v>
      </c>
      <c r="R831">
        <v>6.4</v>
      </c>
      <c r="S831">
        <v>5.5</v>
      </c>
      <c r="T831">
        <v>35.9</v>
      </c>
      <c r="U831">
        <v>9.5</v>
      </c>
      <c r="V831">
        <v>2.092643051771117</v>
      </c>
      <c r="W831">
        <v>0.73365122615803802</v>
      </c>
      <c r="X831">
        <v>28.6</v>
      </c>
      <c r="Y831">
        <v>24.12</v>
      </c>
      <c r="Z831">
        <v>32.6</v>
      </c>
      <c r="AA831">
        <v>4.2</v>
      </c>
      <c r="AB831">
        <v>2.2000000000000002</v>
      </c>
      <c r="AC831">
        <v>17.600000000000001</v>
      </c>
      <c r="AD831">
        <v>3.8</v>
      </c>
      <c r="AE831">
        <v>1.5460122699386503</v>
      </c>
      <c r="AF831">
        <v>0.40490797546012269</v>
      </c>
      <c r="AG831">
        <v>44.67</v>
      </c>
      <c r="AH831">
        <v>26.95</v>
      </c>
      <c r="AI831">
        <v>59.7</v>
      </c>
    </row>
    <row r="832" spans="1:36" x14ac:dyDescent="0.5">
      <c r="A832">
        <v>600</v>
      </c>
      <c r="B832">
        <v>200</v>
      </c>
      <c r="C832">
        <v>0.1</v>
      </c>
      <c r="D832">
        <v>10.3</v>
      </c>
      <c r="E832">
        <v>125</v>
      </c>
      <c r="F832">
        <v>50</v>
      </c>
      <c r="G832">
        <v>4.8543689320388346</v>
      </c>
      <c r="O832">
        <v>69.98</v>
      </c>
      <c r="P832">
        <v>1.42</v>
      </c>
      <c r="Q832">
        <v>36.700000000000003</v>
      </c>
      <c r="R832">
        <v>6.4</v>
      </c>
      <c r="S832">
        <v>5.5</v>
      </c>
      <c r="T832">
        <v>35.9</v>
      </c>
      <c r="U832">
        <v>9.5</v>
      </c>
      <c r="V832">
        <v>2.092643051771117</v>
      </c>
      <c r="W832">
        <v>0.73365122615803802</v>
      </c>
      <c r="X832">
        <v>28.6</v>
      </c>
      <c r="Y832">
        <v>24.12</v>
      </c>
      <c r="Z832">
        <v>32.5</v>
      </c>
      <c r="AA832">
        <v>4.0999999999999996</v>
      </c>
      <c r="AB832">
        <v>2.2000000000000002</v>
      </c>
      <c r="AC832">
        <v>17.399999999999999</v>
      </c>
      <c r="AD832">
        <v>3.8</v>
      </c>
      <c r="AE832">
        <v>1.5138461538461536</v>
      </c>
      <c r="AF832">
        <v>0.40153846153846151</v>
      </c>
      <c r="AG832">
        <v>46.58</v>
      </c>
      <c r="AH832">
        <v>27.93</v>
      </c>
      <c r="AI832">
        <v>60.2</v>
      </c>
    </row>
    <row r="833" spans="1:36" x14ac:dyDescent="0.5">
      <c r="A833">
        <v>720</v>
      </c>
      <c r="B833">
        <v>200</v>
      </c>
      <c r="C833">
        <v>0.1</v>
      </c>
      <c r="D833">
        <v>10.3</v>
      </c>
      <c r="E833">
        <v>125</v>
      </c>
      <c r="F833">
        <v>50</v>
      </c>
      <c r="G833">
        <v>4.8543689320388346</v>
      </c>
      <c r="O833">
        <v>69.98</v>
      </c>
      <c r="P833">
        <v>1.42</v>
      </c>
      <c r="Q833">
        <v>36.700000000000003</v>
      </c>
      <c r="R833">
        <v>6.4</v>
      </c>
      <c r="S833">
        <v>5.5</v>
      </c>
      <c r="T833">
        <v>35.9</v>
      </c>
      <c r="U833">
        <v>9.5</v>
      </c>
      <c r="V833">
        <v>2.092643051771117</v>
      </c>
      <c r="W833">
        <v>0.73365122615803802</v>
      </c>
      <c r="X833">
        <v>28.6</v>
      </c>
      <c r="Y833">
        <v>24.12</v>
      </c>
      <c r="Z833">
        <v>32.5</v>
      </c>
      <c r="AA833">
        <v>4.0999999999999996</v>
      </c>
      <c r="AB833">
        <v>2.2000000000000002</v>
      </c>
      <c r="AC833">
        <v>16.899999999999999</v>
      </c>
      <c r="AD833">
        <v>3.9</v>
      </c>
      <c r="AE833">
        <v>1.5138461538461536</v>
      </c>
      <c r="AF833">
        <v>0.38999999999999996</v>
      </c>
      <c r="AG833">
        <v>46.69</v>
      </c>
      <c r="AH833">
        <v>28.52</v>
      </c>
      <c r="AI833">
        <v>60.4</v>
      </c>
    </row>
    <row r="834" spans="1:36" x14ac:dyDescent="0.5">
      <c r="A834">
        <v>60</v>
      </c>
      <c r="B834">
        <v>180</v>
      </c>
      <c r="C834">
        <v>0.1</v>
      </c>
      <c r="D834">
        <v>28.6</v>
      </c>
      <c r="E834">
        <v>200</v>
      </c>
      <c r="F834">
        <v>95.6</v>
      </c>
      <c r="G834">
        <v>3.3426573426573425</v>
      </c>
      <c r="Q834">
        <v>53.2</v>
      </c>
      <c r="R834">
        <v>6.7</v>
      </c>
      <c r="S834">
        <v>1.7</v>
      </c>
      <c r="T834">
        <v>36.200000000000003</v>
      </c>
      <c r="U834">
        <v>0.3</v>
      </c>
      <c r="V834">
        <v>1.5112781954887218</v>
      </c>
      <c r="W834">
        <v>0.51033834586466165</v>
      </c>
      <c r="X834">
        <v>1.9</v>
      </c>
      <c r="Y834">
        <v>22.5</v>
      </c>
      <c r="Z834">
        <v>59.7</v>
      </c>
      <c r="AA834">
        <v>6.7</v>
      </c>
      <c r="AB834">
        <v>1.5</v>
      </c>
      <c r="AC834">
        <v>29.4</v>
      </c>
      <c r="AD834">
        <v>0.4</v>
      </c>
      <c r="AE834">
        <v>1.3467336683417084</v>
      </c>
      <c r="AF834">
        <v>0.36934673366834164</v>
      </c>
      <c r="AG834">
        <v>2.2999999999999998</v>
      </c>
      <c r="AH834">
        <v>24.9</v>
      </c>
      <c r="AI834">
        <v>78.8</v>
      </c>
      <c r="AJ834" t="s">
        <v>219</v>
      </c>
    </row>
    <row r="835" spans="1:36" x14ac:dyDescent="0.5">
      <c r="A835">
        <v>120</v>
      </c>
      <c r="B835">
        <v>180</v>
      </c>
      <c r="C835">
        <v>0.1</v>
      </c>
      <c r="D835">
        <v>28.6</v>
      </c>
      <c r="E835">
        <v>200</v>
      </c>
      <c r="F835">
        <v>95.6</v>
      </c>
      <c r="G835">
        <v>3.3426573426573425</v>
      </c>
      <c r="Q835">
        <v>53.2</v>
      </c>
      <c r="R835">
        <v>6.7</v>
      </c>
      <c r="S835">
        <v>1.7</v>
      </c>
      <c r="T835">
        <v>36.200000000000003</v>
      </c>
      <c r="U835">
        <v>0.3</v>
      </c>
      <c r="V835">
        <v>1.5112781954887218</v>
      </c>
      <c r="W835">
        <v>0.51033834586466165</v>
      </c>
      <c r="X835">
        <v>1.9</v>
      </c>
      <c r="Y835">
        <v>22.5</v>
      </c>
      <c r="Z835">
        <v>60.1</v>
      </c>
      <c r="AA835">
        <v>6.7</v>
      </c>
      <c r="AB835">
        <v>1.6</v>
      </c>
      <c r="AC835">
        <v>29.1</v>
      </c>
      <c r="AD835">
        <v>0.4</v>
      </c>
      <c r="AE835">
        <v>1.3377703826955074</v>
      </c>
      <c r="AF835">
        <v>0.36314475873544094</v>
      </c>
      <c r="AG835">
        <v>2.2000000000000002</v>
      </c>
      <c r="AH835">
        <v>25.1</v>
      </c>
      <c r="AI835">
        <v>80.099999999999994</v>
      </c>
    </row>
    <row r="836" spans="1:36" x14ac:dyDescent="0.5">
      <c r="A836">
        <v>60</v>
      </c>
      <c r="B836">
        <v>220</v>
      </c>
      <c r="C836">
        <v>0.1</v>
      </c>
      <c r="D836">
        <v>28.6</v>
      </c>
      <c r="E836">
        <v>200</v>
      </c>
      <c r="F836">
        <v>95.6</v>
      </c>
      <c r="G836">
        <v>3.3426573426573425</v>
      </c>
      <c r="Q836">
        <v>53.2</v>
      </c>
      <c r="R836">
        <v>6.7</v>
      </c>
      <c r="S836">
        <v>1.7</v>
      </c>
      <c r="T836">
        <v>36.200000000000003</v>
      </c>
      <c r="U836">
        <v>0.3</v>
      </c>
      <c r="V836">
        <v>1.5112781954887218</v>
      </c>
      <c r="W836">
        <v>0.51033834586466165</v>
      </c>
      <c r="X836">
        <v>1.9</v>
      </c>
      <c r="Y836">
        <v>22.5</v>
      </c>
      <c r="Z836">
        <v>64</v>
      </c>
      <c r="AA836">
        <v>6.4</v>
      </c>
      <c r="AB836">
        <v>1.7</v>
      </c>
      <c r="AC836">
        <v>25.3</v>
      </c>
      <c r="AD836">
        <v>0.4</v>
      </c>
      <c r="AE836">
        <v>1.2000000000000002</v>
      </c>
      <c r="AF836">
        <v>0.29648437500000002</v>
      </c>
      <c r="AG836">
        <v>2.2000000000000002</v>
      </c>
      <c r="AH836">
        <v>27.2</v>
      </c>
      <c r="AI836">
        <v>72</v>
      </c>
    </row>
    <row r="837" spans="1:36" x14ac:dyDescent="0.5">
      <c r="A837">
        <v>120</v>
      </c>
      <c r="B837">
        <v>220</v>
      </c>
      <c r="C837">
        <v>0.1</v>
      </c>
      <c r="D837">
        <v>28.6</v>
      </c>
      <c r="E837">
        <v>200</v>
      </c>
      <c r="F837">
        <v>95.6</v>
      </c>
      <c r="G837">
        <v>3.3426573426573425</v>
      </c>
      <c r="Q837">
        <v>53.2</v>
      </c>
      <c r="R837">
        <v>6.7</v>
      </c>
      <c r="S837">
        <v>1.7</v>
      </c>
      <c r="T837">
        <v>36.200000000000003</v>
      </c>
      <c r="U837">
        <v>0.3</v>
      </c>
      <c r="V837">
        <v>1.5112781954887218</v>
      </c>
      <c r="W837">
        <v>0.51033834586466165</v>
      </c>
      <c r="X837">
        <v>1.9</v>
      </c>
      <c r="Y837">
        <v>22.5</v>
      </c>
      <c r="Z837">
        <v>64.5</v>
      </c>
      <c r="AA837">
        <v>6.4</v>
      </c>
      <c r="AB837">
        <v>2</v>
      </c>
      <c r="AC837">
        <v>24.8</v>
      </c>
      <c r="AD837">
        <v>0.3</v>
      </c>
      <c r="AE837">
        <v>1.1906976744186046</v>
      </c>
      <c r="AF837">
        <v>0.28837209302325584</v>
      </c>
      <c r="AG837">
        <v>2</v>
      </c>
      <c r="AH837">
        <v>27.7</v>
      </c>
      <c r="AI837">
        <v>70.099999999999994</v>
      </c>
    </row>
    <row r="838" spans="1:36" x14ac:dyDescent="0.5">
      <c r="A838">
        <v>60</v>
      </c>
      <c r="B838">
        <v>250</v>
      </c>
      <c r="C838">
        <v>0.1</v>
      </c>
      <c r="D838">
        <v>28.6</v>
      </c>
      <c r="E838">
        <v>200</v>
      </c>
      <c r="F838">
        <v>95.6</v>
      </c>
      <c r="G838">
        <v>3.3426573426573425</v>
      </c>
      <c r="Q838">
        <v>53.2</v>
      </c>
      <c r="R838">
        <v>6.7</v>
      </c>
      <c r="S838">
        <v>1.7</v>
      </c>
      <c r="T838">
        <v>36.200000000000003</v>
      </c>
      <c r="U838">
        <v>0.3</v>
      </c>
      <c r="V838">
        <v>1.5112781954887218</v>
      </c>
      <c r="W838">
        <v>0.51033834586466165</v>
      </c>
      <c r="X838">
        <v>1.9</v>
      </c>
      <c r="Y838">
        <v>22.5</v>
      </c>
      <c r="Z838">
        <v>69.2</v>
      </c>
      <c r="AA838">
        <v>6.5</v>
      </c>
      <c r="AB838">
        <v>2</v>
      </c>
      <c r="AC838">
        <v>19.399999999999999</v>
      </c>
      <c r="AD838">
        <v>0.3</v>
      </c>
      <c r="AE838">
        <v>1.1271676300578035</v>
      </c>
      <c r="AF838">
        <v>0.21026011560693642</v>
      </c>
      <c r="AG838">
        <v>2.5</v>
      </c>
      <c r="AH838">
        <v>30.5</v>
      </c>
      <c r="AI838">
        <v>61.5</v>
      </c>
    </row>
    <row r="839" spans="1:36" x14ac:dyDescent="0.5">
      <c r="A839">
        <v>120</v>
      </c>
      <c r="B839">
        <v>250</v>
      </c>
      <c r="C839">
        <v>0.1</v>
      </c>
      <c r="D839">
        <v>28.6</v>
      </c>
      <c r="E839">
        <v>200</v>
      </c>
      <c r="F839">
        <v>95.6</v>
      </c>
      <c r="G839">
        <v>3.3426573426573425</v>
      </c>
      <c r="Q839">
        <v>53.2</v>
      </c>
      <c r="R839">
        <v>6.7</v>
      </c>
      <c r="S839">
        <v>1.7</v>
      </c>
      <c r="T839">
        <v>36.200000000000003</v>
      </c>
      <c r="U839">
        <v>0.3</v>
      </c>
      <c r="V839">
        <v>1.5112781954887218</v>
      </c>
      <c r="W839">
        <v>0.51033834586466165</v>
      </c>
      <c r="X839">
        <v>1.9</v>
      </c>
      <c r="Y839">
        <v>22.5</v>
      </c>
      <c r="Z839">
        <v>69.099999999999994</v>
      </c>
      <c r="AA839">
        <v>6.3</v>
      </c>
      <c r="AB839">
        <v>2</v>
      </c>
      <c r="AC839">
        <v>19.8</v>
      </c>
      <c r="AD839">
        <v>0.3</v>
      </c>
      <c r="AE839">
        <v>1.0940665701881331</v>
      </c>
      <c r="AF839">
        <v>0.2149059334298119</v>
      </c>
      <c r="AG839">
        <v>2.7</v>
      </c>
      <c r="AH839">
        <v>30</v>
      </c>
      <c r="AI839">
        <v>61.1</v>
      </c>
    </row>
    <row r="840" spans="1:36" x14ac:dyDescent="0.5">
      <c r="A840">
        <v>240</v>
      </c>
      <c r="B840">
        <v>180</v>
      </c>
      <c r="C840">
        <v>0.1</v>
      </c>
      <c r="D840">
        <v>50</v>
      </c>
      <c r="E840">
        <v>500</v>
      </c>
      <c r="F840">
        <v>250</v>
      </c>
      <c r="G840">
        <v>5</v>
      </c>
      <c r="N840">
        <v>80</v>
      </c>
      <c r="Q840">
        <v>51.94</v>
      </c>
      <c r="R840">
        <v>6.63</v>
      </c>
      <c r="S840">
        <v>3.28</v>
      </c>
      <c r="T840">
        <v>35.29</v>
      </c>
      <c r="U840">
        <v>0</v>
      </c>
      <c r="V840">
        <v>1.5317674239507124</v>
      </c>
      <c r="W840">
        <v>0.50957835964574505</v>
      </c>
      <c r="X840">
        <v>2.86</v>
      </c>
      <c r="Y840">
        <v>22.18</v>
      </c>
      <c r="Z840">
        <v>66.67</v>
      </c>
      <c r="AA840">
        <v>7.2</v>
      </c>
      <c r="AB840">
        <v>4.08</v>
      </c>
      <c r="AC840">
        <v>21.03</v>
      </c>
      <c r="AD840">
        <v>0</v>
      </c>
      <c r="AE840">
        <v>1.2959352032398381</v>
      </c>
      <c r="AF840">
        <v>0.23657567121643919</v>
      </c>
      <c r="AG840">
        <v>1.02</v>
      </c>
      <c r="AH840">
        <v>29.5</v>
      </c>
      <c r="AI840">
        <v>49.33</v>
      </c>
      <c r="AJ840" t="s">
        <v>221</v>
      </c>
    </row>
    <row r="841" spans="1:36" x14ac:dyDescent="0.5">
      <c r="A841">
        <v>240</v>
      </c>
      <c r="B841">
        <v>220</v>
      </c>
      <c r="C841">
        <v>0.1</v>
      </c>
      <c r="D841">
        <v>50</v>
      </c>
      <c r="E841">
        <v>500</v>
      </c>
      <c r="F841">
        <v>250</v>
      </c>
      <c r="G841">
        <v>5</v>
      </c>
      <c r="N841">
        <v>80</v>
      </c>
      <c r="Q841">
        <v>51.94</v>
      </c>
      <c r="R841">
        <v>6.63</v>
      </c>
      <c r="S841">
        <v>3.28</v>
      </c>
      <c r="T841">
        <v>35.29</v>
      </c>
      <c r="U841">
        <v>0</v>
      </c>
      <c r="V841">
        <v>1.5317674239507124</v>
      </c>
      <c r="W841">
        <v>0.50957835964574505</v>
      </c>
      <c r="X841">
        <v>2.86</v>
      </c>
      <c r="Y841">
        <v>22.18</v>
      </c>
      <c r="Z841">
        <v>67.98</v>
      </c>
      <c r="AA841">
        <v>6.89</v>
      </c>
      <c r="AB841">
        <v>3.55</v>
      </c>
      <c r="AC841">
        <v>18.7</v>
      </c>
      <c r="AD841">
        <v>0</v>
      </c>
      <c r="AE841">
        <v>1.2162400706090026</v>
      </c>
      <c r="AF841">
        <v>0.20631067961165048</v>
      </c>
      <c r="AG841">
        <v>2.88</v>
      </c>
      <c r="AH841">
        <v>29.8</v>
      </c>
      <c r="AI841">
        <v>42.33</v>
      </c>
    </row>
    <row r="842" spans="1:36" x14ac:dyDescent="0.5">
      <c r="A842">
        <v>240</v>
      </c>
      <c r="B842">
        <v>260</v>
      </c>
      <c r="C842">
        <v>0.1</v>
      </c>
      <c r="D842">
        <v>50</v>
      </c>
      <c r="E842">
        <v>500</v>
      </c>
      <c r="F842">
        <v>250</v>
      </c>
      <c r="G842">
        <v>5</v>
      </c>
      <c r="N842">
        <v>80</v>
      </c>
      <c r="Q842">
        <v>51.94</v>
      </c>
      <c r="R842">
        <v>6.63</v>
      </c>
      <c r="S842">
        <v>3.28</v>
      </c>
      <c r="T842">
        <v>35.29</v>
      </c>
      <c r="U842">
        <v>0</v>
      </c>
      <c r="V842">
        <v>1.5317674239507124</v>
      </c>
      <c r="W842">
        <v>0.50957835964574505</v>
      </c>
      <c r="X842">
        <v>2.86</v>
      </c>
      <c r="Y842">
        <v>22.18</v>
      </c>
      <c r="Z842">
        <v>71.08</v>
      </c>
      <c r="AA842">
        <v>6.7</v>
      </c>
      <c r="AB842">
        <v>3.32</v>
      </c>
      <c r="AC842">
        <v>14.03</v>
      </c>
      <c r="AD842">
        <v>0</v>
      </c>
      <c r="AE842">
        <v>1.1311198649409118</v>
      </c>
      <c r="AF842">
        <v>0.1480374226223973</v>
      </c>
      <c r="AG842">
        <v>4.87</v>
      </c>
      <c r="AH842">
        <v>31.11</v>
      </c>
      <c r="AI842">
        <v>47.13</v>
      </c>
    </row>
    <row r="843" spans="1:36" x14ac:dyDescent="0.5">
      <c r="A843">
        <v>120</v>
      </c>
      <c r="B843">
        <v>260</v>
      </c>
      <c r="C843">
        <v>0.1</v>
      </c>
      <c r="D843">
        <v>50</v>
      </c>
      <c r="E843">
        <v>500</v>
      </c>
      <c r="F843">
        <v>250</v>
      </c>
      <c r="G843">
        <v>5</v>
      </c>
      <c r="N843">
        <v>80</v>
      </c>
      <c r="Q843">
        <v>51.94</v>
      </c>
      <c r="R843">
        <v>6.63</v>
      </c>
      <c r="S843">
        <v>3.28</v>
      </c>
      <c r="T843">
        <v>35.29</v>
      </c>
      <c r="U843">
        <v>0</v>
      </c>
      <c r="V843">
        <v>1.5317674239507124</v>
      </c>
      <c r="W843">
        <v>0.50957835964574505</v>
      </c>
      <c r="X843">
        <v>2.86</v>
      </c>
      <c r="Y843">
        <v>22.18</v>
      </c>
      <c r="Z843">
        <v>65.97</v>
      </c>
      <c r="AA843">
        <v>6.19</v>
      </c>
      <c r="AB843">
        <v>3.48</v>
      </c>
      <c r="AC843">
        <v>16.91</v>
      </c>
      <c r="AD843">
        <v>0</v>
      </c>
      <c r="AE843">
        <v>1.1259663483401547</v>
      </c>
      <c r="AF843">
        <v>0.19224647567075945</v>
      </c>
      <c r="AG843">
        <v>7.45</v>
      </c>
      <c r="AH843">
        <v>28.36</v>
      </c>
      <c r="AI843">
        <v>33.67</v>
      </c>
    </row>
    <row r="844" spans="1:36" x14ac:dyDescent="0.5">
      <c r="A844">
        <v>180</v>
      </c>
      <c r="B844">
        <v>260</v>
      </c>
      <c r="C844">
        <v>0.1</v>
      </c>
      <c r="D844">
        <v>50</v>
      </c>
      <c r="E844">
        <v>500</v>
      </c>
      <c r="F844">
        <v>250</v>
      </c>
      <c r="G844">
        <v>5</v>
      </c>
      <c r="N844">
        <v>80</v>
      </c>
      <c r="Q844">
        <v>51.94</v>
      </c>
      <c r="R844">
        <v>6.63</v>
      </c>
      <c r="S844">
        <v>3.28</v>
      </c>
      <c r="T844">
        <v>35.29</v>
      </c>
      <c r="U844">
        <v>0</v>
      </c>
      <c r="V844">
        <v>1.5317674239507124</v>
      </c>
      <c r="W844">
        <v>0.50957835964574505</v>
      </c>
      <c r="X844">
        <v>2.86</v>
      </c>
      <c r="Y844">
        <v>22.18</v>
      </c>
      <c r="Z844">
        <v>68.319999999999993</v>
      </c>
      <c r="AA844">
        <v>6.25</v>
      </c>
      <c r="AB844">
        <v>3.44</v>
      </c>
      <c r="AC844">
        <v>15.97</v>
      </c>
      <c r="AD844">
        <v>0</v>
      </c>
      <c r="AE844">
        <v>1.0977751756440284</v>
      </c>
      <c r="AF844">
        <v>0.17531469555035131</v>
      </c>
      <c r="AG844">
        <v>6.02</v>
      </c>
      <c r="AH844">
        <v>29.38</v>
      </c>
      <c r="AI844">
        <v>38.61</v>
      </c>
    </row>
    <row r="845" spans="1:36" x14ac:dyDescent="0.5">
      <c r="A845">
        <v>240</v>
      </c>
      <c r="B845">
        <v>260</v>
      </c>
      <c r="C845">
        <v>0.1</v>
      </c>
      <c r="D845">
        <v>50</v>
      </c>
      <c r="E845">
        <v>500</v>
      </c>
      <c r="F845">
        <v>250</v>
      </c>
      <c r="G845">
        <v>5</v>
      </c>
      <c r="N845">
        <v>70</v>
      </c>
      <c r="Q845">
        <v>51.94</v>
      </c>
      <c r="R845">
        <v>6.63</v>
      </c>
      <c r="S845">
        <v>3.28</v>
      </c>
      <c r="T845">
        <v>35.29</v>
      </c>
      <c r="U845">
        <v>0</v>
      </c>
      <c r="V845">
        <v>1.5317674239507124</v>
      </c>
      <c r="W845">
        <v>0.50957835964574505</v>
      </c>
      <c r="X845">
        <v>2.86</v>
      </c>
      <c r="Y845">
        <v>22.18</v>
      </c>
      <c r="Z845">
        <v>70.069999999999993</v>
      </c>
      <c r="AA845">
        <v>6.42</v>
      </c>
      <c r="AB845">
        <v>3.52</v>
      </c>
      <c r="AC845">
        <v>11.85</v>
      </c>
      <c r="AD845">
        <v>0</v>
      </c>
      <c r="AE845">
        <v>1.0994719566148139</v>
      </c>
      <c r="AF845">
        <v>0.1268374482660197</v>
      </c>
      <c r="AG845">
        <v>8.14</v>
      </c>
      <c r="AH845">
        <v>30.57</v>
      </c>
      <c r="AI845">
        <v>52.08</v>
      </c>
    </row>
    <row r="846" spans="1:36" x14ac:dyDescent="0.5">
      <c r="A846">
        <v>240</v>
      </c>
      <c r="B846">
        <v>260</v>
      </c>
      <c r="C846">
        <v>0.1</v>
      </c>
      <c r="D846">
        <v>50</v>
      </c>
      <c r="E846">
        <v>500</v>
      </c>
      <c r="F846">
        <v>250</v>
      </c>
      <c r="G846">
        <v>5</v>
      </c>
      <c r="N846">
        <v>90</v>
      </c>
      <c r="Q846">
        <v>51.94</v>
      </c>
      <c r="R846">
        <v>6.63</v>
      </c>
      <c r="S846">
        <v>3.28</v>
      </c>
      <c r="T846">
        <v>35.29</v>
      </c>
      <c r="U846">
        <v>0</v>
      </c>
      <c r="V846">
        <v>1.5317674239507124</v>
      </c>
      <c r="W846">
        <v>0.50957835964574505</v>
      </c>
      <c r="X846">
        <v>2.86</v>
      </c>
      <c r="Y846">
        <v>22.18</v>
      </c>
      <c r="Z846">
        <v>68.989999999999995</v>
      </c>
      <c r="AA846">
        <v>6.64</v>
      </c>
      <c r="AB846">
        <v>4.74</v>
      </c>
      <c r="AC846">
        <v>16.399999999999999</v>
      </c>
      <c r="AD846">
        <v>0</v>
      </c>
      <c r="AE846">
        <v>1.1549499927525728</v>
      </c>
      <c r="AF846">
        <v>0.17828670821858239</v>
      </c>
      <c r="AG846">
        <v>2.69</v>
      </c>
      <c r="AH846">
        <v>30.03</v>
      </c>
      <c r="AI846">
        <v>36.08</v>
      </c>
    </row>
    <row r="847" spans="1:36" x14ac:dyDescent="0.5">
      <c r="A847">
        <v>20</v>
      </c>
      <c r="B847">
        <v>150</v>
      </c>
      <c r="C847">
        <v>0.1</v>
      </c>
      <c r="D847">
        <v>25</v>
      </c>
      <c r="E847">
        <v>500</v>
      </c>
      <c r="F847">
        <v>250</v>
      </c>
      <c r="G847">
        <v>10</v>
      </c>
      <c r="N847">
        <v>15.13</v>
      </c>
      <c r="O847">
        <v>34.840000000000003</v>
      </c>
      <c r="P847">
        <v>40.729999999999997</v>
      </c>
      <c r="Q847">
        <v>48.3</v>
      </c>
      <c r="R847">
        <v>6.66</v>
      </c>
      <c r="S847">
        <v>1</v>
      </c>
      <c r="T847">
        <v>43.7</v>
      </c>
      <c r="U847">
        <v>0.34</v>
      </c>
      <c r="V847">
        <v>1.654658385093168</v>
      </c>
      <c r="W847">
        <v>0.67857142857142871</v>
      </c>
      <c r="X847">
        <v>3</v>
      </c>
      <c r="Y847">
        <v>19.45</v>
      </c>
      <c r="Z847">
        <v>49.58</v>
      </c>
      <c r="AA847">
        <v>5.91</v>
      </c>
      <c r="AB847">
        <v>0.92</v>
      </c>
      <c r="AC847">
        <v>43.37</v>
      </c>
      <c r="AD847">
        <v>0.22</v>
      </c>
      <c r="AE847">
        <v>1.4304154901169825</v>
      </c>
      <c r="AF847">
        <v>0.65606091165792657</v>
      </c>
      <c r="AG847">
        <v>4.01</v>
      </c>
      <c r="AH847">
        <v>20.010000000000002</v>
      </c>
      <c r="AI847">
        <v>76</v>
      </c>
      <c r="AJ847" t="s">
        <v>223</v>
      </c>
    </row>
    <row r="848" spans="1:36" x14ac:dyDescent="0.5">
      <c r="A848">
        <v>20</v>
      </c>
      <c r="B848">
        <v>250</v>
      </c>
      <c r="C848">
        <v>0.1</v>
      </c>
      <c r="D848">
        <v>25</v>
      </c>
      <c r="E848">
        <v>500</v>
      </c>
      <c r="F848">
        <v>250</v>
      </c>
      <c r="G848">
        <v>10</v>
      </c>
      <c r="N848">
        <v>15.13</v>
      </c>
      <c r="O848">
        <v>34.840000000000003</v>
      </c>
      <c r="P848">
        <v>40.729999999999997</v>
      </c>
      <c r="Q848">
        <v>48.3</v>
      </c>
      <c r="R848">
        <v>6.66</v>
      </c>
      <c r="S848">
        <v>1</v>
      </c>
      <c r="T848">
        <v>43.7</v>
      </c>
      <c r="U848">
        <v>0.34</v>
      </c>
      <c r="V848">
        <v>1.654658385093168</v>
      </c>
      <c r="W848">
        <v>0.67857142857142871</v>
      </c>
      <c r="X848">
        <v>3</v>
      </c>
      <c r="Y848">
        <v>19.45</v>
      </c>
      <c r="Z848">
        <v>54.3</v>
      </c>
      <c r="AA848">
        <v>4.17</v>
      </c>
      <c r="AB848">
        <v>1.02</v>
      </c>
      <c r="AC848">
        <v>38.29</v>
      </c>
      <c r="AD848">
        <v>0.24</v>
      </c>
      <c r="AE848">
        <v>0.92154696132596692</v>
      </c>
      <c r="AF848">
        <v>0.52886740331491722</v>
      </c>
      <c r="AG848">
        <v>4.16</v>
      </c>
      <c r="AH848">
        <v>22.07</v>
      </c>
      <c r="AI848">
        <v>62</v>
      </c>
    </row>
    <row r="849" spans="1:36" x14ac:dyDescent="0.5">
      <c r="A849">
        <v>20</v>
      </c>
      <c r="B849">
        <v>350</v>
      </c>
      <c r="C849">
        <v>0.1</v>
      </c>
      <c r="D849">
        <v>25</v>
      </c>
      <c r="E849">
        <v>500</v>
      </c>
      <c r="F849">
        <v>250</v>
      </c>
      <c r="G849">
        <v>10</v>
      </c>
      <c r="N849">
        <v>15.13</v>
      </c>
      <c r="O849">
        <v>34.840000000000003</v>
      </c>
      <c r="P849">
        <v>40.729999999999997</v>
      </c>
      <c r="Q849">
        <v>48.3</v>
      </c>
      <c r="R849">
        <v>6.66</v>
      </c>
      <c r="S849">
        <v>1</v>
      </c>
      <c r="T849">
        <v>43.7</v>
      </c>
      <c r="U849">
        <v>0.34</v>
      </c>
      <c r="V849">
        <v>1.654658385093168</v>
      </c>
      <c r="W849">
        <v>0.67857142857142871</v>
      </c>
      <c r="X849">
        <v>3</v>
      </c>
      <c r="Y849">
        <v>19.45</v>
      </c>
      <c r="Z849">
        <v>66.02</v>
      </c>
      <c r="AA849">
        <v>4.1500000000000004</v>
      </c>
      <c r="AB849">
        <v>1.1200000000000001</v>
      </c>
      <c r="AC849">
        <v>28.43</v>
      </c>
      <c r="AD849">
        <v>0.28000000000000003</v>
      </c>
      <c r="AE849">
        <v>0.75431687367464417</v>
      </c>
      <c r="AF849">
        <v>0.3229703120266586</v>
      </c>
      <c r="AG849">
        <v>4.32</v>
      </c>
      <c r="AH849">
        <v>27.2</v>
      </c>
      <c r="AI849">
        <v>49</v>
      </c>
    </row>
    <row r="850" spans="1:36" x14ac:dyDescent="0.5">
      <c r="A850">
        <v>480</v>
      </c>
      <c r="B850">
        <v>220</v>
      </c>
      <c r="C850">
        <v>0.1</v>
      </c>
      <c r="D850">
        <v>25</v>
      </c>
      <c r="E850">
        <v>250</v>
      </c>
      <c r="F850">
        <v>100</v>
      </c>
      <c r="G850">
        <v>4</v>
      </c>
      <c r="Q850">
        <v>29.84</v>
      </c>
      <c r="R850">
        <v>8</v>
      </c>
      <c r="S850">
        <v>1.2</v>
      </c>
      <c r="T850">
        <v>55.023000000000003</v>
      </c>
      <c r="U850">
        <v>5.9370000000000003</v>
      </c>
      <c r="V850">
        <v>3.2171581769436997</v>
      </c>
      <c r="W850">
        <v>1.3829507372654155</v>
      </c>
      <c r="X850">
        <v>40.5</v>
      </c>
      <c r="Y850">
        <v>10.27</v>
      </c>
      <c r="Z850">
        <v>43.79</v>
      </c>
      <c r="AA850">
        <v>5.26</v>
      </c>
      <c r="AB850">
        <v>1.44</v>
      </c>
      <c r="AC850">
        <v>44.620000000000005</v>
      </c>
      <c r="AD850">
        <v>4.8899999999999997</v>
      </c>
      <c r="AE850">
        <v>1.4414249828728021</v>
      </c>
      <c r="AF850">
        <v>0.76421557433203935</v>
      </c>
      <c r="AG850">
        <v>30</v>
      </c>
      <c r="AH850">
        <v>16.63</v>
      </c>
      <c r="AI850">
        <v>8.5</v>
      </c>
      <c r="AJ850" t="s">
        <v>225</v>
      </c>
    </row>
    <row r="851" spans="1:36" x14ac:dyDescent="0.5">
      <c r="A851">
        <v>480</v>
      </c>
      <c r="B851">
        <v>245</v>
      </c>
      <c r="C851">
        <v>0.1</v>
      </c>
      <c r="D851">
        <v>25</v>
      </c>
      <c r="E851">
        <v>250</v>
      </c>
      <c r="F851">
        <v>100</v>
      </c>
      <c r="G851">
        <v>4</v>
      </c>
      <c r="Q851">
        <v>29.84</v>
      </c>
      <c r="R851">
        <v>8</v>
      </c>
      <c r="S851">
        <v>1.2</v>
      </c>
      <c r="T851">
        <v>55.023000000000003</v>
      </c>
      <c r="U851">
        <v>5.9370000000000003</v>
      </c>
      <c r="V851">
        <v>3.2171581769436997</v>
      </c>
      <c r="W851">
        <v>1.3829507372654155</v>
      </c>
      <c r="X851">
        <v>40.5</v>
      </c>
      <c r="Y851">
        <v>10.27</v>
      </c>
      <c r="Z851">
        <v>55.67</v>
      </c>
      <c r="AA851">
        <v>6.26</v>
      </c>
      <c r="AB851">
        <v>1.96</v>
      </c>
      <c r="AC851">
        <v>31.539999999999992</v>
      </c>
      <c r="AD851">
        <v>4.57</v>
      </c>
      <c r="AE851">
        <v>1.3493802766301417</v>
      </c>
      <c r="AF851">
        <v>0.42491467576791792</v>
      </c>
      <c r="AG851">
        <v>23.1</v>
      </c>
      <c r="AH851">
        <v>24.27</v>
      </c>
      <c r="AI851">
        <v>12</v>
      </c>
    </row>
    <row r="852" spans="1:36" x14ac:dyDescent="0.5">
      <c r="A852">
        <v>480</v>
      </c>
      <c r="B852">
        <v>276</v>
      </c>
      <c r="C852">
        <v>0.1</v>
      </c>
      <c r="D852">
        <v>25</v>
      </c>
      <c r="E852">
        <v>250</v>
      </c>
      <c r="F852">
        <v>100</v>
      </c>
      <c r="G852">
        <v>4</v>
      </c>
      <c r="Q852">
        <v>29.84</v>
      </c>
      <c r="R852">
        <v>8</v>
      </c>
      <c r="S852">
        <v>1.2</v>
      </c>
      <c r="T852">
        <v>55.023000000000003</v>
      </c>
      <c r="U852">
        <v>5.9370000000000003</v>
      </c>
      <c r="V852">
        <v>3.2171581769436997</v>
      </c>
      <c r="W852">
        <v>1.3829507372654155</v>
      </c>
      <c r="X852">
        <v>40.5</v>
      </c>
      <c r="Y852">
        <v>10.27</v>
      </c>
      <c r="Z852">
        <v>61.74</v>
      </c>
      <c r="AA852">
        <v>7.54</v>
      </c>
      <c r="AB852">
        <v>2.0099999999999998</v>
      </c>
      <c r="AC852">
        <v>25.179999999999993</v>
      </c>
      <c r="AD852">
        <v>3.53</v>
      </c>
      <c r="AE852">
        <v>1.4655004859086491</v>
      </c>
      <c r="AF852">
        <v>0.30587949465500475</v>
      </c>
      <c r="AG852">
        <v>18.899999999999999</v>
      </c>
      <c r="AH852">
        <v>26.3</v>
      </c>
      <c r="AI852">
        <v>13</v>
      </c>
    </row>
    <row r="853" spans="1:36" x14ac:dyDescent="0.5">
      <c r="A853">
        <v>480</v>
      </c>
      <c r="B853">
        <v>285</v>
      </c>
      <c r="C853">
        <v>0.1</v>
      </c>
      <c r="D853">
        <v>25</v>
      </c>
      <c r="E853">
        <v>250</v>
      </c>
      <c r="F853">
        <v>100</v>
      </c>
      <c r="G853">
        <v>4</v>
      </c>
      <c r="Q853">
        <v>29.84</v>
      </c>
      <c r="R853">
        <v>8</v>
      </c>
      <c r="S853">
        <v>1.2</v>
      </c>
      <c r="T853">
        <v>55.023000000000003</v>
      </c>
      <c r="U853">
        <v>5.9370000000000003</v>
      </c>
      <c r="V853">
        <v>3.2171581769436997</v>
      </c>
      <c r="W853">
        <v>1.3829507372654155</v>
      </c>
      <c r="X853">
        <v>40.5</v>
      </c>
      <c r="Y853">
        <v>10.27</v>
      </c>
      <c r="Z853">
        <v>61.86</v>
      </c>
      <c r="AA853">
        <v>7.06</v>
      </c>
      <c r="AB853">
        <v>1.84</v>
      </c>
      <c r="AC853">
        <v>25.89</v>
      </c>
      <c r="AD853">
        <v>3.35</v>
      </c>
      <c r="AE853">
        <v>1.3695441319107662</v>
      </c>
      <c r="AF853">
        <v>0.31389427740058196</v>
      </c>
      <c r="AG853">
        <v>20</v>
      </c>
      <c r="AH853">
        <v>26.35</v>
      </c>
      <c r="AI853">
        <v>12</v>
      </c>
    </row>
    <row r="854" spans="1:36" x14ac:dyDescent="0.5">
      <c r="A854">
        <v>480</v>
      </c>
      <c r="B854">
        <v>220</v>
      </c>
      <c r="C854">
        <v>0.1</v>
      </c>
      <c r="D854">
        <v>25</v>
      </c>
      <c r="E854">
        <v>250</v>
      </c>
      <c r="F854">
        <v>100</v>
      </c>
      <c r="G854">
        <v>4</v>
      </c>
      <c r="Q854">
        <v>30.68</v>
      </c>
      <c r="R854">
        <v>8</v>
      </c>
      <c r="S854">
        <v>1.2</v>
      </c>
      <c r="T854">
        <v>54.183</v>
      </c>
      <c r="U854">
        <v>5.9370000000000003</v>
      </c>
      <c r="V854">
        <v>3.1290743155149934</v>
      </c>
      <c r="W854">
        <v>1.3245518252933508</v>
      </c>
      <c r="X854">
        <v>40.5</v>
      </c>
      <c r="Y854">
        <v>11</v>
      </c>
      <c r="Z854">
        <v>54.53</v>
      </c>
      <c r="AA854">
        <v>6.93</v>
      </c>
      <c r="AB854">
        <v>1.94</v>
      </c>
      <c r="AC854">
        <v>33.480000000000004</v>
      </c>
      <c r="AD854">
        <v>3.12</v>
      </c>
      <c r="AE854">
        <v>1.5250320924261875</v>
      </c>
      <c r="AF854">
        <v>0.46048046946634885</v>
      </c>
      <c r="AG854">
        <v>14.5</v>
      </c>
      <c r="AH854">
        <v>22.65</v>
      </c>
      <c r="AI854">
        <v>19.899999999999999</v>
      </c>
    </row>
    <row r="855" spans="1:36" x14ac:dyDescent="0.5">
      <c r="A855">
        <v>480</v>
      </c>
      <c r="B855">
        <v>245</v>
      </c>
      <c r="C855">
        <v>0.1</v>
      </c>
      <c r="D855">
        <v>25</v>
      </c>
      <c r="E855">
        <v>250</v>
      </c>
      <c r="F855">
        <v>100</v>
      </c>
      <c r="G855">
        <v>4</v>
      </c>
      <c r="Q855">
        <v>30.68</v>
      </c>
      <c r="R855">
        <v>8</v>
      </c>
      <c r="S855">
        <v>1.2</v>
      </c>
      <c r="T855">
        <v>54.183</v>
      </c>
      <c r="U855">
        <v>5.9370000000000003</v>
      </c>
      <c r="V855">
        <v>3.1290743155149934</v>
      </c>
      <c r="W855">
        <v>1.3245518252933508</v>
      </c>
      <c r="X855">
        <v>40.5</v>
      </c>
      <c r="Y855">
        <v>11</v>
      </c>
      <c r="Z855">
        <v>57.39</v>
      </c>
      <c r="AA855">
        <v>8.23</v>
      </c>
      <c r="AB855">
        <v>1.91</v>
      </c>
      <c r="AC855">
        <v>30.14</v>
      </c>
      <c r="AD855">
        <v>2.33</v>
      </c>
      <c r="AE855">
        <v>1.7208572922111869</v>
      </c>
      <c r="AF855">
        <v>0.39388395190799796</v>
      </c>
      <c r="AG855">
        <v>16.5</v>
      </c>
      <c r="AH855">
        <v>24.78</v>
      </c>
      <c r="AI855">
        <v>19</v>
      </c>
    </row>
    <row r="856" spans="1:36" x14ac:dyDescent="0.5">
      <c r="A856">
        <v>480</v>
      </c>
      <c r="B856">
        <v>276</v>
      </c>
      <c r="C856">
        <v>0.1</v>
      </c>
      <c r="D856">
        <v>25</v>
      </c>
      <c r="E856">
        <v>250</v>
      </c>
      <c r="F856">
        <v>100</v>
      </c>
      <c r="G856">
        <v>4</v>
      </c>
      <c r="Q856">
        <v>30.68</v>
      </c>
      <c r="R856">
        <v>8</v>
      </c>
      <c r="S856">
        <v>1.2</v>
      </c>
      <c r="T856">
        <v>54.183</v>
      </c>
      <c r="U856">
        <v>5.9370000000000003</v>
      </c>
      <c r="V856">
        <v>3.1290743155149934</v>
      </c>
      <c r="W856">
        <v>1.3245518252933508</v>
      </c>
      <c r="X856">
        <v>40.5</v>
      </c>
      <c r="Y856">
        <v>11</v>
      </c>
      <c r="Z856">
        <v>67.3</v>
      </c>
      <c r="AA856">
        <v>10.59</v>
      </c>
      <c r="AB856">
        <v>2.02</v>
      </c>
      <c r="AC856">
        <v>18.13000000000001</v>
      </c>
      <c r="AD856">
        <v>1.96</v>
      </c>
      <c r="AE856">
        <v>1.888261515601783</v>
      </c>
      <c r="AF856">
        <v>0.20204309063893028</v>
      </c>
      <c r="AG856">
        <v>16.8</v>
      </c>
      <c r="AH856">
        <v>29.69</v>
      </c>
      <c r="AI856">
        <v>17.600000000000001</v>
      </c>
    </row>
    <row r="857" spans="1:36" x14ac:dyDescent="0.5">
      <c r="A857">
        <v>480</v>
      </c>
      <c r="B857">
        <v>285</v>
      </c>
      <c r="C857">
        <v>0.1</v>
      </c>
      <c r="D857">
        <v>25</v>
      </c>
      <c r="E857">
        <v>250</v>
      </c>
      <c r="F857">
        <v>100</v>
      </c>
      <c r="G857">
        <v>4</v>
      </c>
      <c r="Q857">
        <v>30.68</v>
      </c>
      <c r="R857">
        <v>8</v>
      </c>
      <c r="S857">
        <v>1.2</v>
      </c>
      <c r="T857">
        <v>54.183</v>
      </c>
      <c r="U857">
        <v>5.9370000000000003</v>
      </c>
      <c r="V857">
        <v>3.1290743155149934</v>
      </c>
      <c r="W857">
        <v>1.3245518252933508</v>
      </c>
      <c r="X857">
        <v>40.5</v>
      </c>
      <c r="Y857">
        <v>11</v>
      </c>
      <c r="Z857">
        <v>67.52</v>
      </c>
      <c r="AA857">
        <v>9.76</v>
      </c>
      <c r="AB857">
        <v>1.9</v>
      </c>
      <c r="AC857">
        <v>19.02</v>
      </c>
      <c r="AD857">
        <v>1.8</v>
      </c>
      <c r="AE857">
        <v>1.7345971563981044</v>
      </c>
      <c r="AF857">
        <v>0.21127073459715642</v>
      </c>
      <c r="AG857">
        <v>15</v>
      </c>
      <c r="AH857">
        <v>29.78</v>
      </c>
      <c r="AI857">
        <v>17.399999999999999</v>
      </c>
    </row>
    <row r="858" spans="1:36" x14ac:dyDescent="0.5">
      <c r="A858">
        <v>30</v>
      </c>
      <c r="B858">
        <v>200</v>
      </c>
      <c r="C858">
        <v>0.1</v>
      </c>
      <c r="D858">
        <v>30</v>
      </c>
      <c r="E858">
        <v>500</v>
      </c>
      <c r="F858">
        <v>300</v>
      </c>
      <c r="G858">
        <v>10</v>
      </c>
      <c r="O858">
        <v>34.299999999999997</v>
      </c>
      <c r="P858">
        <v>54</v>
      </c>
      <c r="Q858">
        <v>63.8</v>
      </c>
      <c r="R858">
        <v>4.0999999999999996</v>
      </c>
      <c r="S858">
        <v>1.5</v>
      </c>
      <c r="T858">
        <v>26</v>
      </c>
      <c r="U858">
        <v>4.5999999999999996</v>
      </c>
      <c r="V858">
        <v>0.77115987460815039</v>
      </c>
      <c r="W858">
        <v>0.30564263322884017</v>
      </c>
      <c r="X858">
        <v>11.1</v>
      </c>
      <c r="Y858">
        <v>27.4</v>
      </c>
      <c r="Z858">
        <v>71.400000000000006</v>
      </c>
      <c r="AA858">
        <v>4.8</v>
      </c>
      <c r="AB858">
        <v>1.8</v>
      </c>
      <c r="AC858">
        <v>19</v>
      </c>
      <c r="AD858">
        <v>3</v>
      </c>
      <c r="AE858">
        <v>0.80672268907563016</v>
      </c>
      <c r="AF858">
        <v>0.19957983193277309</v>
      </c>
      <c r="AG858">
        <v>6.6</v>
      </c>
      <c r="AH858">
        <v>29.8</v>
      </c>
      <c r="AI858">
        <v>97</v>
      </c>
      <c r="AJ858" t="s">
        <v>227</v>
      </c>
    </row>
    <row r="859" spans="1:36" x14ac:dyDescent="0.5">
      <c r="A859">
        <v>30</v>
      </c>
      <c r="B859">
        <v>230</v>
      </c>
      <c r="C859">
        <v>0.1</v>
      </c>
      <c r="D859">
        <v>30</v>
      </c>
      <c r="E859">
        <v>500</v>
      </c>
      <c r="F859">
        <v>300</v>
      </c>
      <c r="G859">
        <v>10</v>
      </c>
      <c r="O859">
        <v>34.299999999999997</v>
      </c>
      <c r="P859">
        <v>54</v>
      </c>
      <c r="Q859">
        <v>63.8</v>
      </c>
      <c r="R859">
        <v>4.0999999999999996</v>
      </c>
      <c r="S859">
        <v>1.5</v>
      </c>
      <c r="T859">
        <v>26</v>
      </c>
      <c r="U859">
        <v>4.5999999999999996</v>
      </c>
      <c r="V859">
        <v>0.77115987460815039</v>
      </c>
      <c r="W859">
        <v>0.30564263322884017</v>
      </c>
      <c r="X859">
        <v>11.1</v>
      </c>
      <c r="Y859">
        <v>27.4</v>
      </c>
      <c r="Z859">
        <v>69.2</v>
      </c>
      <c r="AA859">
        <v>4.5999999999999996</v>
      </c>
      <c r="AB859">
        <v>1.7</v>
      </c>
      <c r="AC859">
        <v>20.8</v>
      </c>
      <c r="AD859">
        <v>3.8</v>
      </c>
      <c r="AE859">
        <v>0.79768786127167624</v>
      </c>
      <c r="AF859">
        <v>0.22543352601156069</v>
      </c>
      <c r="AG859">
        <v>9.5</v>
      </c>
      <c r="AH859">
        <v>29</v>
      </c>
      <c r="AI859">
        <v>99.2</v>
      </c>
    </row>
    <row r="860" spans="1:36" x14ac:dyDescent="0.5">
      <c r="A860">
        <v>30</v>
      </c>
      <c r="B860">
        <v>260</v>
      </c>
      <c r="C860">
        <v>0.1</v>
      </c>
      <c r="D860">
        <v>30</v>
      </c>
      <c r="E860">
        <v>500</v>
      </c>
      <c r="F860">
        <v>300</v>
      </c>
      <c r="G860">
        <v>10</v>
      </c>
      <c r="O860">
        <v>34.299999999999997</v>
      </c>
      <c r="P860">
        <v>54</v>
      </c>
      <c r="Q860">
        <v>63.8</v>
      </c>
      <c r="R860">
        <v>4.0999999999999996</v>
      </c>
      <c r="S860">
        <v>1.5</v>
      </c>
      <c r="T860">
        <v>26</v>
      </c>
      <c r="U860">
        <v>4.5999999999999996</v>
      </c>
      <c r="V860">
        <v>0.77115987460815039</v>
      </c>
      <c r="W860">
        <v>0.30564263322884017</v>
      </c>
      <c r="X860">
        <v>11.1</v>
      </c>
      <c r="Y860">
        <v>27.4</v>
      </c>
      <c r="Z860">
        <v>69.099999999999994</v>
      </c>
      <c r="AA860">
        <v>4.3</v>
      </c>
      <c r="AB860">
        <v>1.7</v>
      </c>
      <c r="AC860">
        <v>21.3</v>
      </c>
      <c r="AD860">
        <v>3.5</v>
      </c>
      <c r="AE860">
        <v>0.74674384949348771</v>
      </c>
      <c r="AF860">
        <v>0.23118668596237341</v>
      </c>
      <c r="AG860">
        <v>6.6</v>
      </c>
      <c r="AH860">
        <v>28.1</v>
      </c>
      <c r="AI860">
        <v>96.1</v>
      </c>
    </row>
    <row r="861" spans="1:36" x14ac:dyDescent="0.5">
      <c r="A861">
        <v>30</v>
      </c>
      <c r="B861">
        <v>200</v>
      </c>
      <c r="C861">
        <v>0.1</v>
      </c>
      <c r="D861">
        <v>30</v>
      </c>
      <c r="E861">
        <v>500</v>
      </c>
      <c r="F861">
        <v>300</v>
      </c>
      <c r="G861">
        <v>10</v>
      </c>
      <c r="O861">
        <v>84.5</v>
      </c>
      <c r="P861">
        <v>12.8</v>
      </c>
      <c r="Q861">
        <v>48.7</v>
      </c>
      <c r="R861">
        <v>5.7</v>
      </c>
      <c r="S861">
        <v>0.2</v>
      </c>
      <c r="T861">
        <v>45.4</v>
      </c>
      <c r="U861">
        <v>0</v>
      </c>
      <c r="V861">
        <v>1.4045174537987679</v>
      </c>
      <c r="W861">
        <v>0.69917864476386027</v>
      </c>
      <c r="X861">
        <v>1.3</v>
      </c>
      <c r="Y861">
        <v>19.7</v>
      </c>
      <c r="Z861">
        <v>52.4</v>
      </c>
      <c r="AA861">
        <v>5.8</v>
      </c>
      <c r="AB861">
        <v>0.3</v>
      </c>
      <c r="AC861">
        <v>41.2</v>
      </c>
      <c r="AD861">
        <v>0</v>
      </c>
      <c r="AE861">
        <v>1.3282442748091603</v>
      </c>
      <c r="AF861">
        <v>0.58969465648854968</v>
      </c>
      <c r="AG861">
        <v>0.1</v>
      </c>
      <c r="AH861">
        <v>20.399999999999999</v>
      </c>
      <c r="AI861">
        <v>68.8</v>
      </c>
    </row>
    <row r="862" spans="1:36" x14ac:dyDescent="0.5">
      <c r="A862">
        <v>30</v>
      </c>
      <c r="B862">
        <v>230</v>
      </c>
      <c r="C862">
        <v>0.1</v>
      </c>
      <c r="D862">
        <v>30</v>
      </c>
      <c r="E862">
        <v>500</v>
      </c>
      <c r="F862">
        <v>300</v>
      </c>
      <c r="G862">
        <v>10</v>
      </c>
      <c r="O862">
        <v>84.5</v>
      </c>
      <c r="P862">
        <v>12.8</v>
      </c>
      <c r="Q862">
        <v>48.7</v>
      </c>
      <c r="R862">
        <v>5.7</v>
      </c>
      <c r="S862">
        <v>0.2</v>
      </c>
      <c r="T862">
        <v>45.4</v>
      </c>
      <c r="U862">
        <v>0</v>
      </c>
      <c r="V862">
        <v>1.4045174537987679</v>
      </c>
      <c r="W862">
        <v>0.69917864476386027</v>
      </c>
      <c r="X862">
        <v>1.3</v>
      </c>
      <c r="Y862">
        <v>19.7</v>
      </c>
      <c r="Z862">
        <v>59.3</v>
      </c>
      <c r="AA862">
        <v>5.4</v>
      </c>
      <c r="AB862">
        <v>0.3</v>
      </c>
      <c r="AC862">
        <v>35</v>
      </c>
      <c r="AD862">
        <v>0</v>
      </c>
      <c r="AE862">
        <v>1.0927487352445195</v>
      </c>
      <c r="AF862">
        <v>0.44266441821247893</v>
      </c>
      <c r="AG862">
        <v>0</v>
      </c>
      <c r="AH862">
        <v>24.6</v>
      </c>
      <c r="AI862">
        <v>57.2</v>
      </c>
    </row>
    <row r="863" spans="1:36" x14ac:dyDescent="0.5">
      <c r="A863">
        <v>30</v>
      </c>
      <c r="B863">
        <v>260</v>
      </c>
      <c r="C863">
        <v>0.1</v>
      </c>
      <c r="D863">
        <v>30</v>
      </c>
      <c r="E863">
        <v>500</v>
      </c>
      <c r="F863">
        <v>300</v>
      </c>
      <c r="G863">
        <v>10</v>
      </c>
      <c r="O863">
        <v>84.5</v>
      </c>
      <c r="P863">
        <v>12.8</v>
      </c>
      <c r="Q863">
        <v>48.7</v>
      </c>
      <c r="R863">
        <v>5.7</v>
      </c>
      <c r="S863">
        <v>0.2</v>
      </c>
      <c r="T863">
        <v>45.4</v>
      </c>
      <c r="U863">
        <v>0</v>
      </c>
      <c r="V863">
        <v>1.4045174537987679</v>
      </c>
      <c r="W863">
        <v>0.69917864476386027</v>
      </c>
      <c r="X863">
        <v>1.3</v>
      </c>
      <c r="Y863">
        <v>19.7</v>
      </c>
      <c r="Z863">
        <v>69.599999999999994</v>
      </c>
      <c r="AA863">
        <v>4.4000000000000004</v>
      </c>
      <c r="AB863">
        <v>0.3</v>
      </c>
      <c r="AC863">
        <v>25.6</v>
      </c>
      <c r="AD863">
        <v>0</v>
      </c>
      <c r="AE863">
        <v>0.75862068965517249</v>
      </c>
      <c r="AF863">
        <v>0.27586206896551724</v>
      </c>
      <c r="AG863">
        <v>0.2</v>
      </c>
      <c r="AH863">
        <v>28.6</v>
      </c>
      <c r="AI863">
        <v>46.2</v>
      </c>
    </row>
    <row r="864" spans="1:36" x14ac:dyDescent="0.5">
      <c r="A864">
        <v>30</v>
      </c>
      <c r="B864">
        <v>200</v>
      </c>
      <c r="C864">
        <v>0.1</v>
      </c>
      <c r="D864">
        <v>30</v>
      </c>
      <c r="E864">
        <v>500</v>
      </c>
      <c r="F864">
        <v>300</v>
      </c>
      <c r="G864">
        <v>10</v>
      </c>
      <c r="O864">
        <v>59.4</v>
      </c>
      <c r="P864">
        <v>33.4</v>
      </c>
      <c r="Q864">
        <v>56.25</v>
      </c>
      <c r="R864">
        <v>4.9000000000000004</v>
      </c>
      <c r="S864">
        <v>0.85</v>
      </c>
      <c r="T864">
        <v>35.700000000000003</v>
      </c>
      <c r="U864">
        <v>2.2999999999999998</v>
      </c>
      <c r="V864">
        <v>1.0453333333333334</v>
      </c>
      <c r="W864">
        <v>0.47600000000000003</v>
      </c>
      <c r="X864">
        <v>6.2</v>
      </c>
      <c r="Y864">
        <v>23.55</v>
      </c>
      <c r="Z864">
        <v>58.2</v>
      </c>
      <c r="AA864">
        <v>5.3</v>
      </c>
      <c r="AB864">
        <v>0.8</v>
      </c>
      <c r="AC864">
        <v>34.4</v>
      </c>
      <c r="AD864">
        <v>1.2</v>
      </c>
      <c r="AE864">
        <v>1.0927835051546391</v>
      </c>
      <c r="AF864">
        <v>0.44329896907216487</v>
      </c>
      <c r="AG864">
        <v>3.7</v>
      </c>
      <c r="AH864">
        <v>24.8</v>
      </c>
      <c r="AI864">
        <v>80.5</v>
      </c>
    </row>
    <row r="865" spans="1:36" x14ac:dyDescent="0.5">
      <c r="A865">
        <v>30</v>
      </c>
      <c r="B865">
        <v>230</v>
      </c>
      <c r="C865">
        <v>0.1</v>
      </c>
      <c r="D865">
        <v>30</v>
      </c>
      <c r="E865">
        <v>500</v>
      </c>
      <c r="F865">
        <v>300</v>
      </c>
      <c r="G865">
        <v>10</v>
      </c>
      <c r="O865">
        <v>59.4</v>
      </c>
      <c r="P865">
        <v>33.4</v>
      </c>
      <c r="Q865">
        <v>56.25</v>
      </c>
      <c r="R865">
        <v>4.9000000000000004</v>
      </c>
      <c r="S865">
        <v>0.85</v>
      </c>
      <c r="T865">
        <v>35.700000000000003</v>
      </c>
      <c r="U865">
        <v>2.2999999999999998</v>
      </c>
      <c r="V865">
        <v>1.0453333333333334</v>
      </c>
      <c r="W865">
        <v>0.47600000000000003</v>
      </c>
      <c r="X865">
        <v>6.2</v>
      </c>
      <c r="Y865">
        <v>23.55</v>
      </c>
      <c r="Z865">
        <v>67.2</v>
      </c>
      <c r="AA865">
        <v>4.2</v>
      </c>
      <c r="AB865">
        <v>1.1000000000000001</v>
      </c>
      <c r="AC865">
        <v>25.6</v>
      </c>
      <c r="AD865">
        <v>2</v>
      </c>
      <c r="AE865">
        <v>0.75</v>
      </c>
      <c r="AF865">
        <v>0.2857142857142857</v>
      </c>
      <c r="AG865">
        <v>5.3</v>
      </c>
      <c r="AH865">
        <v>26.1</v>
      </c>
      <c r="AI865">
        <v>66.900000000000006</v>
      </c>
    </row>
    <row r="866" spans="1:36" x14ac:dyDescent="0.5">
      <c r="A866">
        <v>30</v>
      </c>
      <c r="B866">
        <v>260</v>
      </c>
      <c r="C866">
        <v>0.1</v>
      </c>
      <c r="D866">
        <v>30</v>
      </c>
      <c r="E866">
        <v>500</v>
      </c>
      <c r="F866">
        <v>300</v>
      </c>
      <c r="G866">
        <v>10</v>
      </c>
      <c r="O866">
        <v>59.4</v>
      </c>
      <c r="P866">
        <v>33.4</v>
      </c>
      <c r="Q866">
        <v>56.25</v>
      </c>
      <c r="R866">
        <v>4.9000000000000004</v>
      </c>
      <c r="S866">
        <v>0.85</v>
      </c>
      <c r="T866">
        <v>35.700000000000003</v>
      </c>
      <c r="U866">
        <v>2.2999999999999998</v>
      </c>
      <c r="V866">
        <v>1.0453333333333334</v>
      </c>
      <c r="W866">
        <v>0.47600000000000003</v>
      </c>
      <c r="X866">
        <v>6.2</v>
      </c>
      <c r="Y866">
        <v>23.55</v>
      </c>
      <c r="Z866">
        <v>68.7</v>
      </c>
      <c r="AA866">
        <v>4.0999999999999996</v>
      </c>
      <c r="AB866">
        <v>1.1000000000000001</v>
      </c>
      <c r="AC866">
        <v>24.4</v>
      </c>
      <c r="AD866">
        <v>1.6</v>
      </c>
      <c r="AE866">
        <v>0.71615720524017457</v>
      </c>
      <c r="AF866">
        <v>0.26637554585152834</v>
      </c>
      <c r="AG866">
        <v>3</v>
      </c>
      <c r="AH866">
        <v>27.3</v>
      </c>
      <c r="AI866">
        <v>67.2</v>
      </c>
    </row>
    <row r="867" spans="1:36" x14ac:dyDescent="0.5">
      <c r="A867">
        <v>5</v>
      </c>
      <c r="B867">
        <v>190</v>
      </c>
      <c r="C867">
        <v>0.1</v>
      </c>
      <c r="D867">
        <v>10</v>
      </c>
      <c r="E867">
        <v>600</v>
      </c>
      <c r="F867">
        <v>60</v>
      </c>
      <c r="G867">
        <v>6</v>
      </c>
      <c r="O867">
        <v>87.5</v>
      </c>
      <c r="P867">
        <v>11.7</v>
      </c>
      <c r="Q867">
        <v>46.7</v>
      </c>
      <c r="R867">
        <v>6</v>
      </c>
      <c r="S867">
        <v>0.2</v>
      </c>
      <c r="T867">
        <v>45.3</v>
      </c>
      <c r="U867">
        <v>0</v>
      </c>
      <c r="V867">
        <v>1.5417558886509635</v>
      </c>
      <c r="W867">
        <v>0.72751605995717328</v>
      </c>
      <c r="X867">
        <v>0.8</v>
      </c>
      <c r="Y867">
        <v>16.266550000000002</v>
      </c>
      <c r="Z867">
        <v>48.8</v>
      </c>
      <c r="AA867">
        <v>5.9</v>
      </c>
      <c r="AB867">
        <v>0.2</v>
      </c>
      <c r="AC867">
        <v>44.7</v>
      </c>
      <c r="AD867">
        <v>0</v>
      </c>
      <c r="AE867">
        <v>1.4508196721311477</v>
      </c>
      <c r="AF867">
        <v>0.68698770491803285</v>
      </c>
      <c r="AG867">
        <v>0.5</v>
      </c>
      <c r="AH867">
        <v>19.899999999999999</v>
      </c>
      <c r="AI867">
        <v>83.5</v>
      </c>
      <c r="AJ867" t="s">
        <v>229</v>
      </c>
    </row>
    <row r="868" spans="1:36" x14ac:dyDescent="0.5">
      <c r="A868">
        <v>5</v>
      </c>
      <c r="B868">
        <v>225</v>
      </c>
      <c r="C868">
        <v>0.1</v>
      </c>
      <c r="D868">
        <v>10</v>
      </c>
      <c r="E868">
        <v>600</v>
      </c>
      <c r="F868">
        <v>60</v>
      </c>
      <c r="G868">
        <v>6</v>
      </c>
      <c r="O868">
        <v>87.5</v>
      </c>
      <c r="P868">
        <v>11.7</v>
      </c>
      <c r="Q868">
        <v>46.7</v>
      </c>
      <c r="R868">
        <v>6</v>
      </c>
      <c r="S868">
        <v>0.2</v>
      </c>
      <c r="T868">
        <v>45.3</v>
      </c>
      <c r="U868">
        <v>0</v>
      </c>
      <c r="V868">
        <v>1.5417558886509635</v>
      </c>
      <c r="W868">
        <v>0.72751605995717328</v>
      </c>
      <c r="X868">
        <v>0.8</v>
      </c>
      <c r="Y868">
        <v>16.266550000000002</v>
      </c>
      <c r="Z868">
        <v>49.6</v>
      </c>
      <c r="AA868">
        <v>5.9</v>
      </c>
      <c r="AB868">
        <v>0.3</v>
      </c>
      <c r="AC868">
        <v>41.8</v>
      </c>
      <c r="AD868">
        <v>0</v>
      </c>
      <c r="AE868">
        <v>1.4274193548387095</v>
      </c>
      <c r="AF868">
        <v>0.63205645161290314</v>
      </c>
      <c r="AG868">
        <v>0.7</v>
      </c>
      <c r="AH868">
        <v>21.4</v>
      </c>
      <c r="AI868">
        <v>66.8</v>
      </c>
    </row>
    <row r="869" spans="1:36" x14ac:dyDescent="0.5">
      <c r="A869">
        <v>5</v>
      </c>
      <c r="B869">
        <v>260</v>
      </c>
      <c r="C869">
        <v>0.1</v>
      </c>
      <c r="D869">
        <v>10</v>
      </c>
      <c r="E869">
        <v>600</v>
      </c>
      <c r="F869">
        <v>60</v>
      </c>
      <c r="G869">
        <v>6</v>
      </c>
      <c r="O869">
        <v>87.5</v>
      </c>
      <c r="P869">
        <v>11.7</v>
      </c>
      <c r="Q869">
        <v>46.7</v>
      </c>
      <c r="R869">
        <v>6</v>
      </c>
      <c r="S869">
        <v>0.2</v>
      </c>
      <c r="T869">
        <v>45.3</v>
      </c>
      <c r="U869">
        <v>0</v>
      </c>
      <c r="V869">
        <v>1.5417558886509635</v>
      </c>
      <c r="W869">
        <v>0.72751605995717328</v>
      </c>
      <c r="X869">
        <v>0.8</v>
      </c>
      <c r="Y869">
        <v>16.266550000000002</v>
      </c>
      <c r="Z869">
        <v>61.2</v>
      </c>
      <c r="AA869">
        <v>5.3</v>
      </c>
      <c r="AB869">
        <v>0.4</v>
      </c>
      <c r="AC869">
        <v>31.6</v>
      </c>
      <c r="AD869">
        <v>0</v>
      </c>
      <c r="AE869">
        <v>1.0392156862745097</v>
      </c>
      <c r="AF869">
        <v>0.38725490196078427</v>
      </c>
      <c r="AG869">
        <v>0.9</v>
      </c>
      <c r="AH869">
        <v>25.7</v>
      </c>
      <c r="AI869">
        <v>47.8</v>
      </c>
    </row>
    <row r="870" spans="1:36" x14ac:dyDescent="0.5">
      <c r="A870">
        <v>600</v>
      </c>
      <c r="B870">
        <v>180</v>
      </c>
      <c r="C870">
        <v>0.1</v>
      </c>
      <c r="D870">
        <v>5</v>
      </c>
      <c r="E870">
        <v>50</v>
      </c>
      <c r="F870">
        <v>20</v>
      </c>
      <c r="G870">
        <v>4</v>
      </c>
      <c r="O870">
        <v>81.41</v>
      </c>
      <c r="P870">
        <v>1.43</v>
      </c>
      <c r="Q870">
        <v>39.57</v>
      </c>
      <c r="R870">
        <v>5.78</v>
      </c>
      <c r="S870">
        <v>3.37</v>
      </c>
      <c r="T870">
        <v>33.65</v>
      </c>
      <c r="U870">
        <v>0.48</v>
      </c>
      <c r="V870">
        <v>1.7528430629264595</v>
      </c>
      <c r="W870">
        <v>0.63779378316906743</v>
      </c>
      <c r="X870">
        <v>17.16</v>
      </c>
      <c r="Y870">
        <v>15.621975000000001</v>
      </c>
      <c r="Z870">
        <v>46.22</v>
      </c>
      <c r="AA870">
        <v>5.72</v>
      </c>
      <c r="AB870">
        <v>3.24</v>
      </c>
      <c r="AC870">
        <v>23.01</v>
      </c>
      <c r="AD870">
        <v>0.45</v>
      </c>
      <c r="AE870">
        <v>1.4850713976633492</v>
      </c>
      <c r="AF870">
        <v>0.37337732583297278</v>
      </c>
      <c r="AG870">
        <v>21.3</v>
      </c>
      <c r="AH870">
        <v>19.683235</v>
      </c>
      <c r="AI870">
        <v>66.38</v>
      </c>
      <c r="AJ870" t="s">
        <v>231</v>
      </c>
    </row>
    <row r="871" spans="1:36" x14ac:dyDescent="0.5">
      <c r="A871">
        <v>600</v>
      </c>
      <c r="B871">
        <v>200</v>
      </c>
      <c r="C871">
        <v>0.1</v>
      </c>
      <c r="D871">
        <v>5</v>
      </c>
      <c r="E871">
        <v>50</v>
      </c>
      <c r="F871">
        <v>20</v>
      </c>
      <c r="G871">
        <v>4</v>
      </c>
      <c r="O871">
        <v>81.41</v>
      </c>
      <c r="P871">
        <v>1.43</v>
      </c>
      <c r="Q871">
        <v>39.57</v>
      </c>
      <c r="R871">
        <v>5.78</v>
      </c>
      <c r="S871">
        <v>3.37</v>
      </c>
      <c r="T871">
        <v>33.65</v>
      </c>
      <c r="U871">
        <v>0.48</v>
      </c>
      <c r="V871">
        <v>1.7528430629264595</v>
      </c>
      <c r="W871">
        <v>0.63779378316906743</v>
      </c>
      <c r="X871">
        <v>17.16</v>
      </c>
      <c r="Y871">
        <v>15.621975000000001</v>
      </c>
      <c r="Z871">
        <v>46.84</v>
      </c>
      <c r="AA871">
        <v>5.66</v>
      </c>
      <c r="AB871">
        <v>3</v>
      </c>
      <c r="AC871">
        <v>19.28</v>
      </c>
      <c r="AD871">
        <v>0.4</v>
      </c>
      <c r="AE871">
        <v>1.4500426985482493</v>
      </c>
      <c r="AF871">
        <v>0.3087105038428693</v>
      </c>
      <c r="AG871">
        <v>21.82</v>
      </c>
      <c r="AH871">
        <v>20.472920000000002</v>
      </c>
      <c r="AI871">
        <v>61.56</v>
      </c>
    </row>
    <row r="872" spans="1:36" x14ac:dyDescent="0.5">
      <c r="A872">
        <v>600</v>
      </c>
      <c r="B872">
        <v>220</v>
      </c>
      <c r="C872">
        <v>0.1</v>
      </c>
      <c r="D872">
        <v>5</v>
      </c>
      <c r="E872">
        <v>50</v>
      </c>
      <c r="F872">
        <v>20</v>
      </c>
      <c r="G872">
        <v>4</v>
      </c>
      <c r="O872">
        <v>81.41</v>
      </c>
      <c r="P872">
        <v>1.43</v>
      </c>
      <c r="Q872">
        <v>39.57</v>
      </c>
      <c r="R872">
        <v>5.78</v>
      </c>
      <c r="S872">
        <v>3.37</v>
      </c>
      <c r="T872">
        <v>33.65</v>
      </c>
      <c r="U872">
        <v>0.48</v>
      </c>
      <c r="V872">
        <v>1.7528430629264595</v>
      </c>
      <c r="W872">
        <v>0.63779378316906743</v>
      </c>
      <c r="X872">
        <v>17.16</v>
      </c>
      <c r="Y872">
        <v>15.621975000000001</v>
      </c>
      <c r="Z872">
        <v>50.64</v>
      </c>
      <c r="AA872">
        <v>5.44</v>
      </c>
      <c r="AB872">
        <v>3.16</v>
      </c>
      <c r="AC872">
        <v>17.05</v>
      </c>
      <c r="AD872">
        <v>0.44</v>
      </c>
      <c r="AE872">
        <v>1.2890995260663509</v>
      </c>
      <c r="AF872">
        <v>0.25251777251184837</v>
      </c>
      <c r="AG872">
        <v>23.27</v>
      </c>
      <c r="AH872">
        <v>21.841215000000002</v>
      </c>
      <c r="AI872">
        <v>55.54</v>
      </c>
    </row>
    <row r="873" spans="1:36" x14ac:dyDescent="0.5">
      <c r="A873">
        <v>30</v>
      </c>
      <c r="B873">
        <v>240</v>
      </c>
      <c r="C873">
        <v>0.1</v>
      </c>
      <c r="D873">
        <v>30</v>
      </c>
      <c r="E873">
        <v>700</v>
      </c>
      <c r="F873">
        <v>240</v>
      </c>
      <c r="G873">
        <v>8</v>
      </c>
      <c r="N873">
        <v>8</v>
      </c>
      <c r="O873">
        <v>64.510000000000005</v>
      </c>
      <c r="P873">
        <v>2</v>
      </c>
      <c r="Q873">
        <v>38.61</v>
      </c>
      <c r="R873">
        <v>6.05</v>
      </c>
      <c r="S873">
        <v>2.4</v>
      </c>
      <c r="T873">
        <v>41.09</v>
      </c>
      <c r="U873">
        <v>0</v>
      </c>
      <c r="V873">
        <v>1.8803418803418803</v>
      </c>
      <c r="W873">
        <v>0.79817404817404825</v>
      </c>
      <c r="X873">
        <v>11.85</v>
      </c>
      <c r="Y873">
        <v>16.07</v>
      </c>
      <c r="Z873">
        <v>56.6</v>
      </c>
      <c r="AA873">
        <v>7.21</v>
      </c>
      <c r="AB873">
        <v>6.12</v>
      </c>
      <c r="AC873">
        <v>14.86</v>
      </c>
      <c r="AD873">
        <v>0</v>
      </c>
      <c r="AE873">
        <v>1.5286219081272083</v>
      </c>
      <c r="AF873">
        <v>0.19690812720848055</v>
      </c>
      <c r="AG873">
        <v>15.21</v>
      </c>
      <c r="AH873">
        <v>26.3</v>
      </c>
      <c r="AI873">
        <v>44</v>
      </c>
      <c r="AJ873" t="s">
        <v>234</v>
      </c>
    </row>
    <row r="874" spans="1:36" x14ac:dyDescent="0.5">
      <c r="A874">
        <v>30</v>
      </c>
      <c r="B874">
        <v>260</v>
      </c>
      <c r="C874">
        <v>0.1</v>
      </c>
      <c r="D874">
        <v>30</v>
      </c>
      <c r="E874">
        <v>700</v>
      </c>
      <c r="F874">
        <v>240</v>
      </c>
      <c r="G874">
        <v>8</v>
      </c>
      <c r="N874">
        <v>8</v>
      </c>
      <c r="O874">
        <v>64.510000000000005</v>
      </c>
      <c r="P874">
        <v>2</v>
      </c>
      <c r="Q874">
        <v>38.61</v>
      </c>
      <c r="R874">
        <v>6.05</v>
      </c>
      <c r="S874">
        <v>2.4</v>
      </c>
      <c r="T874">
        <v>41.09</v>
      </c>
      <c r="U874">
        <v>0</v>
      </c>
      <c r="V874">
        <v>1.8803418803418803</v>
      </c>
      <c r="W874">
        <v>0.79817404817404825</v>
      </c>
      <c r="X874">
        <v>11.85</v>
      </c>
      <c r="Y874">
        <v>16.07</v>
      </c>
      <c r="Z874">
        <v>57.32</v>
      </c>
      <c r="AA874">
        <v>7.11</v>
      </c>
      <c r="AB874">
        <v>5.45</v>
      </c>
      <c r="AC874">
        <v>15.28</v>
      </c>
      <c r="AD874">
        <v>0</v>
      </c>
      <c r="AE874">
        <v>1.4884856943475229</v>
      </c>
      <c r="AF874">
        <v>0.19993021632937893</v>
      </c>
      <c r="AG874">
        <v>14.84</v>
      </c>
      <c r="AH874">
        <v>26.41</v>
      </c>
      <c r="AI874">
        <v>43</v>
      </c>
    </row>
    <row r="875" spans="1:36" x14ac:dyDescent="0.5">
      <c r="A875">
        <v>30</v>
      </c>
      <c r="B875">
        <v>280</v>
      </c>
      <c r="C875">
        <v>0.1</v>
      </c>
      <c r="D875">
        <v>30</v>
      </c>
      <c r="E875">
        <v>700</v>
      </c>
      <c r="F875">
        <v>240</v>
      </c>
      <c r="G875">
        <v>8</v>
      </c>
      <c r="N875">
        <v>8</v>
      </c>
      <c r="O875">
        <v>64.510000000000005</v>
      </c>
      <c r="P875">
        <v>2</v>
      </c>
      <c r="Q875">
        <v>38.61</v>
      </c>
      <c r="R875">
        <v>6.05</v>
      </c>
      <c r="S875">
        <v>2.4</v>
      </c>
      <c r="T875">
        <v>41.09</v>
      </c>
      <c r="U875">
        <v>0</v>
      </c>
      <c r="V875">
        <v>1.8803418803418803</v>
      </c>
      <c r="W875">
        <v>0.79817404817404825</v>
      </c>
      <c r="X875">
        <v>11.85</v>
      </c>
      <c r="Y875">
        <v>16.07</v>
      </c>
      <c r="Z875">
        <v>60.2</v>
      </c>
      <c r="AA875">
        <v>6.43</v>
      </c>
      <c r="AB875">
        <v>4.76</v>
      </c>
      <c r="AC875">
        <v>14.51</v>
      </c>
      <c r="AD875">
        <v>0</v>
      </c>
      <c r="AE875">
        <v>1.2817275747508305</v>
      </c>
      <c r="AF875">
        <v>0.18077242524916942</v>
      </c>
      <c r="AG875">
        <v>14.1</v>
      </c>
      <c r="AH875">
        <v>26.72</v>
      </c>
      <c r="AI875">
        <v>42</v>
      </c>
    </row>
    <row r="876" spans="1:36" x14ac:dyDescent="0.5">
      <c r="A876">
        <v>30</v>
      </c>
      <c r="B876">
        <v>300</v>
      </c>
      <c r="C876">
        <v>0.1</v>
      </c>
      <c r="D876">
        <v>30</v>
      </c>
      <c r="E876">
        <v>700</v>
      </c>
      <c r="F876">
        <v>240</v>
      </c>
      <c r="G876">
        <v>8</v>
      </c>
      <c r="N876">
        <v>8</v>
      </c>
      <c r="O876">
        <v>64.510000000000005</v>
      </c>
      <c r="P876">
        <v>2</v>
      </c>
      <c r="Q876">
        <v>38.61</v>
      </c>
      <c r="R876">
        <v>6.05</v>
      </c>
      <c r="S876">
        <v>2.4</v>
      </c>
      <c r="T876">
        <v>41.09</v>
      </c>
      <c r="U876">
        <v>0</v>
      </c>
      <c r="V876">
        <v>1.8803418803418803</v>
      </c>
      <c r="W876">
        <v>0.79817404817404825</v>
      </c>
      <c r="X876">
        <v>11.85</v>
      </c>
      <c r="Y876">
        <v>16.07</v>
      </c>
      <c r="Z876">
        <v>62.78</v>
      </c>
      <c r="AA876">
        <v>6.11</v>
      </c>
      <c r="AB876">
        <v>3.2</v>
      </c>
      <c r="AC876">
        <v>15.61</v>
      </c>
      <c r="AD876">
        <v>0</v>
      </c>
      <c r="AE876">
        <v>1.1678878623765532</v>
      </c>
      <c r="AF876">
        <v>0.18648454921949664</v>
      </c>
      <c r="AG876">
        <v>12.3</v>
      </c>
      <c r="AH876">
        <v>26.19</v>
      </c>
      <c r="AI876">
        <v>39</v>
      </c>
    </row>
    <row r="877" spans="1:36" x14ac:dyDescent="0.5">
      <c r="A877">
        <v>30</v>
      </c>
      <c r="B877">
        <v>320</v>
      </c>
      <c r="C877">
        <v>0.1</v>
      </c>
      <c r="D877">
        <v>30</v>
      </c>
      <c r="E877">
        <v>700</v>
      </c>
      <c r="F877">
        <v>240</v>
      </c>
      <c r="G877">
        <v>8</v>
      </c>
      <c r="N877">
        <v>8</v>
      </c>
      <c r="O877">
        <v>64.510000000000005</v>
      </c>
      <c r="P877">
        <v>2</v>
      </c>
      <c r="Q877">
        <v>38.61</v>
      </c>
      <c r="R877">
        <v>6.05</v>
      </c>
      <c r="S877">
        <v>2.4</v>
      </c>
      <c r="T877">
        <v>41.09</v>
      </c>
      <c r="U877">
        <v>0</v>
      </c>
      <c r="V877">
        <v>1.8803418803418803</v>
      </c>
      <c r="W877">
        <v>0.79817404817404825</v>
      </c>
      <c r="X877">
        <v>11.85</v>
      </c>
      <c r="Y877">
        <v>16.07</v>
      </c>
      <c r="Z877">
        <v>62.88</v>
      </c>
      <c r="AA877">
        <v>6.05</v>
      </c>
      <c r="AB877">
        <v>3.12</v>
      </c>
      <c r="AC877">
        <v>15.65</v>
      </c>
      <c r="AD877">
        <v>0</v>
      </c>
      <c r="AE877">
        <v>1.1545801526717556</v>
      </c>
      <c r="AF877">
        <v>0.18666507633587787</v>
      </c>
      <c r="AG877">
        <v>12.3</v>
      </c>
      <c r="AH877">
        <v>27.15</v>
      </c>
      <c r="AI877">
        <v>37</v>
      </c>
    </row>
    <row r="878" spans="1:36" x14ac:dyDescent="0.5">
      <c r="A878">
        <v>10</v>
      </c>
      <c r="B878">
        <v>300</v>
      </c>
      <c r="C878">
        <v>0.1</v>
      </c>
      <c r="D878">
        <v>30</v>
      </c>
      <c r="E878">
        <v>700</v>
      </c>
      <c r="F878">
        <v>240</v>
      </c>
      <c r="G878">
        <v>8</v>
      </c>
      <c r="N878">
        <v>8</v>
      </c>
      <c r="O878">
        <v>64.510000000000005</v>
      </c>
      <c r="P878">
        <v>2</v>
      </c>
      <c r="Q878">
        <v>38.61</v>
      </c>
      <c r="R878">
        <v>6.05</v>
      </c>
      <c r="S878">
        <v>2.4</v>
      </c>
      <c r="T878">
        <v>41.09</v>
      </c>
      <c r="U878">
        <v>0</v>
      </c>
      <c r="V878">
        <v>1.8803418803418803</v>
      </c>
      <c r="W878">
        <v>0.79817404817404825</v>
      </c>
      <c r="X878">
        <v>11.85</v>
      </c>
      <c r="Y878">
        <v>16.07</v>
      </c>
      <c r="Z878">
        <v>59.21</v>
      </c>
      <c r="AA878">
        <v>5.0999999999999996</v>
      </c>
      <c r="AB878">
        <v>2.89</v>
      </c>
      <c r="AC878">
        <v>22.6</v>
      </c>
      <c r="AD878">
        <v>0</v>
      </c>
      <c r="AE878">
        <v>1.0336091876372233</v>
      </c>
      <c r="AF878">
        <v>0.28626921128187804</v>
      </c>
      <c r="AG878">
        <v>10.199999999999999</v>
      </c>
      <c r="AH878">
        <v>24.08</v>
      </c>
      <c r="AI878">
        <v>42</v>
      </c>
    </row>
    <row r="879" spans="1:36" x14ac:dyDescent="0.5">
      <c r="A879">
        <v>20</v>
      </c>
      <c r="B879">
        <v>300</v>
      </c>
      <c r="C879">
        <v>0.1</v>
      </c>
      <c r="D879">
        <v>30</v>
      </c>
      <c r="E879">
        <v>700</v>
      </c>
      <c r="F879">
        <v>240</v>
      </c>
      <c r="G879">
        <v>8</v>
      </c>
      <c r="N879">
        <v>8</v>
      </c>
      <c r="O879">
        <v>64.510000000000005</v>
      </c>
      <c r="P879">
        <v>2</v>
      </c>
      <c r="Q879">
        <v>38.61</v>
      </c>
      <c r="R879">
        <v>6.05</v>
      </c>
      <c r="S879">
        <v>2.4</v>
      </c>
      <c r="T879">
        <v>41.09</v>
      </c>
      <c r="U879">
        <v>0</v>
      </c>
      <c r="V879">
        <v>1.8803418803418803</v>
      </c>
      <c r="W879">
        <v>0.79817404817404825</v>
      </c>
      <c r="X879">
        <v>11.85</v>
      </c>
      <c r="Y879">
        <v>16.07</v>
      </c>
      <c r="Z879">
        <v>62.1</v>
      </c>
      <c r="AA879">
        <v>5.88</v>
      </c>
      <c r="AB879">
        <v>3.1</v>
      </c>
      <c r="AC879">
        <v>17.920000000000002</v>
      </c>
      <c r="AD879">
        <v>0</v>
      </c>
      <c r="AE879">
        <v>1.136231884057971</v>
      </c>
      <c r="AF879">
        <v>0.2164251207729469</v>
      </c>
      <c r="AG879">
        <v>11</v>
      </c>
      <c r="AH879">
        <v>26.47</v>
      </c>
      <c r="AI879">
        <v>40</v>
      </c>
    </row>
    <row r="880" spans="1:36" x14ac:dyDescent="0.5">
      <c r="A880">
        <v>40</v>
      </c>
      <c r="B880">
        <v>300</v>
      </c>
      <c r="C880">
        <v>0.1</v>
      </c>
      <c r="D880">
        <v>30</v>
      </c>
      <c r="E880">
        <v>700</v>
      </c>
      <c r="F880">
        <v>240</v>
      </c>
      <c r="G880">
        <v>8</v>
      </c>
      <c r="N880">
        <v>8</v>
      </c>
      <c r="O880">
        <v>64.510000000000005</v>
      </c>
      <c r="P880">
        <v>2</v>
      </c>
      <c r="Q880">
        <v>38.61</v>
      </c>
      <c r="R880">
        <v>6.05</v>
      </c>
      <c r="S880">
        <v>2.4</v>
      </c>
      <c r="T880">
        <v>41.09</v>
      </c>
      <c r="U880">
        <v>0</v>
      </c>
      <c r="V880">
        <v>1.8803418803418803</v>
      </c>
      <c r="W880">
        <v>0.79817404817404825</v>
      </c>
      <c r="X880">
        <v>11.85</v>
      </c>
      <c r="Y880">
        <v>16.07</v>
      </c>
      <c r="Z880">
        <v>39</v>
      </c>
      <c r="AA880">
        <v>6</v>
      </c>
      <c r="AB880">
        <v>3.1</v>
      </c>
      <c r="AC880">
        <v>15.89</v>
      </c>
      <c r="AD880">
        <v>0</v>
      </c>
      <c r="AE880">
        <v>1.8461538461538463</v>
      </c>
      <c r="AF880">
        <v>0.30557692307692308</v>
      </c>
      <c r="AG880">
        <v>12.13</v>
      </c>
      <c r="AH880">
        <v>27.07</v>
      </c>
      <c r="AI880">
        <v>39</v>
      </c>
    </row>
    <row r="881" spans="1:36" x14ac:dyDescent="0.5">
      <c r="A881">
        <v>30</v>
      </c>
      <c r="B881">
        <v>300</v>
      </c>
      <c r="C881">
        <v>0.1</v>
      </c>
      <c r="D881">
        <v>30</v>
      </c>
      <c r="E881">
        <v>700</v>
      </c>
      <c r="F881">
        <v>120</v>
      </c>
      <c r="G881">
        <v>4</v>
      </c>
      <c r="N881">
        <v>8</v>
      </c>
      <c r="O881">
        <v>64.510000000000005</v>
      </c>
      <c r="P881">
        <v>2</v>
      </c>
      <c r="Q881">
        <v>38.61</v>
      </c>
      <c r="R881">
        <v>6.05</v>
      </c>
      <c r="S881">
        <v>2.4</v>
      </c>
      <c r="T881">
        <v>41.09</v>
      </c>
      <c r="U881">
        <v>0</v>
      </c>
      <c r="V881">
        <v>1.8803418803418803</v>
      </c>
      <c r="W881">
        <v>0.79817404817404825</v>
      </c>
      <c r="X881">
        <v>11.85</v>
      </c>
      <c r="Y881">
        <v>16.07</v>
      </c>
      <c r="Z881">
        <v>58.34</v>
      </c>
      <c r="AA881">
        <v>7.1</v>
      </c>
      <c r="AB881">
        <v>4.62</v>
      </c>
      <c r="AC881">
        <v>20.38</v>
      </c>
      <c r="AD881">
        <v>0</v>
      </c>
      <c r="AE881">
        <v>1.4604045251971201</v>
      </c>
      <c r="AF881">
        <v>0.26199862872814533</v>
      </c>
      <c r="AG881">
        <v>9.56</v>
      </c>
      <c r="AH881">
        <v>26.35</v>
      </c>
      <c r="AI881">
        <v>43</v>
      </c>
    </row>
    <row r="882" spans="1:36" x14ac:dyDescent="0.5">
      <c r="A882">
        <v>30</v>
      </c>
      <c r="B882">
        <v>300</v>
      </c>
      <c r="C882">
        <v>0.1</v>
      </c>
      <c r="D882">
        <v>30</v>
      </c>
      <c r="E882">
        <v>700</v>
      </c>
      <c r="F882">
        <v>180</v>
      </c>
      <c r="G882">
        <v>6</v>
      </c>
      <c r="N882">
        <v>8</v>
      </c>
      <c r="O882">
        <v>64.510000000000005</v>
      </c>
      <c r="P882">
        <v>2</v>
      </c>
      <c r="Q882">
        <v>38.61</v>
      </c>
      <c r="R882">
        <v>6.05</v>
      </c>
      <c r="S882">
        <v>2.4</v>
      </c>
      <c r="T882">
        <v>41.09</v>
      </c>
      <c r="U882">
        <v>0</v>
      </c>
      <c r="V882">
        <v>1.8803418803418803</v>
      </c>
      <c r="W882">
        <v>0.79817404817404825</v>
      </c>
      <c r="X882">
        <v>11.85</v>
      </c>
      <c r="Y882">
        <v>16.07</v>
      </c>
      <c r="Z882">
        <v>60.23</v>
      </c>
      <c r="AA882">
        <v>6.87</v>
      </c>
      <c r="AB882">
        <v>4.12</v>
      </c>
      <c r="AC882">
        <v>17.66</v>
      </c>
      <c r="AD882">
        <v>0</v>
      </c>
      <c r="AE882">
        <v>1.3687531130665782</v>
      </c>
      <c r="AF882">
        <v>0.21990702307820026</v>
      </c>
      <c r="AG882">
        <v>11.12</v>
      </c>
      <c r="AH882">
        <v>26.99</v>
      </c>
      <c r="AI882">
        <v>40</v>
      </c>
    </row>
    <row r="883" spans="1:36" x14ac:dyDescent="0.5">
      <c r="A883">
        <v>30</v>
      </c>
      <c r="B883">
        <v>300</v>
      </c>
      <c r="C883">
        <v>0.1</v>
      </c>
      <c r="D883">
        <v>30</v>
      </c>
      <c r="E883">
        <v>700</v>
      </c>
      <c r="F883">
        <v>360</v>
      </c>
      <c r="G883">
        <v>12</v>
      </c>
      <c r="N883">
        <v>8</v>
      </c>
      <c r="O883">
        <v>64.510000000000005</v>
      </c>
      <c r="P883">
        <v>2</v>
      </c>
      <c r="Q883">
        <v>38.61</v>
      </c>
      <c r="R883">
        <v>6.05</v>
      </c>
      <c r="S883">
        <v>2.4</v>
      </c>
      <c r="T883">
        <v>41.09</v>
      </c>
      <c r="U883">
        <v>0</v>
      </c>
      <c r="V883">
        <v>1.8803418803418803</v>
      </c>
      <c r="W883">
        <v>0.79817404817404825</v>
      </c>
      <c r="X883">
        <v>11.85</v>
      </c>
      <c r="Y883">
        <v>16.07</v>
      </c>
      <c r="Z883">
        <v>62.12</v>
      </c>
      <c r="AA883">
        <v>6.1</v>
      </c>
      <c r="AB883">
        <v>3.34</v>
      </c>
      <c r="AC883">
        <v>16.32</v>
      </c>
      <c r="AD883">
        <v>0</v>
      </c>
      <c r="AE883">
        <v>1.1783644558918223</v>
      </c>
      <c r="AF883">
        <v>0.19703799098518995</v>
      </c>
      <c r="AG883">
        <v>12.12</v>
      </c>
      <c r="AH883">
        <v>26.88</v>
      </c>
      <c r="AI883">
        <v>39</v>
      </c>
    </row>
    <row r="884" spans="1:36" x14ac:dyDescent="0.5">
      <c r="A884">
        <v>60</v>
      </c>
      <c r="B884">
        <v>180</v>
      </c>
      <c r="C884">
        <v>0.1</v>
      </c>
      <c r="D884">
        <v>3</v>
      </c>
      <c r="E884">
        <v>50</v>
      </c>
      <c r="F884">
        <v>30</v>
      </c>
      <c r="G884">
        <v>10</v>
      </c>
      <c r="N884">
        <v>30.3</v>
      </c>
      <c r="Q884">
        <v>37.72</v>
      </c>
      <c r="R884">
        <v>4.8</v>
      </c>
      <c r="S884">
        <v>2.79</v>
      </c>
      <c r="T884">
        <v>36.130000000000003</v>
      </c>
      <c r="U884">
        <v>0</v>
      </c>
      <c r="V884">
        <v>1.5270413573700956</v>
      </c>
      <c r="W884">
        <v>0.71838547189819735</v>
      </c>
      <c r="X884">
        <v>18.559999999999999</v>
      </c>
      <c r="Y884">
        <v>13.154555</v>
      </c>
      <c r="Z884">
        <v>44.08</v>
      </c>
      <c r="AA884">
        <v>5.4</v>
      </c>
      <c r="AB884">
        <v>1.26</v>
      </c>
      <c r="AC884">
        <v>36.03</v>
      </c>
      <c r="AD884">
        <v>7.0000000000000007E-2</v>
      </c>
      <c r="AE884">
        <v>1.4700544464609802</v>
      </c>
      <c r="AF884">
        <v>0.61303312159709622</v>
      </c>
      <c r="AG884">
        <v>13.17</v>
      </c>
      <c r="AH884">
        <v>16.178885000000001</v>
      </c>
      <c r="AI884">
        <v>80</v>
      </c>
      <c r="AJ884" t="s">
        <v>236</v>
      </c>
    </row>
    <row r="885" spans="1:36" x14ac:dyDescent="0.5">
      <c r="A885">
        <v>60</v>
      </c>
      <c r="B885">
        <v>220</v>
      </c>
      <c r="C885">
        <v>0.1</v>
      </c>
      <c r="D885">
        <v>3</v>
      </c>
      <c r="E885">
        <v>50</v>
      </c>
      <c r="F885">
        <v>30</v>
      </c>
      <c r="G885">
        <v>10</v>
      </c>
      <c r="N885">
        <v>30.3</v>
      </c>
      <c r="Q885">
        <v>37.72</v>
      </c>
      <c r="R885">
        <v>4.8</v>
      </c>
      <c r="S885">
        <v>2.79</v>
      </c>
      <c r="T885">
        <v>36.130000000000003</v>
      </c>
      <c r="U885">
        <v>0</v>
      </c>
      <c r="V885">
        <v>1.5270413573700956</v>
      </c>
      <c r="W885">
        <v>0.71838547189819735</v>
      </c>
      <c r="X885">
        <v>19.559999999999999</v>
      </c>
      <c r="Y885">
        <v>13.154555</v>
      </c>
      <c r="Z885">
        <v>45.01</v>
      </c>
      <c r="AA885">
        <v>4.76</v>
      </c>
      <c r="AB885">
        <v>1.81</v>
      </c>
      <c r="AC885">
        <v>35.409999999999997</v>
      </c>
      <c r="AD885">
        <v>0</v>
      </c>
      <c r="AE885">
        <v>1.2690513219284605</v>
      </c>
      <c r="AF885">
        <v>0.59003554765607646</v>
      </c>
      <c r="AG885">
        <v>13</v>
      </c>
      <c r="AH885">
        <v>15.689975</v>
      </c>
      <c r="AI885">
        <v>59</v>
      </c>
    </row>
    <row r="886" spans="1:36" x14ac:dyDescent="0.5">
      <c r="A886">
        <v>60</v>
      </c>
      <c r="B886">
        <v>250</v>
      </c>
      <c r="C886">
        <v>0.1</v>
      </c>
      <c r="D886">
        <v>3</v>
      </c>
      <c r="E886">
        <v>50</v>
      </c>
      <c r="F886">
        <v>30</v>
      </c>
      <c r="G886">
        <v>10</v>
      </c>
      <c r="N886">
        <v>30.3</v>
      </c>
      <c r="Q886">
        <v>37.72</v>
      </c>
      <c r="R886">
        <v>4.8</v>
      </c>
      <c r="S886">
        <v>2.79</v>
      </c>
      <c r="T886">
        <v>36.130000000000003</v>
      </c>
      <c r="U886">
        <v>0</v>
      </c>
      <c r="V886">
        <v>1.5270413573700956</v>
      </c>
      <c r="W886">
        <v>0.71838547189819735</v>
      </c>
      <c r="X886">
        <v>20.56</v>
      </c>
      <c r="Y886">
        <v>13.154555</v>
      </c>
      <c r="Z886">
        <v>49.32</v>
      </c>
      <c r="AA886">
        <v>4.58</v>
      </c>
      <c r="AB886">
        <v>2.5099999999999998</v>
      </c>
      <c r="AC886">
        <v>23.72</v>
      </c>
      <c r="AD886">
        <v>0.04</v>
      </c>
      <c r="AE886">
        <v>1.1143552311435523</v>
      </c>
      <c r="AF886">
        <v>0.36070559610705594</v>
      </c>
      <c r="AG886">
        <v>19.84</v>
      </c>
      <c r="AH886">
        <v>18.976380000000002</v>
      </c>
      <c r="AI886">
        <v>40</v>
      </c>
    </row>
    <row r="887" spans="1:36" x14ac:dyDescent="0.5">
      <c r="A887">
        <v>180</v>
      </c>
      <c r="B887">
        <v>180</v>
      </c>
      <c r="C887">
        <v>0.1</v>
      </c>
      <c r="D887">
        <v>3</v>
      </c>
      <c r="E887">
        <v>50</v>
      </c>
      <c r="F887">
        <v>30</v>
      </c>
      <c r="G887">
        <v>10</v>
      </c>
      <c r="N887">
        <v>30.3</v>
      </c>
      <c r="Q887">
        <v>37.72</v>
      </c>
      <c r="R887">
        <v>4.8</v>
      </c>
      <c r="S887">
        <v>2.79</v>
      </c>
      <c r="T887">
        <v>36.130000000000003</v>
      </c>
      <c r="U887">
        <v>0</v>
      </c>
      <c r="V887">
        <v>1.5270413573700956</v>
      </c>
      <c r="W887">
        <v>0.71838547189819735</v>
      </c>
      <c r="X887">
        <v>21.56</v>
      </c>
      <c r="Y887">
        <v>13.154555</v>
      </c>
      <c r="Z887">
        <v>44.01</v>
      </c>
      <c r="AA887">
        <v>5.44</v>
      </c>
      <c r="AB887">
        <v>1.56</v>
      </c>
      <c r="AC887">
        <v>36.11</v>
      </c>
      <c r="AD887">
        <v>0</v>
      </c>
      <c r="AE887">
        <v>1.4832992501704159</v>
      </c>
      <c r="AF887">
        <v>0.61537150647580097</v>
      </c>
      <c r="AG887">
        <v>12.88</v>
      </c>
      <c r="AH887">
        <v>16.198065</v>
      </c>
      <c r="AI887">
        <v>68</v>
      </c>
    </row>
    <row r="888" spans="1:36" x14ac:dyDescent="0.5">
      <c r="A888">
        <v>180</v>
      </c>
      <c r="B888">
        <v>220</v>
      </c>
      <c r="C888">
        <v>0.1</v>
      </c>
      <c r="D888">
        <v>3</v>
      </c>
      <c r="E888">
        <v>50</v>
      </c>
      <c r="F888">
        <v>30</v>
      </c>
      <c r="G888">
        <v>10</v>
      </c>
      <c r="N888">
        <v>30.3</v>
      </c>
      <c r="Q888">
        <v>37.72</v>
      </c>
      <c r="R888">
        <v>4.8</v>
      </c>
      <c r="S888">
        <v>2.79</v>
      </c>
      <c r="T888">
        <v>36.130000000000003</v>
      </c>
      <c r="U888">
        <v>0</v>
      </c>
      <c r="V888">
        <v>1.5270413573700956</v>
      </c>
      <c r="W888">
        <v>0.71838547189819735</v>
      </c>
      <c r="X888">
        <v>22.56</v>
      </c>
      <c r="Y888">
        <v>13.154555</v>
      </c>
      <c r="Z888">
        <v>48.72</v>
      </c>
      <c r="AA888">
        <v>4.95</v>
      </c>
      <c r="AB888">
        <v>2.0499999999999998</v>
      </c>
      <c r="AC888">
        <v>25.05</v>
      </c>
      <c r="AD888">
        <v>0</v>
      </c>
      <c r="AE888">
        <v>1.2192118226600988</v>
      </c>
      <c r="AF888">
        <v>0.38562192118226607</v>
      </c>
      <c r="AG888">
        <v>19.239999999999998</v>
      </c>
      <c r="AH888">
        <v>19.064534999999999</v>
      </c>
      <c r="AI888">
        <v>66</v>
      </c>
    </row>
    <row r="889" spans="1:36" x14ac:dyDescent="0.5">
      <c r="A889">
        <v>180</v>
      </c>
      <c r="B889">
        <v>250</v>
      </c>
      <c r="C889">
        <v>0.1</v>
      </c>
      <c r="D889">
        <v>3</v>
      </c>
      <c r="E889">
        <v>50</v>
      </c>
      <c r="F889">
        <v>30</v>
      </c>
      <c r="G889">
        <v>10</v>
      </c>
      <c r="N889">
        <v>30.3</v>
      </c>
      <c r="Q889">
        <v>37.72</v>
      </c>
      <c r="R889">
        <v>4.8</v>
      </c>
      <c r="S889">
        <v>2.79</v>
      </c>
      <c r="T889">
        <v>36.130000000000003</v>
      </c>
      <c r="U889">
        <v>0</v>
      </c>
      <c r="V889">
        <v>1.5270413573700956</v>
      </c>
      <c r="W889">
        <v>0.71838547189819735</v>
      </c>
      <c r="X889">
        <v>23.56</v>
      </c>
      <c r="Y889">
        <v>13.154555</v>
      </c>
      <c r="Z889">
        <v>52.58</v>
      </c>
      <c r="AA889">
        <v>4.38</v>
      </c>
      <c r="AB889">
        <v>2.02</v>
      </c>
      <c r="AC889">
        <v>19.739999999999998</v>
      </c>
      <c r="AD889">
        <v>0</v>
      </c>
      <c r="AE889">
        <v>0.99961962723468989</v>
      </c>
      <c r="AF889">
        <v>0.28157093952073026</v>
      </c>
      <c r="AG889">
        <v>21.28</v>
      </c>
      <c r="AH889">
        <v>20.50309</v>
      </c>
      <c r="AI889">
        <v>58</v>
      </c>
    </row>
    <row r="890" spans="1:36" x14ac:dyDescent="0.5">
      <c r="A890">
        <v>480</v>
      </c>
      <c r="B890">
        <v>180</v>
      </c>
      <c r="C890">
        <v>0.1</v>
      </c>
      <c r="D890">
        <v>3</v>
      </c>
      <c r="E890">
        <v>50</v>
      </c>
      <c r="F890">
        <v>30</v>
      </c>
      <c r="G890">
        <v>10</v>
      </c>
      <c r="N890">
        <v>30.3</v>
      </c>
      <c r="Q890">
        <v>37.72</v>
      </c>
      <c r="R890">
        <v>4.8</v>
      </c>
      <c r="S890">
        <v>2.79</v>
      </c>
      <c r="T890">
        <v>36.130000000000003</v>
      </c>
      <c r="U890">
        <v>0</v>
      </c>
      <c r="V890">
        <v>1.5270413573700956</v>
      </c>
      <c r="W890">
        <v>0.71838547189819735</v>
      </c>
      <c r="X890">
        <v>24.56</v>
      </c>
      <c r="Y890">
        <v>13.154555</v>
      </c>
      <c r="Z890">
        <v>45.02</v>
      </c>
      <c r="AA890">
        <v>4.92</v>
      </c>
      <c r="AB890">
        <v>1.6</v>
      </c>
      <c r="AC890">
        <v>33.49</v>
      </c>
      <c r="AD890">
        <v>0</v>
      </c>
      <c r="AE890">
        <v>1.3114171479342513</v>
      </c>
      <c r="AF890">
        <v>0.55791870279875611</v>
      </c>
      <c r="AG890">
        <v>14.97</v>
      </c>
      <c r="AH890">
        <v>16.264555000000001</v>
      </c>
      <c r="AI890">
        <v>63</v>
      </c>
    </row>
    <row r="891" spans="1:36" x14ac:dyDescent="0.5">
      <c r="A891">
        <v>480</v>
      </c>
      <c r="B891">
        <v>220</v>
      </c>
      <c r="C891">
        <v>0.1</v>
      </c>
      <c r="D891">
        <v>3</v>
      </c>
      <c r="E891">
        <v>50</v>
      </c>
      <c r="F891">
        <v>30</v>
      </c>
      <c r="G891">
        <v>10</v>
      </c>
      <c r="N891">
        <v>30.3</v>
      </c>
      <c r="Q891">
        <v>37.72</v>
      </c>
      <c r="R891">
        <v>4.8</v>
      </c>
      <c r="S891">
        <v>2.79</v>
      </c>
      <c r="T891">
        <v>36.130000000000003</v>
      </c>
      <c r="U891">
        <v>0</v>
      </c>
      <c r="V891">
        <v>1.5270413573700956</v>
      </c>
      <c r="W891">
        <v>0.71838547189819735</v>
      </c>
      <c r="X891">
        <v>25.56</v>
      </c>
      <c r="Y891">
        <v>13.154555</v>
      </c>
      <c r="Z891">
        <v>52.53</v>
      </c>
      <c r="AA891">
        <v>4.87</v>
      </c>
      <c r="AB891">
        <v>2.7</v>
      </c>
      <c r="AC891">
        <v>19.309999999999999</v>
      </c>
      <c r="AD891">
        <v>0</v>
      </c>
      <c r="AE891">
        <v>1.1125071387778411</v>
      </c>
      <c r="AF891">
        <v>0.27569960022844087</v>
      </c>
      <c r="AG891">
        <v>20.6</v>
      </c>
      <c r="AH891">
        <v>21.262665000000002</v>
      </c>
      <c r="AI891">
        <v>42</v>
      </c>
    </row>
    <row r="892" spans="1:36" x14ac:dyDescent="0.5">
      <c r="A892">
        <v>480</v>
      </c>
      <c r="B892">
        <v>250</v>
      </c>
      <c r="C892">
        <v>0.1</v>
      </c>
      <c r="D892">
        <v>3</v>
      </c>
      <c r="E892">
        <v>50</v>
      </c>
      <c r="F892">
        <v>30</v>
      </c>
      <c r="G892">
        <v>10</v>
      </c>
      <c r="N892">
        <v>30.3</v>
      </c>
      <c r="Q892">
        <v>37.72</v>
      </c>
      <c r="R892">
        <v>4.8</v>
      </c>
      <c r="S892">
        <v>2.79</v>
      </c>
      <c r="T892">
        <v>36.130000000000003</v>
      </c>
      <c r="U892">
        <v>0</v>
      </c>
      <c r="V892">
        <v>1.5270413573700956</v>
      </c>
      <c r="W892">
        <v>0.71838547189819735</v>
      </c>
      <c r="X892">
        <v>26.56</v>
      </c>
      <c r="Y892">
        <v>13.154555</v>
      </c>
      <c r="Z892">
        <v>53.84</v>
      </c>
      <c r="AA892">
        <v>5.0999999999999996</v>
      </c>
      <c r="AB892">
        <v>2.46</v>
      </c>
      <c r="AC892">
        <v>12.91</v>
      </c>
      <c r="AD892">
        <v>0</v>
      </c>
      <c r="AE892">
        <v>1.1367013372956907</v>
      </c>
      <c r="AF892">
        <v>0.17983841010401186</v>
      </c>
      <c r="AG892">
        <v>25.69</v>
      </c>
      <c r="AH892">
        <v>23.176285000000004</v>
      </c>
      <c r="AI892">
        <v>41</v>
      </c>
    </row>
    <row r="893" spans="1:36" x14ac:dyDescent="0.5">
      <c r="A893">
        <v>30</v>
      </c>
      <c r="B893">
        <v>230</v>
      </c>
      <c r="C893">
        <v>0.1</v>
      </c>
      <c r="D893">
        <v>20</v>
      </c>
      <c r="E893">
        <v>250</v>
      </c>
      <c r="F893">
        <v>100</v>
      </c>
      <c r="G893">
        <v>5</v>
      </c>
      <c r="O893">
        <v>79.36</v>
      </c>
      <c r="P893">
        <v>12.24</v>
      </c>
      <c r="Q893">
        <v>36.03</v>
      </c>
      <c r="R893">
        <v>5.86</v>
      </c>
      <c r="S893">
        <v>0.01</v>
      </c>
      <c r="T893">
        <v>49.7</v>
      </c>
      <c r="U893">
        <v>0</v>
      </c>
      <c r="V893">
        <v>1.9517069109075771</v>
      </c>
      <c r="W893">
        <v>1.0345545378850958</v>
      </c>
      <c r="X893">
        <v>8.4</v>
      </c>
      <c r="Y893">
        <v>11.674770000000001</v>
      </c>
      <c r="Z893">
        <v>35.01</v>
      </c>
      <c r="AA893">
        <v>5.32</v>
      </c>
      <c r="AB893">
        <v>0</v>
      </c>
      <c r="AC893">
        <v>46.47</v>
      </c>
      <c r="AD893">
        <v>0</v>
      </c>
      <c r="AE893">
        <v>1.8234790059982864</v>
      </c>
      <c r="AF893">
        <v>0.99550128534704363</v>
      </c>
      <c r="AG893">
        <v>13.2</v>
      </c>
      <c r="AH893">
        <v>11.135445000000001</v>
      </c>
      <c r="AI893">
        <v>83</v>
      </c>
      <c r="AJ893" t="s">
        <v>238</v>
      </c>
    </row>
    <row r="894" spans="1:36" x14ac:dyDescent="0.5">
      <c r="A894">
        <v>30</v>
      </c>
      <c r="B894">
        <v>250</v>
      </c>
      <c r="C894">
        <v>0.1</v>
      </c>
      <c r="D894">
        <v>20</v>
      </c>
      <c r="E894">
        <v>250</v>
      </c>
      <c r="F894">
        <v>100</v>
      </c>
      <c r="G894">
        <v>5</v>
      </c>
      <c r="O894">
        <v>79.36</v>
      </c>
      <c r="P894">
        <v>12.24</v>
      </c>
      <c r="Q894">
        <v>36.03</v>
      </c>
      <c r="R894">
        <v>5.86</v>
      </c>
      <c r="S894">
        <v>0.01</v>
      </c>
      <c r="T894">
        <v>49.7</v>
      </c>
      <c r="U894">
        <v>0</v>
      </c>
      <c r="V894">
        <v>1.9517069109075771</v>
      </c>
      <c r="W894">
        <v>1.0345545378850958</v>
      </c>
      <c r="X894">
        <v>8.4</v>
      </c>
      <c r="Y894">
        <v>11.674770000000001</v>
      </c>
      <c r="Z894">
        <v>37.53</v>
      </c>
      <c r="AA894">
        <v>4.08</v>
      </c>
      <c r="AB894">
        <v>0.02</v>
      </c>
      <c r="AC894">
        <v>36.11</v>
      </c>
      <c r="AD894">
        <v>0</v>
      </c>
      <c r="AE894">
        <v>1.3045563549160673</v>
      </c>
      <c r="AF894">
        <v>0.72162270183852917</v>
      </c>
      <c r="AG894">
        <v>22.27</v>
      </c>
      <c r="AH894">
        <v>12.065745000000001</v>
      </c>
      <c r="AI894">
        <v>58</v>
      </c>
    </row>
    <row r="895" spans="1:36" x14ac:dyDescent="0.5">
      <c r="A895">
        <v>60</v>
      </c>
      <c r="B895">
        <v>250</v>
      </c>
      <c r="C895">
        <v>0.1</v>
      </c>
      <c r="D895">
        <v>20</v>
      </c>
      <c r="E895">
        <v>250</v>
      </c>
      <c r="F895">
        <v>100</v>
      </c>
      <c r="G895">
        <v>5</v>
      </c>
      <c r="O895">
        <v>79.36</v>
      </c>
      <c r="P895">
        <v>12.24</v>
      </c>
      <c r="Q895">
        <v>36.03</v>
      </c>
      <c r="R895">
        <v>5.86</v>
      </c>
      <c r="S895">
        <v>0.01</v>
      </c>
      <c r="T895">
        <v>49.7</v>
      </c>
      <c r="U895">
        <v>0</v>
      </c>
      <c r="V895">
        <v>1.9517069109075771</v>
      </c>
      <c r="W895">
        <v>1.0345545378850958</v>
      </c>
      <c r="X895">
        <v>8.4</v>
      </c>
      <c r="Y895">
        <v>11.674770000000001</v>
      </c>
      <c r="Z895">
        <v>38.299999999999997</v>
      </c>
      <c r="AA895">
        <v>3.69</v>
      </c>
      <c r="AB895">
        <v>0.03</v>
      </c>
      <c r="AC895">
        <v>28.85</v>
      </c>
      <c r="AD895">
        <v>0</v>
      </c>
      <c r="AE895">
        <v>1.156135770234987</v>
      </c>
      <c r="AF895">
        <v>0.56494778067885121</v>
      </c>
      <c r="AG895">
        <v>29.13</v>
      </c>
      <c r="AH895">
        <v>13.064995</v>
      </c>
      <c r="AI895">
        <v>55</v>
      </c>
    </row>
    <row r="896" spans="1:36" x14ac:dyDescent="0.5">
      <c r="A896">
        <v>120</v>
      </c>
      <c r="B896">
        <v>250</v>
      </c>
      <c r="C896">
        <v>0.1</v>
      </c>
      <c r="D896">
        <v>20</v>
      </c>
      <c r="E896">
        <v>250</v>
      </c>
      <c r="F896">
        <v>100</v>
      </c>
      <c r="G896">
        <v>5</v>
      </c>
      <c r="O896">
        <v>79.36</v>
      </c>
      <c r="P896">
        <v>12.24</v>
      </c>
      <c r="Q896">
        <v>36.03</v>
      </c>
      <c r="R896">
        <v>5.86</v>
      </c>
      <c r="S896">
        <v>0.01</v>
      </c>
      <c r="T896">
        <v>49.7</v>
      </c>
      <c r="U896">
        <v>0</v>
      </c>
      <c r="V896">
        <v>1.9517069109075771</v>
      </c>
      <c r="W896">
        <v>1.0345545378850958</v>
      </c>
      <c r="X896">
        <v>8.4</v>
      </c>
      <c r="Y896">
        <v>11.674770000000001</v>
      </c>
      <c r="Z896">
        <v>39.32</v>
      </c>
      <c r="AA896">
        <v>3.02</v>
      </c>
      <c r="AB896">
        <v>0.02</v>
      </c>
      <c r="AC896">
        <v>26.41</v>
      </c>
      <c r="AD896">
        <v>0</v>
      </c>
      <c r="AE896">
        <v>0.92166836215666326</v>
      </c>
      <c r="AF896">
        <v>0.50375127161749744</v>
      </c>
      <c r="AG896">
        <v>31.23</v>
      </c>
      <c r="AH896">
        <v>12.888535000000001</v>
      </c>
      <c r="AI896">
        <v>49</v>
      </c>
    </row>
    <row r="897" spans="1:36" x14ac:dyDescent="0.5">
      <c r="A897">
        <v>30</v>
      </c>
      <c r="B897">
        <v>210</v>
      </c>
      <c r="C897">
        <v>0.1</v>
      </c>
      <c r="D897">
        <v>20</v>
      </c>
      <c r="E897">
        <v>250</v>
      </c>
      <c r="F897">
        <v>100</v>
      </c>
      <c r="G897">
        <v>5</v>
      </c>
      <c r="O897">
        <v>75.040000000000006</v>
      </c>
      <c r="P897">
        <v>16.440000000000001</v>
      </c>
      <c r="Q897">
        <v>38.36</v>
      </c>
      <c r="R897">
        <v>6.34</v>
      </c>
      <c r="S897">
        <v>3.56</v>
      </c>
      <c r="T897">
        <v>43.22</v>
      </c>
      <c r="U897">
        <v>0</v>
      </c>
      <c r="V897">
        <v>1.9833159541188736</v>
      </c>
      <c r="W897">
        <v>0.84502085505735136</v>
      </c>
      <c r="X897">
        <v>8.5299999999999994</v>
      </c>
      <c r="Y897">
        <v>14.30443</v>
      </c>
      <c r="Z897">
        <v>45.02</v>
      </c>
      <c r="AA897">
        <v>6.33</v>
      </c>
      <c r="AB897">
        <v>1.5</v>
      </c>
      <c r="AC897">
        <v>39.72</v>
      </c>
      <c r="AD897">
        <v>0</v>
      </c>
      <c r="AE897">
        <v>1.6872501110617502</v>
      </c>
      <c r="AF897">
        <v>0.66170590848511768</v>
      </c>
      <c r="AG897">
        <v>7.43</v>
      </c>
      <c r="AH897">
        <v>17.165980000000001</v>
      </c>
      <c r="AI897">
        <v>72</v>
      </c>
    </row>
    <row r="898" spans="1:36" x14ac:dyDescent="0.5">
      <c r="A898">
        <v>60</v>
      </c>
      <c r="B898">
        <v>210</v>
      </c>
      <c r="C898">
        <v>0.1</v>
      </c>
      <c r="D898">
        <v>20</v>
      </c>
      <c r="E898">
        <v>250</v>
      </c>
      <c r="F898">
        <v>100</v>
      </c>
      <c r="G898">
        <v>5</v>
      </c>
      <c r="O898">
        <v>75.040000000000006</v>
      </c>
      <c r="P898">
        <v>16.440000000000001</v>
      </c>
      <c r="Q898">
        <v>38.36</v>
      </c>
      <c r="R898">
        <v>6.34</v>
      </c>
      <c r="S898">
        <v>3.56</v>
      </c>
      <c r="T898">
        <v>43.22</v>
      </c>
      <c r="U898">
        <v>0</v>
      </c>
      <c r="V898">
        <v>1.9833159541188736</v>
      </c>
      <c r="W898">
        <v>0.84502085505735136</v>
      </c>
      <c r="X898">
        <v>8.5299999999999994</v>
      </c>
      <c r="Y898">
        <v>14.30443</v>
      </c>
      <c r="Z898">
        <v>46.14</v>
      </c>
      <c r="AA898">
        <v>6.25</v>
      </c>
      <c r="AB898">
        <v>1.82</v>
      </c>
      <c r="AC898">
        <v>38.67</v>
      </c>
      <c r="AD898">
        <v>0</v>
      </c>
      <c r="AE898">
        <v>1.6254876462938881</v>
      </c>
      <c r="AF898">
        <v>0.62857607282184658</v>
      </c>
      <c r="AG898">
        <v>7.12</v>
      </c>
      <c r="AH898">
        <v>17.617725</v>
      </c>
      <c r="AI898">
        <v>64</v>
      </c>
    </row>
    <row r="899" spans="1:36" x14ac:dyDescent="0.5">
      <c r="A899">
        <v>30</v>
      </c>
      <c r="B899">
        <v>250</v>
      </c>
      <c r="C899">
        <v>0.1</v>
      </c>
      <c r="D899">
        <v>20</v>
      </c>
      <c r="E899">
        <v>250</v>
      </c>
      <c r="F899">
        <v>100</v>
      </c>
      <c r="G899">
        <v>5</v>
      </c>
      <c r="O899">
        <v>75.040000000000006</v>
      </c>
      <c r="P899">
        <v>16.440000000000001</v>
      </c>
      <c r="Q899">
        <v>38.36</v>
      </c>
      <c r="R899">
        <v>6.34</v>
      </c>
      <c r="S899">
        <v>3.56</v>
      </c>
      <c r="T899">
        <v>43.22</v>
      </c>
      <c r="U899">
        <v>0</v>
      </c>
      <c r="V899">
        <v>1.9833159541188736</v>
      </c>
      <c r="W899">
        <v>0.84502085505735136</v>
      </c>
      <c r="X899">
        <v>8.5299999999999994</v>
      </c>
      <c r="Y899">
        <v>14.30443</v>
      </c>
      <c r="Z899">
        <v>51.08</v>
      </c>
      <c r="AA899">
        <v>5.99</v>
      </c>
      <c r="AB899">
        <v>2.78</v>
      </c>
      <c r="AC899">
        <v>32.020000000000003</v>
      </c>
      <c r="AD899">
        <v>0</v>
      </c>
      <c r="AE899">
        <v>1.4072043852779954</v>
      </c>
      <c r="AF899">
        <v>0.47014487079091621</v>
      </c>
      <c r="AG899">
        <v>8.14</v>
      </c>
      <c r="AH899">
        <v>20.103189999999998</v>
      </c>
      <c r="AI899">
        <v>55</v>
      </c>
    </row>
    <row r="900" spans="1:36" x14ac:dyDescent="0.5">
      <c r="A900">
        <v>60</v>
      </c>
      <c r="B900">
        <v>250</v>
      </c>
      <c r="C900">
        <v>0.1</v>
      </c>
      <c r="D900">
        <v>20</v>
      </c>
      <c r="E900">
        <v>250</v>
      </c>
      <c r="F900">
        <v>100</v>
      </c>
      <c r="G900">
        <v>5</v>
      </c>
      <c r="O900">
        <v>75.040000000000006</v>
      </c>
      <c r="P900">
        <v>16.440000000000001</v>
      </c>
      <c r="Q900">
        <v>38.36</v>
      </c>
      <c r="R900">
        <v>6.34</v>
      </c>
      <c r="S900">
        <v>3.56</v>
      </c>
      <c r="T900">
        <v>43.22</v>
      </c>
      <c r="U900">
        <v>0</v>
      </c>
      <c r="V900">
        <v>1.9833159541188736</v>
      </c>
      <c r="W900">
        <v>0.84502085505735136</v>
      </c>
      <c r="X900">
        <v>8.5299999999999994</v>
      </c>
      <c r="Y900">
        <v>14.30443</v>
      </c>
      <c r="Z900">
        <v>55.36</v>
      </c>
      <c r="AA900">
        <v>5.71</v>
      </c>
      <c r="AB900">
        <v>3.72</v>
      </c>
      <c r="AC900">
        <v>25.72</v>
      </c>
      <c r="AD900">
        <v>0</v>
      </c>
      <c r="AE900">
        <v>1.2377167630057804</v>
      </c>
      <c r="AF900">
        <v>0.34844653179190749</v>
      </c>
      <c r="AG900">
        <v>9.49</v>
      </c>
      <c r="AH900">
        <v>22.274540000000002</v>
      </c>
      <c r="AI900">
        <v>51</v>
      </c>
    </row>
    <row r="901" spans="1:36" x14ac:dyDescent="0.5">
      <c r="A901">
        <v>30</v>
      </c>
      <c r="B901">
        <v>210</v>
      </c>
      <c r="C901">
        <v>0.1</v>
      </c>
      <c r="D901">
        <v>20</v>
      </c>
      <c r="E901">
        <v>250</v>
      </c>
      <c r="F901">
        <v>100</v>
      </c>
      <c r="G901">
        <v>5</v>
      </c>
      <c r="O901">
        <v>81.88</v>
      </c>
      <c r="P901">
        <v>13.47</v>
      </c>
      <c r="Q901">
        <v>43.02</v>
      </c>
      <c r="R901">
        <v>6.98</v>
      </c>
      <c r="S901">
        <v>2.8</v>
      </c>
      <c r="T901">
        <v>42.56</v>
      </c>
      <c r="U901">
        <v>0</v>
      </c>
      <c r="V901">
        <v>1.9470013947001394</v>
      </c>
      <c r="W901">
        <v>0.74198047419804736</v>
      </c>
      <c r="X901">
        <v>4.6500000000000004</v>
      </c>
      <c r="Y901">
        <v>16.911240000000003</v>
      </c>
      <c r="Z901">
        <v>61.63</v>
      </c>
      <c r="AA901">
        <v>6.6</v>
      </c>
      <c r="AB901">
        <v>4.1399999999999997</v>
      </c>
      <c r="AC901">
        <v>23.06</v>
      </c>
      <c r="AD901">
        <v>0</v>
      </c>
      <c r="AE901">
        <v>1.2850884309589485</v>
      </c>
      <c r="AF901">
        <v>0.28062631835145219</v>
      </c>
      <c r="AG901">
        <v>4.57</v>
      </c>
      <c r="AH901">
        <v>26.139530000000001</v>
      </c>
      <c r="AI901">
        <v>70</v>
      </c>
    </row>
    <row r="902" spans="1:36" x14ac:dyDescent="0.5">
      <c r="A902">
        <v>90</v>
      </c>
      <c r="B902">
        <v>210</v>
      </c>
      <c r="C902">
        <v>0.1</v>
      </c>
      <c r="D902">
        <v>20</v>
      </c>
      <c r="E902">
        <v>250</v>
      </c>
      <c r="F902">
        <v>100</v>
      </c>
      <c r="G902">
        <v>5</v>
      </c>
      <c r="O902">
        <v>81.88</v>
      </c>
      <c r="P902">
        <v>13.47</v>
      </c>
      <c r="Q902">
        <v>43.02</v>
      </c>
      <c r="R902">
        <v>6.98</v>
      </c>
      <c r="S902">
        <v>2.8</v>
      </c>
      <c r="T902">
        <v>42.56</v>
      </c>
      <c r="U902">
        <v>0</v>
      </c>
      <c r="V902">
        <v>1.9470013947001394</v>
      </c>
      <c r="W902">
        <v>0.74198047419804736</v>
      </c>
      <c r="X902">
        <v>4.6500000000000004</v>
      </c>
      <c r="Y902">
        <v>16.911240000000003</v>
      </c>
      <c r="Z902">
        <v>61.51</v>
      </c>
      <c r="AA902">
        <v>6.41</v>
      </c>
      <c r="AB902">
        <v>3.99</v>
      </c>
      <c r="AC902">
        <v>23.9</v>
      </c>
      <c r="AD902">
        <v>0</v>
      </c>
      <c r="AE902">
        <v>1.250528369370834</v>
      </c>
      <c r="AF902">
        <v>0.29141602991383514</v>
      </c>
      <c r="AG902">
        <v>4.21</v>
      </c>
      <c r="AH902">
        <v>25.677709999999998</v>
      </c>
      <c r="AI902">
        <v>63</v>
      </c>
    </row>
    <row r="903" spans="1:36" x14ac:dyDescent="0.5">
      <c r="A903">
        <v>30</v>
      </c>
      <c r="B903">
        <v>250</v>
      </c>
      <c r="C903">
        <v>0.1</v>
      </c>
      <c r="D903">
        <v>20</v>
      </c>
      <c r="E903">
        <v>250</v>
      </c>
      <c r="F903">
        <v>100</v>
      </c>
      <c r="G903">
        <v>5</v>
      </c>
      <c r="O903">
        <v>81.88</v>
      </c>
      <c r="P903">
        <v>13.47</v>
      </c>
      <c r="Q903">
        <v>43.02</v>
      </c>
      <c r="R903">
        <v>6.98</v>
      </c>
      <c r="S903">
        <v>2.8</v>
      </c>
      <c r="T903">
        <v>42.56</v>
      </c>
      <c r="U903">
        <v>0</v>
      </c>
      <c r="V903">
        <v>1.9470013947001394</v>
      </c>
      <c r="W903">
        <v>0.74198047419804736</v>
      </c>
      <c r="X903">
        <v>4.6500000000000004</v>
      </c>
      <c r="Y903">
        <v>16.911240000000003</v>
      </c>
      <c r="Z903">
        <v>65.38</v>
      </c>
      <c r="AA903">
        <v>6.45</v>
      </c>
      <c r="AB903">
        <v>4.07</v>
      </c>
      <c r="AC903">
        <v>19.66</v>
      </c>
      <c r="AD903">
        <v>0</v>
      </c>
      <c r="AE903">
        <v>1.1838482716427043</v>
      </c>
      <c r="AF903">
        <v>0.22552768430712758</v>
      </c>
      <c r="AG903">
        <v>4.4400000000000004</v>
      </c>
      <c r="AH903">
        <v>27.79973</v>
      </c>
      <c r="AI903">
        <v>55</v>
      </c>
    </row>
    <row r="904" spans="1:36" x14ac:dyDescent="0.5">
      <c r="A904">
        <v>60</v>
      </c>
      <c r="B904">
        <v>280</v>
      </c>
      <c r="C904">
        <v>0.1</v>
      </c>
      <c r="D904">
        <v>20</v>
      </c>
      <c r="E904">
        <v>250</v>
      </c>
      <c r="F904">
        <v>100</v>
      </c>
      <c r="G904">
        <v>5</v>
      </c>
      <c r="O904">
        <v>63.26</v>
      </c>
      <c r="P904">
        <v>31.84</v>
      </c>
      <c r="Q904">
        <v>80.739999999999995</v>
      </c>
      <c r="R904">
        <v>7.98</v>
      </c>
      <c r="S904">
        <v>0.48</v>
      </c>
      <c r="T904">
        <v>4.62</v>
      </c>
      <c r="U904">
        <v>0</v>
      </c>
      <c r="V904">
        <v>1.18602922962596</v>
      </c>
      <c r="W904">
        <v>4.2915531335149866E-2</v>
      </c>
      <c r="X904">
        <v>4.9000000000000004</v>
      </c>
      <c r="Y904">
        <v>37.860890000000005</v>
      </c>
      <c r="Z904">
        <v>82.51</v>
      </c>
      <c r="AA904">
        <v>8.0500000000000007</v>
      </c>
      <c r="AB904">
        <v>0.2</v>
      </c>
      <c r="AC904">
        <v>1.93</v>
      </c>
      <c r="AD904">
        <v>0</v>
      </c>
      <c r="AE904">
        <v>1.1707671797357897</v>
      </c>
      <c r="AF904">
        <v>1.7543328081444671E-2</v>
      </c>
      <c r="AG904">
        <v>6.17</v>
      </c>
      <c r="AH904">
        <v>39.039275000000004</v>
      </c>
      <c r="AI904">
        <v>97</v>
      </c>
    </row>
    <row r="905" spans="1:36" x14ac:dyDescent="0.5">
      <c r="A905">
        <v>120</v>
      </c>
      <c r="B905">
        <v>280</v>
      </c>
      <c r="C905">
        <v>0.1</v>
      </c>
      <c r="D905">
        <v>20</v>
      </c>
      <c r="E905">
        <v>250</v>
      </c>
      <c r="F905">
        <v>100</v>
      </c>
      <c r="G905">
        <v>5</v>
      </c>
      <c r="O905">
        <v>63.26</v>
      </c>
      <c r="P905">
        <v>31.84</v>
      </c>
      <c r="Q905">
        <v>80.739999999999995</v>
      </c>
      <c r="R905">
        <v>7.98</v>
      </c>
      <c r="S905">
        <v>0.48</v>
      </c>
      <c r="T905">
        <v>4.62</v>
      </c>
      <c r="U905">
        <v>0</v>
      </c>
      <c r="V905">
        <v>1.18602922962596</v>
      </c>
      <c r="W905">
        <v>4.2915531335149866E-2</v>
      </c>
      <c r="X905">
        <v>4.9000000000000004</v>
      </c>
      <c r="Y905">
        <v>37.860890000000005</v>
      </c>
      <c r="Z905">
        <v>83.08</v>
      </c>
      <c r="AA905">
        <v>8.09</v>
      </c>
      <c r="AB905">
        <v>0.21</v>
      </c>
      <c r="AC905">
        <v>0.87</v>
      </c>
      <c r="AD905">
        <v>0</v>
      </c>
      <c r="AE905">
        <v>1.1685122773230621</v>
      </c>
      <c r="AF905">
        <v>7.8538757823784309E-3</v>
      </c>
      <c r="AG905">
        <v>6.64</v>
      </c>
      <c r="AH905">
        <v>39.478265</v>
      </c>
      <c r="AI905">
        <v>95</v>
      </c>
    </row>
    <row r="906" spans="1:36" x14ac:dyDescent="0.5">
      <c r="A906">
        <v>60</v>
      </c>
      <c r="B906">
        <v>180</v>
      </c>
      <c r="C906">
        <v>0.1</v>
      </c>
      <c r="D906">
        <v>3</v>
      </c>
      <c r="E906">
        <v>50</v>
      </c>
      <c r="F906">
        <v>30</v>
      </c>
      <c r="G906">
        <v>10</v>
      </c>
      <c r="Q906">
        <v>37.799999999999997</v>
      </c>
      <c r="R906">
        <v>4.8</v>
      </c>
      <c r="S906">
        <v>1.9</v>
      </c>
      <c r="T906">
        <v>31</v>
      </c>
      <c r="U906">
        <v>0.1</v>
      </c>
      <c r="V906">
        <v>1.5238095238095237</v>
      </c>
      <c r="W906">
        <v>0.61507936507936511</v>
      </c>
      <c r="X906">
        <v>24.4</v>
      </c>
      <c r="Y906">
        <v>15.1</v>
      </c>
      <c r="Z906">
        <v>44.2</v>
      </c>
      <c r="AA906">
        <v>4.5999999999999996</v>
      </c>
      <c r="AB906">
        <v>2.4</v>
      </c>
      <c r="AC906">
        <v>23.5</v>
      </c>
      <c r="AD906">
        <v>0.1</v>
      </c>
      <c r="AE906">
        <v>1.2488687782805428</v>
      </c>
      <c r="AF906">
        <v>0.39875565610859726</v>
      </c>
      <c r="AG906">
        <v>25.2</v>
      </c>
      <c r="AH906">
        <v>17.8</v>
      </c>
      <c r="AI906">
        <v>74.7</v>
      </c>
      <c r="AJ906" t="s">
        <v>239</v>
      </c>
    </row>
    <row r="907" spans="1:36" x14ac:dyDescent="0.5">
      <c r="A907">
        <v>240</v>
      </c>
      <c r="B907">
        <v>180</v>
      </c>
      <c r="C907">
        <v>0.1</v>
      </c>
      <c r="D907">
        <v>3</v>
      </c>
      <c r="E907">
        <v>50</v>
      </c>
      <c r="F907">
        <v>30</v>
      </c>
      <c r="G907">
        <v>10</v>
      </c>
      <c r="Q907">
        <v>37.799999999999997</v>
      </c>
      <c r="R907">
        <v>4.8</v>
      </c>
      <c r="S907">
        <v>1.9</v>
      </c>
      <c r="T907">
        <v>31</v>
      </c>
      <c r="U907">
        <v>0.1</v>
      </c>
      <c r="V907">
        <v>1.5238095238095237</v>
      </c>
      <c r="W907">
        <v>0.61507936507936511</v>
      </c>
      <c r="X907">
        <v>24.4</v>
      </c>
      <c r="Y907">
        <v>15.1</v>
      </c>
      <c r="Z907">
        <v>54.4</v>
      </c>
      <c r="AA907">
        <v>6.2</v>
      </c>
      <c r="AB907">
        <v>4.4000000000000004</v>
      </c>
      <c r="AC907">
        <v>18.399999999999999</v>
      </c>
      <c r="AD907">
        <v>0</v>
      </c>
      <c r="AE907">
        <v>1.3676470588235294</v>
      </c>
      <c r="AF907">
        <v>0.25367647058823528</v>
      </c>
      <c r="AG907">
        <v>25</v>
      </c>
      <c r="AH907">
        <v>24.3</v>
      </c>
      <c r="AI907">
        <v>52.5</v>
      </c>
    </row>
    <row r="908" spans="1:36" x14ac:dyDescent="0.5">
      <c r="A908">
        <v>60</v>
      </c>
      <c r="B908">
        <v>200</v>
      </c>
      <c r="C908">
        <v>0.1</v>
      </c>
      <c r="D908">
        <v>3</v>
      </c>
      <c r="E908">
        <v>50</v>
      </c>
      <c r="F908">
        <v>30</v>
      </c>
      <c r="G908">
        <v>10</v>
      </c>
      <c r="Q908">
        <v>37.799999999999997</v>
      </c>
      <c r="R908">
        <v>4.8</v>
      </c>
      <c r="S908">
        <v>1.9</v>
      </c>
      <c r="T908">
        <v>31</v>
      </c>
      <c r="U908">
        <v>0.1</v>
      </c>
      <c r="V908">
        <v>1.5238095238095237</v>
      </c>
      <c r="W908">
        <v>0.61507936507936511</v>
      </c>
      <c r="X908">
        <v>24.4</v>
      </c>
      <c r="Y908">
        <v>15.1</v>
      </c>
      <c r="Z908">
        <v>46.6</v>
      </c>
      <c r="AA908">
        <v>4.7</v>
      </c>
      <c r="AB908">
        <v>2.1</v>
      </c>
      <c r="AC908">
        <v>21.3</v>
      </c>
      <c r="AD908">
        <v>0.1</v>
      </c>
      <c r="AE908">
        <v>1.2103004291845494</v>
      </c>
      <c r="AF908">
        <v>0.34281115879828328</v>
      </c>
      <c r="AG908">
        <v>25.2</v>
      </c>
      <c r="AH908">
        <v>19</v>
      </c>
      <c r="AI908">
        <v>60.7</v>
      </c>
    </row>
    <row r="909" spans="1:36" x14ac:dyDescent="0.5">
      <c r="A909">
        <v>120</v>
      </c>
      <c r="B909">
        <v>200</v>
      </c>
      <c r="C909">
        <v>0.1</v>
      </c>
      <c r="D909">
        <v>3</v>
      </c>
      <c r="E909">
        <v>50</v>
      </c>
      <c r="F909">
        <v>30</v>
      </c>
      <c r="G909">
        <v>10</v>
      </c>
      <c r="Q909">
        <v>37.799999999999997</v>
      </c>
      <c r="R909">
        <v>4.8</v>
      </c>
      <c r="S909">
        <v>1.9</v>
      </c>
      <c r="T909">
        <v>31</v>
      </c>
      <c r="U909">
        <v>0.1</v>
      </c>
      <c r="V909">
        <v>1.5238095238095237</v>
      </c>
      <c r="W909">
        <v>0.61507936507936511</v>
      </c>
      <c r="X909">
        <v>24.4</v>
      </c>
      <c r="Y909">
        <v>15.1</v>
      </c>
      <c r="Z909">
        <v>52</v>
      </c>
      <c r="AA909">
        <v>6</v>
      </c>
      <c r="AB909">
        <v>3.8</v>
      </c>
      <c r="AC909">
        <v>21.7</v>
      </c>
      <c r="AD909">
        <v>0.3</v>
      </c>
      <c r="AE909">
        <v>1.3846153846153848</v>
      </c>
      <c r="AF909">
        <v>0.31298076923076923</v>
      </c>
      <c r="AG909">
        <v>16.399999999999999</v>
      </c>
      <c r="AH909">
        <v>22.7</v>
      </c>
      <c r="AI909">
        <v>45.8</v>
      </c>
    </row>
    <row r="910" spans="1:36" x14ac:dyDescent="0.5">
      <c r="A910">
        <v>60</v>
      </c>
      <c r="B910">
        <v>220</v>
      </c>
      <c r="C910">
        <v>0.1</v>
      </c>
      <c r="D910">
        <v>3</v>
      </c>
      <c r="E910">
        <v>50</v>
      </c>
      <c r="F910">
        <v>30</v>
      </c>
      <c r="G910">
        <v>10</v>
      </c>
      <c r="Q910">
        <v>37.799999999999997</v>
      </c>
      <c r="R910">
        <v>4.8</v>
      </c>
      <c r="S910">
        <v>1.9</v>
      </c>
      <c r="T910">
        <v>31</v>
      </c>
      <c r="U910">
        <v>0.1</v>
      </c>
      <c r="V910">
        <v>1.5238095238095237</v>
      </c>
      <c r="W910">
        <v>0.61507936507936511</v>
      </c>
      <c r="X910">
        <v>24.4</v>
      </c>
      <c r="Y910">
        <v>15.1</v>
      </c>
      <c r="Z910">
        <v>45</v>
      </c>
      <c r="AA910">
        <v>4.4000000000000004</v>
      </c>
      <c r="AB910">
        <v>2.4</v>
      </c>
      <c r="AC910">
        <v>17.600000000000001</v>
      </c>
      <c r="AD910">
        <v>0.2</v>
      </c>
      <c r="AE910">
        <v>1.1733333333333333</v>
      </c>
      <c r="AF910">
        <v>0.29333333333333333</v>
      </c>
      <c r="AG910">
        <v>30.4</v>
      </c>
      <c r="AH910">
        <v>18.5</v>
      </c>
      <c r="AI910">
        <v>58.1</v>
      </c>
    </row>
    <row r="911" spans="1:36" x14ac:dyDescent="0.5">
      <c r="A911">
        <v>60</v>
      </c>
      <c r="B911">
        <v>250</v>
      </c>
      <c r="C911">
        <v>0.1</v>
      </c>
      <c r="D911">
        <v>3</v>
      </c>
      <c r="E911">
        <v>50</v>
      </c>
      <c r="F911">
        <v>30</v>
      </c>
      <c r="G911">
        <v>10</v>
      </c>
      <c r="Q911">
        <v>37.799999999999997</v>
      </c>
      <c r="R911">
        <v>4.8</v>
      </c>
      <c r="S911">
        <v>1.9</v>
      </c>
      <c r="T911">
        <v>31</v>
      </c>
      <c r="U911">
        <v>0.1</v>
      </c>
      <c r="V911">
        <v>1.5238095238095237</v>
      </c>
      <c r="W911">
        <v>0.61507936507936511</v>
      </c>
      <c r="X911">
        <v>24.4</v>
      </c>
      <c r="Y911">
        <v>15.1</v>
      </c>
      <c r="Z911">
        <v>57.6</v>
      </c>
      <c r="AA911">
        <v>4.5999999999999996</v>
      </c>
      <c r="AB911">
        <v>3.1</v>
      </c>
      <c r="AC911">
        <v>4</v>
      </c>
      <c r="AD911">
        <v>0.3</v>
      </c>
      <c r="AE911">
        <v>0.95833333333333326</v>
      </c>
      <c r="AF911">
        <v>5.2083333333333336E-2</v>
      </c>
      <c r="AG911">
        <v>30.4</v>
      </c>
      <c r="AH911">
        <v>24.4</v>
      </c>
      <c r="AI911">
        <v>46.1</v>
      </c>
    </row>
    <row r="912" spans="1:36" x14ac:dyDescent="0.5">
      <c r="A912">
        <v>120</v>
      </c>
      <c r="B912">
        <v>250</v>
      </c>
      <c r="C912">
        <v>0.1</v>
      </c>
      <c r="D912">
        <v>3</v>
      </c>
      <c r="E912">
        <v>50</v>
      </c>
      <c r="F912">
        <v>30</v>
      </c>
      <c r="G912">
        <v>10</v>
      </c>
      <c r="Q912">
        <v>37.799999999999997</v>
      </c>
      <c r="R912">
        <v>4.8</v>
      </c>
      <c r="S912">
        <v>1.9</v>
      </c>
      <c r="T912">
        <v>31</v>
      </c>
      <c r="U912">
        <v>0.1</v>
      </c>
      <c r="V912">
        <v>1.5238095238095237</v>
      </c>
      <c r="W912">
        <v>0.61507936507936511</v>
      </c>
      <c r="X912">
        <v>24.4</v>
      </c>
      <c r="Y912">
        <v>15.1</v>
      </c>
      <c r="Z912">
        <v>56.9</v>
      </c>
      <c r="AA912">
        <v>5.6</v>
      </c>
      <c r="AB912">
        <v>5.0999999999999996</v>
      </c>
      <c r="AC912">
        <v>6</v>
      </c>
      <c r="AD912">
        <v>0.3</v>
      </c>
      <c r="AE912">
        <v>1.1810193321616873</v>
      </c>
      <c r="AF912">
        <v>7.9086115992970135E-2</v>
      </c>
      <c r="AG912">
        <v>26.3</v>
      </c>
      <c r="AH912">
        <v>24.7</v>
      </c>
      <c r="AI912">
        <v>32.799999999999997</v>
      </c>
    </row>
    <row r="913" spans="1:36" x14ac:dyDescent="0.5">
      <c r="A913">
        <v>60</v>
      </c>
      <c r="B913">
        <v>180</v>
      </c>
      <c r="C913">
        <v>0.1</v>
      </c>
      <c r="D913">
        <v>10</v>
      </c>
      <c r="E913">
        <v>500</v>
      </c>
      <c r="F913">
        <v>100</v>
      </c>
      <c r="G913">
        <v>10</v>
      </c>
      <c r="O913">
        <v>72.599999999999994</v>
      </c>
      <c r="P913">
        <v>15.9</v>
      </c>
      <c r="Q913">
        <v>41.96</v>
      </c>
      <c r="R913">
        <v>8.01</v>
      </c>
      <c r="S913">
        <v>3.45</v>
      </c>
      <c r="T913">
        <v>35.04</v>
      </c>
      <c r="U913">
        <v>7.0000000000000007E-2</v>
      </c>
      <c r="V913">
        <v>2.2907530981887514</v>
      </c>
      <c r="W913">
        <v>0.62631077216396569</v>
      </c>
      <c r="X913">
        <v>11.5</v>
      </c>
      <c r="Y913">
        <v>19.366120000000002</v>
      </c>
      <c r="Z913">
        <v>65.510000000000005</v>
      </c>
      <c r="AA913">
        <v>7.36</v>
      </c>
      <c r="AB913">
        <v>3.38</v>
      </c>
      <c r="AC913">
        <v>14.54</v>
      </c>
      <c r="AD913">
        <v>0.12</v>
      </c>
      <c r="AE913">
        <v>1.3481911158601738</v>
      </c>
      <c r="AF913">
        <v>0.16646313539917568</v>
      </c>
      <c r="AG913">
        <v>9.09</v>
      </c>
      <c r="AH913">
        <v>30.057070000000003</v>
      </c>
      <c r="AI913">
        <v>53.82</v>
      </c>
      <c r="AJ913" t="s">
        <v>241</v>
      </c>
    </row>
    <row r="914" spans="1:36" x14ac:dyDescent="0.5">
      <c r="A914">
        <v>60</v>
      </c>
      <c r="B914">
        <v>200</v>
      </c>
      <c r="C914">
        <v>0.1</v>
      </c>
      <c r="D914">
        <v>10</v>
      </c>
      <c r="E914">
        <v>500</v>
      </c>
      <c r="F914">
        <v>100</v>
      </c>
      <c r="G914">
        <v>10</v>
      </c>
      <c r="O914">
        <v>72.599999999999994</v>
      </c>
      <c r="P914">
        <v>15.9</v>
      </c>
      <c r="Q914">
        <v>41.96</v>
      </c>
      <c r="R914">
        <v>8.01</v>
      </c>
      <c r="S914">
        <v>3.45</v>
      </c>
      <c r="T914">
        <v>35.04</v>
      </c>
      <c r="U914">
        <v>7.0000000000000007E-2</v>
      </c>
      <c r="V914">
        <v>2.2907530981887514</v>
      </c>
      <c r="W914">
        <v>0.62631077216396569</v>
      </c>
      <c r="X914">
        <v>11.5</v>
      </c>
      <c r="Y914">
        <v>19.366120000000002</v>
      </c>
      <c r="Z914">
        <v>66.489999999999995</v>
      </c>
      <c r="AA914">
        <v>7.14</v>
      </c>
      <c r="AB914">
        <v>3.34</v>
      </c>
      <c r="AC914">
        <v>14.62</v>
      </c>
      <c r="AD914">
        <v>0.14000000000000001</v>
      </c>
      <c r="AE914">
        <v>1.2886148292976389</v>
      </c>
      <c r="AF914">
        <v>0.1649120168446383</v>
      </c>
      <c r="AG914">
        <v>8.27</v>
      </c>
      <c r="AH914">
        <v>30.05987</v>
      </c>
      <c r="AI914">
        <v>45.52</v>
      </c>
    </row>
    <row r="915" spans="1:36" x14ac:dyDescent="0.5">
      <c r="A915">
        <v>60</v>
      </c>
      <c r="B915">
        <v>220</v>
      </c>
      <c r="C915">
        <v>0.1</v>
      </c>
      <c r="D915">
        <v>10</v>
      </c>
      <c r="E915">
        <v>500</v>
      </c>
      <c r="F915">
        <v>100</v>
      </c>
      <c r="G915">
        <v>10</v>
      </c>
      <c r="O915">
        <v>72.599999999999994</v>
      </c>
      <c r="P915">
        <v>15.9</v>
      </c>
      <c r="Q915">
        <v>41.96</v>
      </c>
      <c r="R915">
        <v>8.01</v>
      </c>
      <c r="S915">
        <v>3.45</v>
      </c>
      <c r="T915">
        <v>35.04</v>
      </c>
      <c r="U915">
        <v>7.0000000000000007E-2</v>
      </c>
      <c r="V915">
        <v>2.2907530981887514</v>
      </c>
      <c r="W915">
        <v>0.62631077216396569</v>
      </c>
      <c r="X915">
        <v>11.5</v>
      </c>
      <c r="Y915">
        <v>19.366120000000002</v>
      </c>
      <c r="Z915">
        <v>68.540000000000006</v>
      </c>
      <c r="AA915">
        <v>6.73</v>
      </c>
      <c r="AB915">
        <v>3.51</v>
      </c>
      <c r="AC915">
        <v>14.41</v>
      </c>
      <c r="AD915">
        <v>0.14000000000000001</v>
      </c>
      <c r="AE915">
        <v>1.1782900496060695</v>
      </c>
      <c r="AF915">
        <v>0.15768164575430405</v>
      </c>
      <c r="AG915">
        <v>6.67</v>
      </c>
      <c r="AH915">
        <v>30.204775000000005</v>
      </c>
      <c r="AI915">
        <v>40.25</v>
      </c>
    </row>
    <row r="916" spans="1:36" x14ac:dyDescent="0.5">
      <c r="A916">
        <v>60</v>
      </c>
      <c r="B916">
        <v>240</v>
      </c>
      <c r="C916">
        <v>0.1</v>
      </c>
      <c r="D916">
        <v>10</v>
      </c>
      <c r="E916">
        <v>500</v>
      </c>
      <c r="F916">
        <v>100</v>
      </c>
      <c r="G916">
        <v>10</v>
      </c>
      <c r="O916">
        <v>72.599999999999994</v>
      </c>
      <c r="P916">
        <v>15.9</v>
      </c>
      <c r="Q916">
        <v>41.96</v>
      </c>
      <c r="R916">
        <v>8.01</v>
      </c>
      <c r="S916">
        <v>3.45</v>
      </c>
      <c r="T916">
        <v>35.04</v>
      </c>
      <c r="U916">
        <v>7.0000000000000007E-2</v>
      </c>
      <c r="V916">
        <v>2.2907530981887514</v>
      </c>
      <c r="W916">
        <v>0.62631077216396569</v>
      </c>
      <c r="X916">
        <v>11.5</v>
      </c>
      <c r="Y916">
        <v>19.366120000000002</v>
      </c>
      <c r="Z916">
        <v>69.36</v>
      </c>
      <c r="AA916">
        <v>6.94</v>
      </c>
      <c r="AB916">
        <v>3.68</v>
      </c>
      <c r="AC916">
        <v>12.24</v>
      </c>
      <c r="AD916">
        <v>0.11</v>
      </c>
      <c r="AE916">
        <v>1.2006920415224913</v>
      </c>
      <c r="AF916">
        <v>0.13235294117647059</v>
      </c>
      <c r="AG916">
        <v>7.67</v>
      </c>
      <c r="AH916">
        <v>31.169160000000002</v>
      </c>
      <c r="AI916">
        <v>38.200000000000003</v>
      </c>
    </row>
    <row r="917" spans="1:36" x14ac:dyDescent="0.5">
      <c r="A917">
        <v>60</v>
      </c>
      <c r="B917">
        <v>260</v>
      </c>
      <c r="C917">
        <v>0.1</v>
      </c>
      <c r="D917">
        <v>10</v>
      </c>
      <c r="E917">
        <v>500</v>
      </c>
      <c r="F917">
        <v>100</v>
      </c>
      <c r="G917">
        <v>10</v>
      </c>
      <c r="O917">
        <v>72.599999999999994</v>
      </c>
      <c r="P917">
        <v>15.9</v>
      </c>
      <c r="Q917">
        <v>41.96</v>
      </c>
      <c r="R917">
        <v>8.01</v>
      </c>
      <c r="S917">
        <v>3.45</v>
      </c>
      <c r="T917">
        <v>35.04</v>
      </c>
      <c r="U917">
        <v>7.0000000000000007E-2</v>
      </c>
      <c r="V917">
        <v>2.2907530981887514</v>
      </c>
      <c r="W917">
        <v>0.62631077216396569</v>
      </c>
      <c r="X917">
        <v>11.5</v>
      </c>
      <c r="Y917">
        <v>19.366120000000002</v>
      </c>
      <c r="Z917">
        <v>71.959999999999994</v>
      </c>
      <c r="AA917">
        <v>7.39</v>
      </c>
      <c r="AB917">
        <v>3.84</v>
      </c>
      <c r="AC917">
        <v>10.24</v>
      </c>
      <c r="AD917">
        <v>0.08</v>
      </c>
      <c r="AE917">
        <v>1.2323513062812674</v>
      </c>
      <c r="AF917">
        <v>0.1067259588660367</v>
      </c>
      <c r="AG917">
        <v>6.39</v>
      </c>
      <c r="AH917">
        <v>33.047559999999997</v>
      </c>
      <c r="AI917">
        <v>35.01</v>
      </c>
    </row>
    <row r="918" spans="1:36" x14ac:dyDescent="0.5">
      <c r="A918">
        <v>60</v>
      </c>
      <c r="B918">
        <v>180</v>
      </c>
      <c r="C918">
        <v>0.1</v>
      </c>
      <c r="D918">
        <v>350</v>
      </c>
      <c r="E918">
        <v>2000</v>
      </c>
      <c r="F918">
        <v>1135</v>
      </c>
      <c r="G918">
        <v>3.2428571428571429</v>
      </c>
      <c r="O918">
        <v>83.43</v>
      </c>
      <c r="P918">
        <v>14.56</v>
      </c>
      <c r="Q918">
        <v>54.86</v>
      </c>
      <c r="R918">
        <v>6.6</v>
      </c>
      <c r="S918">
        <v>2.5</v>
      </c>
      <c r="T918">
        <v>34.03</v>
      </c>
      <c r="U918">
        <v>0</v>
      </c>
      <c r="V918">
        <v>1.4436748086037186</v>
      </c>
      <c r="W918">
        <v>0.46522967553773248</v>
      </c>
      <c r="X918">
        <v>2.02</v>
      </c>
      <c r="Y918">
        <v>22.59</v>
      </c>
      <c r="Z918">
        <v>58.08</v>
      </c>
      <c r="AA918">
        <v>6.78</v>
      </c>
      <c r="AB918">
        <v>2.61</v>
      </c>
      <c r="AC918">
        <v>31.2</v>
      </c>
      <c r="AD918">
        <v>0</v>
      </c>
      <c r="AE918">
        <v>1.4008264462809918</v>
      </c>
      <c r="AF918">
        <v>0.40289256198347106</v>
      </c>
      <c r="AG918">
        <v>1.33</v>
      </c>
      <c r="AH918">
        <v>23.64</v>
      </c>
      <c r="AI918">
        <v>87.2</v>
      </c>
      <c r="AJ918" t="s">
        <v>243</v>
      </c>
    </row>
    <row r="919" spans="1:36" x14ac:dyDescent="0.5">
      <c r="A919">
        <v>60</v>
      </c>
      <c r="B919">
        <v>220</v>
      </c>
      <c r="C919">
        <v>0.1</v>
      </c>
      <c r="D919">
        <v>350</v>
      </c>
      <c r="E919">
        <v>2000</v>
      </c>
      <c r="F919">
        <v>1135</v>
      </c>
      <c r="G919">
        <v>3.2428571428571429</v>
      </c>
      <c r="O919">
        <v>83.43</v>
      </c>
      <c r="P919">
        <v>14.56</v>
      </c>
      <c r="Q919">
        <v>54.86</v>
      </c>
      <c r="R919">
        <v>6.6</v>
      </c>
      <c r="S919">
        <v>2.5</v>
      </c>
      <c r="T919">
        <v>34.03</v>
      </c>
      <c r="U919">
        <v>0</v>
      </c>
      <c r="V919">
        <v>1.4436748086037186</v>
      </c>
      <c r="W919">
        <v>0.46522967553773248</v>
      </c>
      <c r="X919">
        <v>2.02</v>
      </c>
      <c r="Y919">
        <v>22.59</v>
      </c>
      <c r="Z919">
        <v>67.260000000000005</v>
      </c>
      <c r="AA919">
        <v>6.7</v>
      </c>
      <c r="AB919">
        <v>3.09</v>
      </c>
      <c r="AC919">
        <v>21.46</v>
      </c>
      <c r="AD919">
        <v>0</v>
      </c>
      <c r="AE919">
        <v>1.1953612845673505</v>
      </c>
      <c r="AF919">
        <v>0.23929527207850132</v>
      </c>
      <c r="AG919">
        <v>1.49</v>
      </c>
      <c r="AH919">
        <v>28.28</v>
      </c>
      <c r="AI919">
        <v>72.5</v>
      </c>
    </row>
    <row r="920" spans="1:36" x14ac:dyDescent="0.5">
      <c r="A920">
        <v>60</v>
      </c>
      <c r="B920">
        <v>50</v>
      </c>
      <c r="C920">
        <v>0.1</v>
      </c>
      <c r="D920">
        <v>350</v>
      </c>
      <c r="E920">
        <v>2000</v>
      </c>
      <c r="F920">
        <v>1135</v>
      </c>
      <c r="G920">
        <v>3.2428571428571429</v>
      </c>
      <c r="O920">
        <v>83.43</v>
      </c>
      <c r="P920">
        <v>14.56</v>
      </c>
      <c r="Q920">
        <v>54.86</v>
      </c>
      <c r="R920">
        <v>6.6</v>
      </c>
      <c r="S920">
        <v>2.5</v>
      </c>
      <c r="T920">
        <v>34.03</v>
      </c>
      <c r="U920">
        <v>0</v>
      </c>
      <c r="V920">
        <v>1.4436748086037186</v>
      </c>
      <c r="W920">
        <v>0.46522967553773248</v>
      </c>
      <c r="X920">
        <v>2.02</v>
      </c>
      <c r="Y920">
        <v>22.59</v>
      </c>
      <c r="Z920">
        <v>71.69</v>
      </c>
      <c r="AA920">
        <v>6.76</v>
      </c>
      <c r="AB920">
        <v>3.41</v>
      </c>
      <c r="AC920">
        <v>16.71</v>
      </c>
      <c r="AD920">
        <v>0</v>
      </c>
      <c r="AE920">
        <v>1.1315385688380528</v>
      </c>
      <c r="AF920">
        <v>0.17481517645417774</v>
      </c>
      <c r="AG920">
        <v>1.43</v>
      </c>
      <c r="AH920">
        <v>31.15</v>
      </c>
      <c r="AI920">
        <v>61.7</v>
      </c>
    </row>
    <row r="921" spans="1:36" x14ac:dyDescent="0.5">
      <c r="A921">
        <v>120</v>
      </c>
      <c r="B921">
        <v>190</v>
      </c>
      <c r="C921">
        <v>0.1</v>
      </c>
      <c r="D921">
        <v>2</v>
      </c>
      <c r="E921">
        <v>50</v>
      </c>
      <c r="F921">
        <v>20</v>
      </c>
      <c r="G921">
        <v>10</v>
      </c>
      <c r="H921">
        <v>42.6</v>
      </c>
      <c r="I921">
        <v>39.200000000000003</v>
      </c>
      <c r="J921">
        <v>18.2</v>
      </c>
      <c r="Q921">
        <v>51</v>
      </c>
      <c r="R921">
        <v>8.1</v>
      </c>
      <c r="S921">
        <v>10.3</v>
      </c>
      <c r="T921">
        <v>29.6</v>
      </c>
      <c r="U921">
        <v>1</v>
      </c>
      <c r="V921">
        <v>1.9058823529411764</v>
      </c>
      <c r="W921">
        <v>0.43529411764705883</v>
      </c>
      <c r="X921">
        <v>4</v>
      </c>
      <c r="Y921">
        <v>23.5212</v>
      </c>
      <c r="Z921">
        <v>61.9</v>
      </c>
      <c r="AA921">
        <v>8.3000000000000007</v>
      </c>
      <c r="AB921">
        <v>8.6999999999999993</v>
      </c>
      <c r="AC921">
        <v>20.3</v>
      </c>
      <c r="AD921">
        <v>0.8</v>
      </c>
      <c r="AE921">
        <v>1.6090468497576738</v>
      </c>
      <c r="AF921">
        <v>0.24596122778675283</v>
      </c>
      <c r="AH921">
        <v>28.8</v>
      </c>
      <c r="AI921">
        <v>36.700000000000003</v>
      </c>
      <c r="AJ921" t="s">
        <v>245</v>
      </c>
    </row>
    <row r="922" spans="1:36" x14ac:dyDescent="0.5">
      <c r="A922">
        <v>180</v>
      </c>
      <c r="B922">
        <v>190</v>
      </c>
      <c r="C922">
        <v>0.1</v>
      </c>
      <c r="D922">
        <v>2</v>
      </c>
      <c r="E922">
        <v>50</v>
      </c>
      <c r="F922">
        <v>20</v>
      </c>
      <c r="G922">
        <v>10</v>
      </c>
      <c r="H922">
        <v>42.6</v>
      </c>
      <c r="I922">
        <v>39.200000000000003</v>
      </c>
      <c r="J922">
        <v>18.2</v>
      </c>
      <c r="Q922">
        <v>51</v>
      </c>
      <c r="R922">
        <v>8.1</v>
      </c>
      <c r="S922">
        <v>10.3</v>
      </c>
      <c r="T922">
        <v>29.6</v>
      </c>
      <c r="U922">
        <v>1</v>
      </c>
      <c r="V922">
        <v>1.9058823529411764</v>
      </c>
      <c r="W922">
        <v>0.43529411764705883</v>
      </c>
      <c r="X922">
        <v>4</v>
      </c>
      <c r="Y922">
        <v>23.5212</v>
      </c>
      <c r="Z922">
        <v>63.6</v>
      </c>
      <c r="AA922">
        <v>8.3000000000000007</v>
      </c>
      <c r="AB922">
        <v>8.4</v>
      </c>
      <c r="AC922">
        <v>19</v>
      </c>
      <c r="AD922">
        <v>0.7</v>
      </c>
      <c r="AE922">
        <v>1.5660377358490567</v>
      </c>
      <c r="AF922">
        <v>0.22405660377358491</v>
      </c>
      <c r="AH922">
        <v>29.8</v>
      </c>
      <c r="AI922">
        <v>33.9</v>
      </c>
    </row>
    <row r="923" spans="1:36" x14ac:dyDescent="0.5">
      <c r="A923">
        <v>240</v>
      </c>
      <c r="B923">
        <v>190</v>
      </c>
      <c r="C923">
        <v>0.1</v>
      </c>
      <c r="D923">
        <v>2</v>
      </c>
      <c r="E923">
        <v>50</v>
      </c>
      <c r="F923">
        <v>20</v>
      </c>
      <c r="G923">
        <v>10</v>
      </c>
      <c r="H923">
        <v>42.6</v>
      </c>
      <c r="I923">
        <v>39.200000000000003</v>
      </c>
      <c r="J923">
        <v>18.2</v>
      </c>
      <c r="Q923">
        <v>51</v>
      </c>
      <c r="R923">
        <v>8.1</v>
      </c>
      <c r="S923">
        <v>10.3</v>
      </c>
      <c r="T923">
        <v>29.6</v>
      </c>
      <c r="U923">
        <v>1</v>
      </c>
      <c r="V923">
        <v>1.9058823529411764</v>
      </c>
      <c r="W923">
        <v>0.43529411764705883</v>
      </c>
      <c r="X923">
        <v>4</v>
      </c>
      <c r="Y923">
        <v>23.5212</v>
      </c>
      <c r="Z923">
        <v>64.3</v>
      </c>
      <c r="AA923">
        <v>8.3000000000000007</v>
      </c>
      <c r="AB923">
        <v>8.1</v>
      </c>
      <c r="AC923">
        <v>18.600000000000001</v>
      </c>
      <c r="AD923">
        <v>0.7</v>
      </c>
      <c r="AE923">
        <v>1.5489891135303266</v>
      </c>
      <c r="AF923">
        <v>0.21695178849144636</v>
      </c>
      <c r="AH923">
        <v>30.2</v>
      </c>
      <c r="AI923">
        <v>31.6</v>
      </c>
    </row>
    <row r="924" spans="1:36" x14ac:dyDescent="0.5">
      <c r="A924">
        <v>120</v>
      </c>
      <c r="B924">
        <v>200</v>
      </c>
      <c r="C924">
        <v>0.1</v>
      </c>
      <c r="D924">
        <v>2</v>
      </c>
      <c r="E924">
        <v>50</v>
      </c>
      <c r="F924">
        <v>20</v>
      </c>
      <c r="G924">
        <v>10</v>
      </c>
      <c r="H924">
        <v>42.6</v>
      </c>
      <c r="I924">
        <v>39.200000000000003</v>
      </c>
      <c r="J924">
        <v>18.2</v>
      </c>
      <c r="Q924">
        <v>51</v>
      </c>
      <c r="R924">
        <v>8.1</v>
      </c>
      <c r="S924">
        <v>10.3</v>
      </c>
      <c r="T924">
        <v>29.6</v>
      </c>
      <c r="U924">
        <v>1</v>
      </c>
      <c r="V924">
        <v>1.9058823529411764</v>
      </c>
      <c r="W924">
        <v>0.43529411764705883</v>
      </c>
      <c r="X924">
        <v>4</v>
      </c>
      <c r="Y924">
        <v>23.5212</v>
      </c>
      <c r="Z924">
        <v>65.099999999999994</v>
      </c>
      <c r="AA924">
        <v>8.5</v>
      </c>
      <c r="AB924">
        <v>8</v>
      </c>
      <c r="AC924">
        <v>17.7</v>
      </c>
      <c r="AD924">
        <v>0.7</v>
      </c>
      <c r="AE924">
        <v>1.566820276497696</v>
      </c>
      <c r="AF924">
        <v>0.20391705069124424</v>
      </c>
      <c r="AH924">
        <v>30.9</v>
      </c>
      <c r="AI924">
        <v>31</v>
      </c>
    </row>
    <row r="925" spans="1:36" x14ac:dyDescent="0.5">
      <c r="A925">
        <v>180</v>
      </c>
      <c r="B925">
        <v>200</v>
      </c>
      <c r="C925">
        <v>0.1</v>
      </c>
      <c r="D925">
        <v>2</v>
      </c>
      <c r="E925">
        <v>50</v>
      </c>
      <c r="F925">
        <v>20</v>
      </c>
      <c r="G925">
        <v>10</v>
      </c>
      <c r="H925">
        <v>42.6</v>
      </c>
      <c r="I925">
        <v>39.200000000000003</v>
      </c>
      <c r="J925">
        <v>18.2</v>
      </c>
      <c r="Q925">
        <v>51</v>
      </c>
      <c r="R925">
        <v>8.1</v>
      </c>
      <c r="S925">
        <v>10.3</v>
      </c>
      <c r="T925">
        <v>29.6</v>
      </c>
      <c r="U925">
        <v>1</v>
      </c>
      <c r="V925">
        <v>1.9058823529411764</v>
      </c>
      <c r="W925">
        <v>0.43529411764705883</v>
      </c>
      <c r="X925">
        <v>4</v>
      </c>
      <c r="Y925">
        <v>23.5212</v>
      </c>
      <c r="Z925">
        <v>66.3</v>
      </c>
      <c r="AA925">
        <v>8.4</v>
      </c>
      <c r="AB925">
        <v>7.6</v>
      </c>
      <c r="AC925">
        <v>17.100000000000001</v>
      </c>
      <c r="AD925">
        <v>0.6</v>
      </c>
      <c r="AE925">
        <v>1.5203619909502264</v>
      </c>
      <c r="AF925">
        <v>0.19343891402714936</v>
      </c>
      <c r="AH925">
        <v>31.6</v>
      </c>
      <c r="AI925">
        <v>28.9</v>
      </c>
    </row>
    <row r="926" spans="1:36" x14ac:dyDescent="0.5">
      <c r="A926">
        <v>240</v>
      </c>
      <c r="B926">
        <v>200</v>
      </c>
      <c r="C926">
        <v>0.1</v>
      </c>
      <c r="D926">
        <v>2</v>
      </c>
      <c r="E926">
        <v>50</v>
      </c>
      <c r="F926">
        <v>20</v>
      </c>
      <c r="G926">
        <v>10</v>
      </c>
      <c r="H926">
        <v>42.6</v>
      </c>
      <c r="I926">
        <v>39.200000000000003</v>
      </c>
      <c r="J926">
        <v>18.2</v>
      </c>
      <c r="Q926">
        <v>51</v>
      </c>
      <c r="R926">
        <v>8.1</v>
      </c>
      <c r="S926">
        <v>10.3</v>
      </c>
      <c r="T926">
        <v>29.6</v>
      </c>
      <c r="U926">
        <v>1</v>
      </c>
      <c r="V926">
        <v>1.9058823529411764</v>
      </c>
      <c r="W926">
        <v>0.43529411764705883</v>
      </c>
      <c r="X926">
        <v>4</v>
      </c>
      <c r="Y926">
        <v>23.5212</v>
      </c>
      <c r="Z926">
        <v>66.900000000000006</v>
      </c>
      <c r="AA926">
        <v>8.3000000000000007</v>
      </c>
      <c r="AB926">
        <v>7.5</v>
      </c>
      <c r="AC926">
        <v>16.5</v>
      </c>
      <c r="AD926">
        <v>0.8</v>
      </c>
      <c r="AE926">
        <v>1.4887892376681615</v>
      </c>
      <c r="AF926">
        <v>0.18497757847533633</v>
      </c>
      <c r="AH926">
        <v>31.19</v>
      </c>
      <c r="AI926">
        <v>27.1</v>
      </c>
    </row>
    <row r="927" spans="1:36" x14ac:dyDescent="0.5">
      <c r="A927">
        <v>120</v>
      </c>
      <c r="B927">
        <v>210</v>
      </c>
      <c r="C927">
        <v>0.1</v>
      </c>
      <c r="D927">
        <v>2</v>
      </c>
      <c r="E927">
        <v>50</v>
      </c>
      <c r="F927">
        <v>20</v>
      </c>
      <c r="G927">
        <v>10</v>
      </c>
      <c r="H927">
        <v>42.6</v>
      </c>
      <c r="I927">
        <v>39.200000000000003</v>
      </c>
      <c r="J927">
        <v>18.2</v>
      </c>
      <c r="Q927">
        <v>51</v>
      </c>
      <c r="R927">
        <v>8.1</v>
      </c>
      <c r="S927">
        <v>10.3</v>
      </c>
      <c r="T927">
        <v>29.6</v>
      </c>
      <c r="U927">
        <v>1</v>
      </c>
      <c r="V927">
        <v>1.9058823529411764</v>
      </c>
      <c r="W927">
        <v>0.43529411764705883</v>
      </c>
      <c r="X927">
        <v>4</v>
      </c>
      <c r="Y927">
        <v>23.5212</v>
      </c>
      <c r="Z927">
        <v>67.7</v>
      </c>
      <c r="AA927">
        <v>8.6999999999999993</v>
      </c>
      <c r="AB927">
        <v>7.4</v>
      </c>
      <c r="AC927">
        <v>15.5</v>
      </c>
      <c r="AD927">
        <v>0.7</v>
      </c>
      <c r="AE927">
        <v>1.5420974889217134</v>
      </c>
      <c r="AF927">
        <v>0.17171344165435745</v>
      </c>
      <c r="AH927">
        <v>32.9</v>
      </c>
      <c r="AI927">
        <v>27.2</v>
      </c>
    </row>
    <row r="928" spans="1:36" x14ac:dyDescent="0.5">
      <c r="A928">
        <v>180</v>
      </c>
      <c r="B928">
        <v>210</v>
      </c>
      <c r="C928">
        <v>0.1</v>
      </c>
      <c r="D928">
        <v>2</v>
      </c>
      <c r="E928">
        <v>50</v>
      </c>
      <c r="F928">
        <v>20</v>
      </c>
      <c r="G928">
        <v>10</v>
      </c>
      <c r="H928">
        <v>42.6</v>
      </c>
      <c r="I928">
        <v>39.200000000000003</v>
      </c>
      <c r="J928">
        <v>18.2</v>
      </c>
      <c r="Q928">
        <v>51</v>
      </c>
      <c r="R928">
        <v>8.1</v>
      </c>
      <c r="S928">
        <v>10.3</v>
      </c>
      <c r="T928">
        <v>29.6</v>
      </c>
      <c r="U928">
        <v>1</v>
      </c>
      <c r="V928">
        <v>1.9058823529411764</v>
      </c>
      <c r="W928">
        <v>0.43529411764705883</v>
      </c>
      <c r="X928">
        <v>4</v>
      </c>
      <c r="Y928">
        <v>23.5212</v>
      </c>
      <c r="Z928">
        <v>67.8</v>
      </c>
      <c r="AA928">
        <v>8.4</v>
      </c>
      <c r="AB928">
        <v>6.9</v>
      </c>
      <c r="AC928">
        <v>16.3</v>
      </c>
      <c r="AD928">
        <v>0.6</v>
      </c>
      <c r="AE928">
        <v>1.4867256637168145</v>
      </c>
      <c r="AF928">
        <v>0.18030973451327437</v>
      </c>
      <c r="AH928">
        <v>32.5</v>
      </c>
      <c r="AI928">
        <v>24.1</v>
      </c>
    </row>
    <row r="929" spans="1:36" x14ac:dyDescent="0.5">
      <c r="A929">
        <v>240</v>
      </c>
      <c r="B929">
        <v>210</v>
      </c>
      <c r="C929">
        <v>0.1</v>
      </c>
      <c r="D929">
        <v>2</v>
      </c>
      <c r="E929">
        <v>50</v>
      </c>
      <c r="F929">
        <v>20</v>
      </c>
      <c r="G929">
        <v>10</v>
      </c>
      <c r="H929">
        <v>42.6</v>
      </c>
      <c r="I929">
        <v>39.200000000000003</v>
      </c>
      <c r="J929">
        <v>18.2</v>
      </c>
      <c r="Q929">
        <v>51</v>
      </c>
      <c r="R929">
        <v>8.1</v>
      </c>
      <c r="S929">
        <v>10.3</v>
      </c>
      <c r="T929">
        <v>29.6</v>
      </c>
      <c r="U929">
        <v>1</v>
      </c>
      <c r="V929">
        <v>1.9058823529411764</v>
      </c>
      <c r="W929">
        <v>0.43529411764705883</v>
      </c>
      <c r="X929">
        <v>4</v>
      </c>
      <c r="Y929">
        <v>23.5212</v>
      </c>
      <c r="Z929">
        <v>68.3</v>
      </c>
      <c r="AA929">
        <v>8.5</v>
      </c>
      <c r="AB929">
        <v>6.7</v>
      </c>
      <c r="AC929">
        <v>15.9</v>
      </c>
      <c r="AD929">
        <v>0.6</v>
      </c>
      <c r="AE929">
        <v>1.4934114202049782</v>
      </c>
      <c r="AF929">
        <v>0.174597364568082</v>
      </c>
      <c r="AH929">
        <v>33</v>
      </c>
      <c r="AI929">
        <v>21.6</v>
      </c>
    </row>
    <row r="930" spans="1:36" x14ac:dyDescent="0.5">
      <c r="A930">
        <v>600</v>
      </c>
      <c r="B930">
        <v>150</v>
      </c>
      <c r="C930">
        <v>0.1</v>
      </c>
      <c r="D930">
        <v>22.4</v>
      </c>
      <c r="E930">
        <v>400</v>
      </c>
      <c r="F930">
        <v>150</v>
      </c>
      <c r="G930">
        <v>6.6964285714285721</v>
      </c>
      <c r="Q930">
        <v>52.03</v>
      </c>
      <c r="R930">
        <v>7.35</v>
      </c>
      <c r="S930">
        <v>1.41</v>
      </c>
      <c r="T930">
        <v>39.119999999999997</v>
      </c>
      <c r="U930">
        <v>0.09</v>
      </c>
      <c r="V930">
        <v>1.6951758600807225</v>
      </c>
      <c r="W930">
        <v>0.5639054391697097</v>
      </c>
      <c r="X930">
        <v>2</v>
      </c>
      <c r="Y930">
        <v>21.099019999999999</v>
      </c>
      <c r="Z930">
        <v>57.75</v>
      </c>
      <c r="AA930">
        <v>8.1999999999999993</v>
      </c>
      <c r="AB930">
        <v>0.77</v>
      </c>
      <c r="AC930">
        <v>33.14</v>
      </c>
      <c r="AD930">
        <v>0.14000000000000001</v>
      </c>
      <c r="AE930">
        <v>1.7038961038961038</v>
      </c>
      <c r="AF930">
        <v>0.43038961038961038</v>
      </c>
      <c r="AH930">
        <v>27.2</v>
      </c>
      <c r="AI930">
        <v>65</v>
      </c>
      <c r="AJ930" t="s">
        <v>247</v>
      </c>
    </row>
    <row r="931" spans="1:36" x14ac:dyDescent="0.5">
      <c r="A931">
        <v>300</v>
      </c>
      <c r="B931">
        <v>170</v>
      </c>
      <c r="C931">
        <v>0.1</v>
      </c>
      <c r="D931">
        <v>45</v>
      </c>
      <c r="E931">
        <v>400</v>
      </c>
      <c r="F931">
        <v>150</v>
      </c>
      <c r="G931">
        <v>3.3333333333333335</v>
      </c>
      <c r="Q931">
        <v>52.03</v>
      </c>
      <c r="R931">
        <v>7.35</v>
      </c>
      <c r="S931">
        <v>1.41</v>
      </c>
      <c r="T931">
        <v>39.119999999999997</v>
      </c>
      <c r="U931">
        <v>0.09</v>
      </c>
      <c r="V931">
        <v>1.6951758600807225</v>
      </c>
      <c r="W931">
        <v>0.5639054391697097</v>
      </c>
      <c r="X931">
        <v>2</v>
      </c>
      <c r="Y931">
        <v>21.099019999999999</v>
      </c>
      <c r="Z931">
        <v>61.5</v>
      </c>
      <c r="AA931">
        <v>8.1300000000000008</v>
      </c>
      <c r="AB931">
        <v>0.88</v>
      </c>
      <c r="AC931">
        <v>29.41</v>
      </c>
      <c r="AD931">
        <v>0.08</v>
      </c>
      <c r="AE931">
        <v>1.5863414634146342</v>
      </c>
      <c r="AF931">
        <v>0.35865853658536584</v>
      </c>
      <c r="AH931">
        <v>26.4</v>
      </c>
      <c r="AI931">
        <v>64.599999999999994</v>
      </c>
    </row>
    <row r="932" spans="1:36" x14ac:dyDescent="0.5">
      <c r="A932">
        <v>300</v>
      </c>
      <c r="B932">
        <v>170</v>
      </c>
      <c r="C932">
        <v>0.1</v>
      </c>
      <c r="D932">
        <v>15</v>
      </c>
      <c r="E932">
        <v>400</v>
      </c>
      <c r="F932">
        <v>150</v>
      </c>
      <c r="G932">
        <v>10</v>
      </c>
      <c r="Q932">
        <v>52.03</v>
      </c>
      <c r="R932">
        <v>7.35</v>
      </c>
      <c r="S932">
        <v>1.41</v>
      </c>
      <c r="T932">
        <v>39.119999999999997</v>
      </c>
      <c r="U932">
        <v>0.09</v>
      </c>
      <c r="V932">
        <v>1.6951758600807225</v>
      </c>
      <c r="W932">
        <v>0.5639054391697097</v>
      </c>
      <c r="X932">
        <v>2</v>
      </c>
      <c r="Y932">
        <v>21.099019999999999</v>
      </c>
      <c r="Z932">
        <v>54.45</v>
      </c>
      <c r="AA932">
        <v>7.57</v>
      </c>
      <c r="AB932">
        <v>0.68</v>
      </c>
      <c r="AC932">
        <v>37.21</v>
      </c>
      <c r="AD932">
        <v>0.09</v>
      </c>
      <c r="AE932">
        <v>1.6683195592286499</v>
      </c>
      <c r="AF932">
        <v>0.51253443526170794</v>
      </c>
      <c r="AH932">
        <v>26.7</v>
      </c>
      <c r="AI932">
        <v>68</v>
      </c>
    </row>
    <row r="933" spans="1:36" x14ac:dyDescent="0.5">
      <c r="A933">
        <v>900</v>
      </c>
      <c r="B933">
        <v>170</v>
      </c>
      <c r="C933">
        <v>0.1</v>
      </c>
      <c r="D933">
        <v>45</v>
      </c>
      <c r="E933">
        <v>400</v>
      </c>
      <c r="F933">
        <v>150</v>
      </c>
      <c r="G933">
        <v>3.3333333333333335</v>
      </c>
      <c r="Q933">
        <v>52.03</v>
      </c>
      <c r="R933">
        <v>7.35</v>
      </c>
      <c r="S933">
        <v>1.41</v>
      </c>
      <c r="T933">
        <v>39.119999999999997</v>
      </c>
      <c r="U933">
        <v>0.09</v>
      </c>
      <c r="V933">
        <v>1.6951758600807225</v>
      </c>
      <c r="W933">
        <v>0.5639054391697097</v>
      </c>
      <c r="X933">
        <v>2</v>
      </c>
      <c r="Y933">
        <v>21.099019999999999</v>
      </c>
      <c r="Z933">
        <v>58.05</v>
      </c>
      <c r="AA933">
        <v>7.52</v>
      </c>
      <c r="AB933">
        <v>0.72</v>
      </c>
      <c r="AC933">
        <v>33.630000000000003</v>
      </c>
      <c r="AD933">
        <v>0.09</v>
      </c>
      <c r="AE933">
        <v>1.5545219638242895</v>
      </c>
      <c r="AF933">
        <v>0.43449612403100785</v>
      </c>
      <c r="AH933">
        <v>27.4</v>
      </c>
      <c r="AI933">
        <v>60.8</v>
      </c>
    </row>
    <row r="934" spans="1:36" x14ac:dyDescent="0.5">
      <c r="A934">
        <v>900</v>
      </c>
      <c r="B934">
        <v>170</v>
      </c>
      <c r="C934">
        <v>0.1</v>
      </c>
      <c r="D934">
        <v>15</v>
      </c>
      <c r="E934">
        <v>400</v>
      </c>
      <c r="F934">
        <v>150</v>
      </c>
      <c r="G934">
        <v>10</v>
      </c>
      <c r="Q934">
        <v>52.03</v>
      </c>
      <c r="R934">
        <v>7.35</v>
      </c>
      <c r="S934">
        <v>1.41</v>
      </c>
      <c r="T934">
        <v>39.119999999999997</v>
      </c>
      <c r="U934">
        <v>0.09</v>
      </c>
      <c r="V934">
        <v>1.6951758600807225</v>
      </c>
      <c r="W934">
        <v>0.5639054391697097</v>
      </c>
      <c r="X934">
        <v>2</v>
      </c>
      <c r="Y934">
        <v>21.099019999999999</v>
      </c>
      <c r="Z934">
        <v>57.75</v>
      </c>
      <c r="AA934">
        <v>8.1</v>
      </c>
      <c r="AB934">
        <v>0.66</v>
      </c>
      <c r="AC934">
        <v>33.35</v>
      </c>
      <c r="AD934">
        <v>0.15</v>
      </c>
      <c r="AE934">
        <v>1.683116883116883</v>
      </c>
      <c r="AF934">
        <v>0.43311688311688312</v>
      </c>
      <c r="AH934">
        <v>29</v>
      </c>
      <c r="AI934">
        <v>61.3</v>
      </c>
    </row>
    <row r="935" spans="1:36" x14ac:dyDescent="0.5">
      <c r="A935">
        <v>96</v>
      </c>
      <c r="B935">
        <v>200</v>
      </c>
      <c r="C935">
        <v>0.1</v>
      </c>
      <c r="D935">
        <v>22.4</v>
      </c>
      <c r="E935">
        <v>400</v>
      </c>
      <c r="F935">
        <v>150</v>
      </c>
      <c r="G935">
        <v>6.6964285714285721</v>
      </c>
      <c r="Q935">
        <v>52.03</v>
      </c>
      <c r="R935">
        <v>7.35</v>
      </c>
      <c r="S935">
        <v>1.41</v>
      </c>
      <c r="T935">
        <v>39.119999999999997</v>
      </c>
      <c r="U935">
        <v>0.09</v>
      </c>
      <c r="V935">
        <v>1.6951758600807225</v>
      </c>
      <c r="W935">
        <v>0.5639054391697097</v>
      </c>
      <c r="X935">
        <v>2</v>
      </c>
      <c r="Y935">
        <v>21.099019999999999</v>
      </c>
      <c r="Z935">
        <v>61.9</v>
      </c>
      <c r="AA935">
        <v>8.2200000000000006</v>
      </c>
      <c r="AB935">
        <v>0.79</v>
      </c>
      <c r="AC935">
        <v>29.02</v>
      </c>
      <c r="AD935">
        <v>0.08</v>
      </c>
      <c r="AE935">
        <v>1.5935379644588046</v>
      </c>
      <c r="AF935">
        <v>0.35161550888529886</v>
      </c>
      <c r="AH935">
        <v>23.6</v>
      </c>
      <c r="AI935">
        <v>87.7</v>
      </c>
    </row>
    <row r="936" spans="1:36" x14ac:dyDescent="0.5">
      <c r="A936">
        <v>600</v>
      </c>
      <c r="B936">
        <v>200</v>
      </c>
      <c r="C936">
        <v>0.1</v>
      </c>
      <c r="D936">
        <v>12.1</v>
      </c>
      <c r="E936">
        <v>400</v>
      </c>
      <c r="F936">
        <v>150</v>
      </c>
      <c r="G936">
        <v>12.396694214876034</v>
      </c>
      <c r="Q936">
        <v>52.03</v>
      </c>
      <c r="R936">
        <v>7.35</v>
      </c>
      <c r="S936">
        <v>1.41</v>
      </c>
      <c r="T936">
        <v>39.119999999999997</v>
      </c>
      <c r="U936">
        <v>0.09</v>
      </c>
      <c r="V936">
        <v>1.6951758600807225</v>
      </c>
      <c r="W936">
        <v>0.5639054391697097</v>
      </c>
      <c r="X936">
        <v>2</v>
      </c>
      <c r="Y936">
        <v>21.099019999999999</v>
      </c>
      <c r="Z936">
        <v>61.87</v>
      </c>
      <c r="AA936">
        <v>7.88</v>
      </c>
      <c r="AB936">
        <v>0.78</v>
      </c>
      <c r="AC936">
        <v>28.9</v>
      </c>
      <c r="AD936">
        <v>0.57999999999999996</v>
      </c>
      <c r="AE936">
        <v>1.5283659285598838</v>
      </c>
      <c r="AF936">
        <v>0.35033133990625509</v>
      </c>
      <c r="AH936">
        <v>31.1</v>
      </c>
      <c r="AI936">
        <v>61.5</v>
      </c>
    </row>
    <row r="937" spans="1:36" x14ac:dyDescent="0.5">
      <c r="A937">
        <v>600</v>
      </c>
      <c r="B937">
        <v>200</v>
      </c>
      <c r="C937">
        <v>0.1</v>
      </c>
      <c r="D937">
        <v>22.4</v>
      </c>
      <c r="E937">
        <v>400</v>
      </c>
      <c r="F937">
        <v>150</v>
      </c>
      <c r="G937">
        <v>6.6964285714285721</v>
      </c>
      <c r="Q937">
        <v>52.03</v>
      </c>
      <c r="R937">
        <v>7.35</v>
      </c>
      <c r="S937">
        <v>1.41</v>
      </c>
      <c r="T937">
        <v>39.119999999999997</v>
      </c>
      <c r="U937">
        <v>0.09</v>
      </c>
      <c r="V937">
        <v>1.6951758600807225</v>
      </c>
      <c r="W937">
        <v>0.5639054391697097</v>
      </c>
      <c r="X937">
        <v>2</v>
      </c>
      <c r="Y937">
        <v>21.099019999999999</v>
      </c>
      <c r="Z937">
        <v>66.400000000000006</v>
      </c>
      <c r="AA937">
        <v>7.77</v>
      </c>
      <c r="AB937">
        <v>1.43</v>
      </c>
      <c r="AC937">
        <v>23.75</v>
      </c>
      <c r="AD937">
        <v>0.65</v>
      </c>
      <c r="AE937">
        <v>1.4042168674698792</v>
      </c>
      <c r="AF937">
        <v>0.26826054216867468</v>
      </c>
      <c r="AH937">
        <v>29.2</v>
      </c>
      <c r="AI937">
        <v>62</v>
      </c>
    </row>
    <row r="938" spans="1:36" x14ac:dyDescent="0.5">
      <c r="A938">
        <v>600</v>
      </c>
      <c r="B938">
        <v>200</v>
      </c>
      <c r="C938">
        <v>0.1</v>
      </c>
      <c r="D938">
        <v>22.4</v>
      </c>
      <c r="E938">
        <v>400</v>
      </c>
      <c r="F938">
        <v>150</v>
      </c>
      <c r="G938">
        <v>6.6964285714285721</v>
      </c>
      <c r="Q938">
        <v>52.03</v>
      </c>
      <c r="R938">
        <v>7.35</v>
      </c>
      <c r="S938">
        <v>1.41</v>
      </c>
      <c r="T938">
        <v>39.119999999999997</v>
      </c>
      <c r="U938">
        <v>0.09</v>
      </c>
      <c r="V938">
        <v>1.6951758600807225</v>
      </c>
      <c r="W938">
        <v>0.5639054391697097</v>
      </c>
      <c r="X938">
        <v>2</v>
      </c>
      <c r="Y938">
        <v>21.099019999999999</v>
      </c>
      <c r="Z938">
        <v>62.15</v>
      </c>
      <c r="AA938">
        <v>7.63</v>
      </c>
      <c r="AB938">
        <v>2</v>
      </c>
      <c r="AC938">
        <v>27.64</v>
      </c>
      <c r="AD938">
        <v>0.57999999999999996</v>
      </c>
      <c r="AE938">
        <v>1.4732099758648431</v>
      </c>
      <c r="AF938">
        <v>0.33354786806114245</v>
      </c>
      <c r="AH938">
        <v>29.1</v>
      </c>
      <c r="AI938">
        <v>61.1</v>
      </c>
    </row>
    <row r="939" spans="1:36" x14ac:dyDescent="0.5">
      <c r="A939">
        <v>600</v>
      </c>
      <c r="B939">
        <v>200</v>
      </c>
      <c r="C939">
        <v>0.1</v>
      </c>
      <c r="D939">
        <v>22.4</v>
      </c>
      <c r="E939">
        <v>400</v>
      </c>
      <c r="F939">
        <v>150</v>
      </c>
      <c r="G939">
        <v>6.6964285714285721</v>
      </c>
      <c r="Q939">
        <v>52.03</v>
      </c>
      <c r="R939">
        <v>7.35</v>
      </c>
      <c r="S939">
        <v>1.41</v>
      </c>
      <c r="T939">
        <v>39.119999999999997</v>
      </c>
      <c r="U939">
        <v>0.09</v>
      </c>
      <c r="V939">
        <v>1.6951758600807225</v>
      </c>
      <c r="W939">
        <v>0.5639054391697097</v>
      </c>
      <c r="X939">
        <v>2</v>
      </c>
      <c r="Y939">
        <v>21.099019999999999</v>
      </c>
      <c r="Z939">
        <v>61.15</v>
      </c>
      <c r="AA939">
        <v>7.8</v>
      </c>
      <c r="AB939">
        <v>0.79</v>
      </c>
      <c r="AC939">
        <v>30.19</v>
      </c>
      <c r="AD939">
        <v>7.0000000000000007E-2</v>
      </c>
      <c r="AE939">
        <v>1.5306623058053965</v>
      </c>
      <c r="AF939">
        <v>0.37027800490596896</v>
      </c>
      <c r="AH939">
        <v>29.2</v>
      </c>
      <c r="AI939">
        <v>62</v>
      </c>
    </row>
    <row r="940" spans="1:36" x14ac:dyDescent="0.5">
      <c r="A940">
        <v>600</v>
      </c>
      <c r="B940">
        <v>200</v>
      </c>
      <c r="C940">
        <v>0.1</v>
      </c>
      <c r="D940">
        <v>22.4</v>
      </c>
      <c r="E940">
        <v>400</v>
      </c>
      <c r="F940">
        <v>150</v>
      </c>
      <c r="G940">
        <v>6.6964285714285721</v>
      </c>
      <c r="Q940">
        <v>52.03</v>
      </c>
      <c r="R940">
        <v>7.35</v>
      </c>
      <c r="S940">
        <v>1.41</v>
      </c>
      <c r="T940">
        <v>39.119999999999997</v>
      </c>
      <c r="U940">
        <v>0.09</v>
      </c>
      <c r="V940">
        <v>1.6951758600807225</v>
      </c>
      <c r="W940">
        <v>0.5639054391697097</v>
      </c>
      <c r="X940">
        <v>2</v>
      </c>
      <c r="Y940">
        <v>21.099019999999999</v>
      </c>
      <c r="Z940">
        <v>61.3</v>
      </c>
      <c r="AA940">
        <v>7.81</v>
      </c>
      <c r="AB940">
        <v>1.08</v>
      </c>
      <c r="AC940">
        <v>29.26</v>
      </c>
      <c r="AD940">
        <v>0.56000000000000005</v>
      </c>
      <c r="AE940">
        <v>1.528874388254486</v>
      </c>
      <c r="AF940">
        <v>0.35799347471451876</v>
      </c>
      <c r="AH940">
        <v>28.9</v>
      </c>
      <c r="AI940">
        <v>61.9</v>
      </c>
    </row>
    <row r="941" spans="1:36" x14ac:dyDescent="0.5">
      <c r="A941">
        <v>600</v>
      </c>
      <c r="B941">
        <v>200</v>
      </c>
      <c r="C941">
        <v>0.1</v>
      </c>
      <c r="D941">
        <v>135</v>
      </c>
      <c r="E941">
        <v>400</v>
      </c>
      <c r="F941">
        <v>150</v>
      </c>
      <c r="G941">
        <v>1.1111111111111112</v>
      </c>
      <c r="Q941">
        <v>52.03</v>
      </c>
      <c r="R941">
        <v>7.35</v>
      </c>
      <c r="S941">
        <v>1.41</v>
      </c>
      <c r="T941">
        <v>39.119999999999997</v>
      </c>
      <c r="U941">
        <v>0.09</v>
      </c>
      <c r="V941">
        <v>1.6951758600807225</v>
      </c>
      <c r="W941">
        <v>0.5639054391697097</v>
      </c>
      <c r="X941">
        <v>2</v>
      </c>
      <c r="Y941">
        <v>21.099019999999999</v>
      </c>
      <c r="Z941">
        <v>69.95</v>
      </c>
      <c r="AA941">
        <v>8.0500000000000007</v>
      </c>
      <c r="AB941">
        <v>1.3</v>
      </c>
      <c r="AC941">
        <v>20.91</v>
      </c>
      <c r="AD941">
        <v>0.09</v>
      </c>
      <c r="AE941">
        <v>1.380986418870622</v>
      </c>
      <c r="AF941">
        <v>0.22419585418155827</v>
      </c>
      <c r="AH941">
        <v>29.1</v>
      </c>
      <c r="AI941">
        <v>49.8</v>
      </c>
    </row>
    <row r="942" spans="1:36" x14ac:dyDescent="0.5">
      <c r="A942">
        <v>1104</v>
      </c>
      <c r="B942">
        <v>200</v>
      </c>
      <c r="C942">
        <v>0.1</v>
      </c>
      <c r="D942">
        <v>22.4</v>
      </c>
      <c r="E942">
        <v>400</v>
      </c>
      <c r="F942">
        <v>150</v>
      </c>
      <c r="G942">
        <v>6.6964285714285721</v>
      </c>
      <c r="Q942">
        <v>52.03</v>
      </c>
      <c r="R942">
        <v>7.35</v>
      </c>
      <c r="S942">
        <v>1.41</v>
      </c>
      <c r="T942">
        <v>39.119999999999997</v>
      </c>
      <c r="U942">
        <v>0.09</v>
      </c>
      <c r="V942">
        <v>1.6951758600807225</v>
      </c>
      <c r="W942">
        <v>0.5639054391697097</v>
      </c>
      <c r="X942">
        <v>2</v>
      </c>
      <c r="Y942">
        <v>21.099019999999999</v>
      </c>
      <c r="Z942">
        <v>58.85</v>
      </c>
      <c r="AA942">
        <v>7.55</v>
      </c>
      <c r="AB942">
        <v>0.76</v>
      </c>
      <c r="AC942">
        <v>32.29</v>
      </c>
      <c r="AD942">
        <v>0.55000000000000004</v>
      </c>
      <c r="AE942">
        <v>1.5395072217502124</v>
      </c>
      <c r="AF942">
        <v>0.41151231945624467</v>
      </c>
      <c r="AH942">
        <v>32.200000000000003</v>
      </c>
      <c r="AI942">
        <v>47.9</v>
      </c>
    </row>
    <row r="943" spans="1:36" x14ac:dyDescent="0.5">
      <c r="A943">
        <v>300</v>
      </c>
      <c r="B943">
        <v>230</v>
      </c>
      <c r="C943">
        <v>0.1</v>
      </c>
      <c r="D943">
        <v>45</v>
      </c>
      <c r="E943">
        <v>400</v>
      </c>
      <c r="F943">
        <v>150</v>
      </c>
      <c r="G943">
        <v>3.3333333333333335</v>
      </c>
      <c r="Q943">
        <v>52.03</v>
      </c>
      <c r="R943">
        <v>7.35</v>
      </c>
      <c r="S943">
        <v>1.41</v>
      </c>
      <c r="T943">
        <v>39.119999999999997</v>
      </c>
      <c r="U943">
        <v>0.09</v>
      </c>
      <c r="V943">
        <v>1.6951758600807225</v>
      </c>
      <c r="W943">
        <v>0.5639054391697097</v>
      </c>
      <c r="X943">
        <v>2</v>
      </c>
      <c r="Y943">
        <v>21.099019999999999</v>
      </c>
      <c r="Z943">
        <v>51.85</v>
      </c>
      <c r="AA943">
        <v>7.36</v>
      </c>
      <c r="AB943">
        <v>1.26</v>
      </c>
      <c r="AC943">
        <v>39.4</v>
      </c>
      <c r="AD943">
        <v>0.13</v>
      </c>
      <c r="AE943">
        <v>1.7033751205400192</v>
      </c>
      <c r="AF943">
        <v>0.56991321118611371</v>
      </c>
      <c r="AH943">
        <v>31.2</v>
      </c>
      <c r="AI943">
        <v>49.6</v>
      </c>
    </row>
    <row r="944" spans="1:36" x14ac:dyDescent="0.5">
      <c r="A944">
        <v>300</v>
      </c>
      <c r="B944">
        <v>230</v>
      </c>
      <c r="C944">
        <v>0.1</v>
      </c>
      <c r="D944">
        <v>15</v>
      </c>
      <c r="E944">
        <v>400</v>
      </c>
      <c r="F944">
        <v>150</v>
      </c>
      <c r="G944">
        <v>10</v>
      </c>
      <c r="Q944">
        <v>52.03</v>
      </c>
      <c r="R944">
        <v>7.35</v>
      </c>
      <c r="S944">
        <v>1.41</v>
      </c>
      <c r="T944">
        <v>39.119999999999997</v>
      </c>
      <c r="U944">
        <v>0.09</v>
      </c>
      <c r="V944">
        <v>1.6951758600807225</v>
      </c>
      <c r="W944">
        <v>0.5639054391697097</v>
      </c>
      <c r="X944">
        <v>2</v>
      </c>
      <c r="Y944">
        <v>21.099019999999999</v>
      </c>
      <c r="Z944">
        <v>57.9</v>
      </c>
      <c r="AA944">
        <v>7.9</v>
      </c>
      <c r="AB944">
        <v>0.7</v>
      </c>
      <c r="AC944">
        <v>33.450000000000003</v>
      </c>
      <c r="AD944">
        <v>0.05</v>
      </c>
      <c r="AE944">
        <v>1.6373056994818653</v>
      </c>
      <c r="AF944">
        <v>0.43329015544041455</v>
      </c>
      <c r="AH944">
        <v>28.3</v>
      </c>
      <c r="AI944">
        <v>62.2</v>
      </c>
    </row>
    <row r="945" spans="1:36" x14ac:dyDescent="0.5">
      <c r="A945">
        <v>900</v>
      </c>
      <c r="B945">
        <v>230</v>
      </c>
      <c r="C945">
        <v>0.1</v>
      </c>
      <c r="D945">
        <v>45</v>
      </c>
      <c r="E945">
        <v>400</v>
      </c>
      <c r="F945">
        <v>150</v>
      </c>
      <c r="G945">
        <v>3.3333333333333335</v>
      </c>
      <c r="Q945">
        <v>52.03</v>
      </c>
      <c r="R945">
        <v>7.35</v>
      </c>
      <c r="S945">
        <v>1.41</v>
      </c>
      <c r="T945">
        <v>39.119999999999997</v>
      </c>
      <c r="U945">
        <v>0.09</v>
      </c>
      <c r="V945">
        <v>1.6951758600807225</v>
      </c>
      <c r="W945">
        <v>0.5639054391697097</v>
      </c>
      <c r="X945">
        <v>2</v>
      </c>
      <c r="Y945">
        <v>21.099019999999999</v>
      </c>
      <c r="Z945">
        <v>67.95</v>
      </c>
      <c r="AA945">
        <v>7.69</v>
      </c>
      <c r="AB945">
        <v>1.34</v>
      </c>
      <c r="AC945">
        <v>22.92</v>
      </c>
      <c r="AD945">
        <v>0.1</v>
      </c>
      <c r="AE945">
        <v>1.3580573951434878</v>
      </c>
      <c r="AF945">
        <v>0.25298013245033113</v>
      </c>
      <c r="AH945">
        <v>32.9</v>
      </c>
      <c r="AI945">
        <v>27.6</v>
      </c>
    </row>
    <row r="946" spans="1:36" x14ac:dyDescent="0.5">
      <c r="A946">
        <v>900</v>
      </c>
      <c r="B946">
        <v>230</v>
      </c>
      <c r="C946">
        <v>0.1</v>
      </c>
      <c r="D946">
        <v>15</v>
      </c>
      <c r="E946">
        <v>400</v>
      </c>
      <c r="F946">
        <v>150</v>
      </c>
      <c r="G946">
        <v>10</v>
      </c>
      <c r="Q946">
        <v>52.03</v>
      </c>
      <c r="R946">
        <v>7.35</v>
      </c>
      <c r="S946">
        <v>1.41</v>
      </c>
      <c r="T946">
        <v>39.119999999999997</v>
      </c>
      <c r="U946">
        <v>0.09</v>
      </c>
      <c r="V946">
        <v>1.6951758600807225</v>
      </c>
      <c r="W946">
        <v>0.5639054391697097</v>
      </c>
      <c r="X946">
        <v>2</v>
      </c>
      <c r="Y946">
        <v>21.099019999999999</v>
      </c>
      <c r="Z946">
        <v>59.4</v>
      </c>
      <c r="AA946">
        <v>8.08</v>
      </c>
      <c r="AB946">
        <v>0.57999999999999996</v>
      </c>
      <c r="AC946">
        <v>31.84</v>
      </c>
      <c r="AD946">
        <v>0.1</v>
      </c>
      <c r="AE946">
        <v>1.6323232323232322</v>
      </c>
      <c r="AF946">
        <v>0.402020202020202</v>
      </c>
      <c r="AH946">
        <v>34.799999999999997</v>
      </c>
      <c r="AI946">
        <v>35.4</v>
      </c>
    </row>
    <row r="947" spans="1:36" x14ac:dyDescent="0.5">
      <c r="A947">
        <v>600</v>
      </c>
      <c r="B947">
        <v>230</v>
      </c>
      <c r="C947">
        <v>0.1</v>
      </c>
      <c r="D947">
        <v>22.4</v>
      </c>
      <c r="E947">
        <v>400</v>
      </c>
      <c r="F947">
        <v>150</v>
      </c>
      <c r="G947">
        <v>6.6964285714285721</v>
      </c>
      <c r="Q947">
        <v>52.03</v>
      </c>
      <c r="R947">
        <v>7.35</v>
      </c>
      <c r="S947">
        <v>1.41</v>
      </c>
      <c r="T947">
        <v>39.119999999999997</v>
      </c>
      <c r="U947">
        <v>0.09</v>
      </c>
      <c r="V947">
        <v>1.6951758600807225</v>
      </c>
      <c r="W947">
        <v>0.5639054391697097</v>
      </c>
      <c r="X947">
        <v>2</v>
      </c>
      <c r="Y947">
        <v>21.099019999999999</v>
      </c>
      <c r="Z947">
        <v>66.2</v>
      </c>
      <c r="AA947">
        <v>7.2</v>
      </c>
      <c r="AB947">
        <v>0.72</v>
      </c>
      <c r="AC947">
        <v>25.83</v>
      </c>
      <c r="AD947">
        <v>0.05</v>
      </c>
      <c r="AE947">
        <v>1.3051359516616314</v>
      </c>
      <c r="AF947">
        <v>0.29263595166163142</v>
      </c>
      <c r="AH947">
        <v>34.6</v>
      </c>
      <c r="AI947">
        <v>29.4</v>
      </c>
    </row>
    <row r="948" spans="1:36" x14ac:dyDescent="0.5">
      <c r="A948">
        <v>210</v>
      </c>
      <c r="B948">
        <v>180</v>
      </c>
      <c r="C948">
        <v>0.1</v>
      </c>
      <c r="D948">
        <v>500</v>
      </c>
      <c r="E948">
        <v>10000</v>
      </c>
      <c r="F948">
        <v>5000</v>
      </c>
      <c r="G948">
        <v>10</v>
      </c>
      <c r="O948">
        <v>73.56</v>
      </c>
      <c r="P948">
        <v>18.760000000000002</v>
      </c>
      <c r="Q948">
        <v>45.81</v>
      </c>
      <c r="R948">
        <v>5.6</v>
      </c>
      <c r="S948">
        <v>0.94</v>
      </c>
      <c r="T948">
        <v>39.89</v>
      </c>
      <c r="U948">
        <v>0.08</v>
      </c>
      <c r="V948">
        <v>1.4669286182056318</v>
      </c>
      <c r="W948">
        <v>0.65307793058284214</v>
      </c>
      <c r="X948">
        <v>7.68</v>
      </c>
      <c r="Y948">
        <v>16.360215</v>
      </c>
      <c r="Z948">
        <v>47.36</v>
      </c>
      <c r="AA948">
        <v>5.65</v>
      </c>
      <c r="AB948">
        <v>0.14000000000000001</v>
      </c>
      <c r="AC948">
        <v>41.84</v>
      </c>
      <c r="AD948">
        <v>0.06</v>
      </c>
      <c r="AE948">
        <v>1.4315878378378379</v>
      </c>
      <c r="AF948">
        <v>0.66258445945945954</v>
      </c>
      <c r="AG948">
        <v>4.95</v>
      </c>
      <c r="AH948">
        <v>15.9</v>
      </c>
      <c r="AI948">
        <v>59.18</v>
      </c>
      <c r="AJ948" t="s">
        <v>249</v>
      </c>
    </row>
    <row r="949" spans="1:36" x14ac:dyDescent="0.5">
      <c r="A949">
        <v>120</v>
      </c>
      <c r="B949">
        <v>190</v>
      </c>
      <c r="C949">
        <v>0.1</v>
      </c>
      <c r="D949">
        <v>500</v>
      </c>
      <c r="E949">
        <v>10000</v>
      </c>
      <c r="F949">
        <v>5000</v>
      </c>
      <c r="G949">
        <v>10</v>
      </c>
      <c r="O949">
        <v>73.56</v>
      </c>
      <c r="P949">
        <v>18.760000000000002</v>
      </c>
      <c r="Q949">
        <v>45.81</v>
      </c>
      <c r="R949">
        <v>5.6</v>
      </c>
      <c r="S949">
        <v>0.94</v>
      </c>
      <c r="T949">
        <v>39.89</v>
      </c>
      <c r="U949">
        <v>0.08</v>
      </c>
      <c r="V949">
        <v>1.4669286182056318</v>
      </c>
      <c r="W949">
        <v>0.65307793058284214</v>
      </c>
      <c r="X949">
        <v>7.68</v>
      </c>
      <c r="Y949">
        <v>16.360215</v>
      </c>
      <c r="Z949">
        <v>46.72</v>
      </c>
      <c r="AA949">
        <v>5.84</v>
      </c>
      <c r="AB949">
        <v>0.1</v>
      </c>
      <c r="AC949">
        <v>42.62</v>
      </c>
      <c r="AD949">
        <v>0.05</v>
      </c>
      <c r="AE949">
        <v>1.5</v>
      </c>
      <c r="AF949">
        <v>0.68418236301369861</v>
      </c>
      <c r="AG949">
        <v>4.76</v>
      </c>
      <c r="AH949">
        <v>16.53</v>
      </c>
      <c r="AI949">
        <v>64.349999999999994</v>
      </c>
    </row>
    <row r="950" spans="1:36" x14ac:dyDescent="0.5">
      <c r="A950">
        <v>300</v>
      </c>
      <c r="B950">
        <v>190</v>
      </c>
      <c r="C950">
        <v>0.1</v>
      </c>
      <c r="D950">
        <v>500</v>
      </c>
      <c r="E950">
        <v>10000</v>
      </c>
      <c r="F950">
        <v>5000</v>
      </c>
      <c r="G950">
        <v>10</v>
      </c>
      <c r="O950">
        <v>73.56</v>
      </c>
      <c r="P950">
        <v>18.760000000000002</v>
      </c>
      <c r="Q950">
        <v>45.81</v>
      </c>
      <c r="R950">
        <v>5.6</v>
      </c>
      <c r="S950">
        <v>0.94</v>
      </c>
      <c r="T950">
        <v>39.89</v>
      </c>
      <c r="U950">
        <v>0.08</v>
      </c>
      <c r="V950">
        <v>1.4669286182056318</v>
      </c>
      <c r="W950">
        <v>0.65307793058284214</v>
      </c>
      <c r="X950">
        <v>7.68</v>
      </c>
      <c r="Y950">
        <v>16.360215</v>
      </c>
      <c r="Z950">
        <v>46.14</v>
      </c>
      <c r="AA950">
        <v>5.8</v>
      </c>
      <c r="AB950">
        <v>0.15</v>
      </c>
      <c r="AC950">
        <v>42.25</v>
      </c>
      <c r="AD950">
        <v>0.05</v>
      </c>
      <c r="AE950">
        <v>1.5084525357607281</v>
      </c>
      <c r="AF950">
        <v>0.68676853055916776</v>
      </c>
      <c r="AG950">
        <v>5.61</v>
      </c>
      <c r="AH950">
        <v>16.34</v>
      </c>
      <c r="AI950">
        <v>65</v>
      </c>
    </row>
    <row r="951" spans="1:36" x14ac:dyDescent="0.5">
      <c r="A951">
        <v>60</v>
      </c>
      <c r="B951">
        <v>215</v>
      </c>
      <c r="C951">
        <v>0.1</v>
      </c>
      <c r="D951">
        <v>500</v>
      </c>
      <c r="E951">
        <v>10000</v>
      </c>
      <c r="F951">
        <v>5000</v>
      </c>
      <c r="G951">
        <v>10</v>
      </c>
      <c r="O951">
        <v>73.56</v>
      </c>
      <c r="P951">
        <v>18.760000000000002</v>
      </c>
      <c r="Q951">
        <v>45.81</v>
      </c>
      <c r="R951">
        <v>5.6</v>
      </c>
      <c r="S951">
        <v>0.94</v>
      </c>
      <c r="T951">
        <v>39.89</v>
      </c>
      <c r="U951">
        <v>0.08</v>
      </c>
      <c r="V951">
        <v>1.4669286182056318</v>
      </c>
      <c r="W951">
        <v>0.65307793058284214</v>
      </c>
      <c r="X951">
        <v>7.68</v>
      </c>
      <c r="Y951">
        <v>16.360215</v>
      </c>
      <c r="Z951">
        <v>49.45</v>
      </c>
      <c r="AA951">
        <v>5.97</v>
      </c>
      <c r="AB951">
        <v>0</v>
      </c>
      <c r="AC951">
        <v>43.54</v>
      </c>
      <c r="AD951">
        <v>0.02</v>
      </c>
      <c r="AE951">
        <v>1.448736097067745</v>
      </c>
      <c r="AF951">
        <v>0.66036400404448936</v>
      </c>
      <c r="AG951">
        <v>1.02</v>
      </c>
      <c r="AH951">
        <v>18.13</v>
      </c>
      <c r="AI951">
        <v>72</v>
      </c>
    </row>
    <row r="952" spans="1:36" x14ac:dyDescent="0.5">
      <c r="A952">
        <v>210</v>
      </c>
      <c r="B952">
        <v>215</v>
      </c>
      <c r="C952">
        <v>0.1</v>
      </c>
      <c r="D952">
        <v>500</v>
      </c>
      <c r="E952">
        <v>10000</v>
      </c>
      <c r="F952">
        <v>5000</v>
      </c>
      <c r="G952">
        <v>10</v>
      </c>
      <c r="O952">
        <v>73.56</v>
      </c>
      <c r="P952">
        <v>18.760000000000002</v>
      </c>
      <c r="Q952">
        <v>45.81</v>
      </c>
      <c r="R952">
        <v>5.6</v>
      </c>
      <c r="S952">
        <v>0.94</v>
      </c>
      <c r="T952">
        <v>39.89</v>
      </c>
      <c r="U952">
        <v>0.08</v>
      </c>
      <c r="V952">
        <v>1.4669286182056318</v>
      </c>
      <c r="W952">
        <v>0.65307793058284214</v>
      </c>
      <c r="X952">
        <v>7.68</v>
      </c>
      <c r="Y952">
        <v>16.360215</v>
      </c>
      <c r="Z952">
        <v>46.36</v>
      </c>
      <c r="AA952">
        <v>5.84</v>
      </c>
      <c r="AB952">
        <v>0.09</v>
      </c>
      <c r="AC952">
        <v>40.36</v>
      </c>
      <c r="AD952">
        <v>0.05</v>
      </c>
      <c r="AE952">
        <v>1.5116479723899914</v>
      </c>
      <c r="AF952">
        <v>0.65293356341673858</v>
      </c>
      <c r="AG952">
        <v>7.3</v>
      </c>
      <c r="AH952">
        <v>16.61</v>
      </c>
      <c r="AI952">
        <v>62.37</v>
      </c>
    </row>
    <row r="953" spans="1:36" x14ac:dyDescent="0.5">
      <c r="A953">
        <v>360</v>
      </c>
      <c r="B953">
        <v>215</v>
      </c>
      <c r="C953">
        <v>0.1</v>
      </c>
      <c r="D953">
        <v>500</v>
      </c>
      <c r="E953">
        <v>10000</v>
      </c>
      <c r="F953">
        <v>5000</v>
      </c>
      <c r="G953">
        <v>10</v>
      </c>
      <c r="O953">
        <v>73.56</v>
      </c>
      <c r="P953">
        <v>18.760000000000002</v>
      </c>
      <c r="Q953">
        <v>45.81</v>
      </c>
      <c r="R953">
        <v>5.6</v>
      </c>
      <c r="S953">
        <v>0.94</v>
      </c>
      <c r="T953">
        <v>39.89</v>
      </c>
      <c r="U953">
        <v>0.08</v>
      </c>
      <c r="V953">
        <v>1.4669286182056318</v>
      </c>
      <c r="W953">
        <v>0.65307793058284214</v>
      </c>
      <c r="X953">
        <v>7.68</v>
      </c>
      <c r="Y953">
        <v>16.360215</v>
      </c>
      <c r="Z953">
        <v>49.82</v>
      </c>
      <c r="AA953">
        <v>6.24</v>
      </c>
      <c r="AB953">
        <v>0</v>
      </c>
      <c r="AC953">
        <v>42.76</v>
      </c>
      <c r="AD953">
        <v>0.03</v>
      </c>
      <c r="AE953">
        <v>1.5030108390204739</v>
      </c>
      <c r="AF953">
        <v>0.64371738257727817</v>
      </c>
      <c r="AG953">
        <v>1.1499999999999999</v>
      </c>
      <c r="AH953">
        <v>16.809999999999999</v>
      </c>
      <c r="AI953">
        <v>62.13</v>
      </c>
    </row>
    <row r="954" spans="1:36" x14ac:dyDescent="0.5">
      <c r="A954">
        <v>120</v>
      </c>
      <c r="B954">
        <v>240</v>
      </c>
      <c r="C954">
        <v>0.1</v>
      </c>
      <c r="D954">
        <v>500</v>
      </c>
      <c r="E954">
        <v>10000</v>
      </c>
      <c r="F954">
        <v>5000</v>
      </c>
      <c r="G954">
        <v>10</v>
      </c>
      <c r="O954">
        <v>73.56</v>
      </c>
      <c r="P954">
        <v>18.760000000000002</v>
      </c>
      <c r="Q954">
        <v>45.81</v>
      </c>
      <c r="R954">
        <v>5.6</v>
      </c>
      <c r="S954">
        <v>0.94</v>
      </c>
      <c r="T954">
        <v>39.89</v>
      </c>
      <c r="U954">
        <v>0.08</v>
      </c>
      <c r="V954">
        <v>1.4669286182056318</v>
      </c>
      <c r="W954">
        <v>0.65307793058284214</v>
      </c>
      <c r="X954">
        <v>7.68</v>
      </c>
      <c r="Y954">
        <v>16.360215</v>
      </c>
      <c r="Z954">
        <v>46.95</v>
      </c>
      <c r="AA954">
        <v>5.78</v>
      </c>
      <c r="AB954">
        <v>0.11</v>
      </c>
      <c r="AC954">
        <v>40.92</v>
      </c>
      <c r="AD954">
        <v>0.05</v>
      </c>
      <c r="AE954">
        <v>1.4773162939297124</v>
      </c>
      <c r="AF954">
        <v>0.65367412140575076</v>
      </c>
      <c r="AG954">
        <v>6.19</v>
      </c>
      <c r="AH954">
        <v>16.829999999999998</v>
      </c>
      <c r="AI954">
        <v>59.22</v>
      </c>
    </row>
    <row r="955" spans="1:36" x14ac:dyDescent="0.5">
      <c r="A955">
        <v>300</v>
      </c>
      <c r="B955">
        <v>240</v>
      </c>
      <c r="C955">
        <v>0.1</v>
      </c>
      <c r="D955">
        <v>500</v>
      </c>
      <c r="E955">
        <v>10000</v>
      </c>
      <c r="F955">
        <v>5000</v>
      </c>
      <c r="G955">
        <v>10</v>
      </c>
      <c r="O955">
        <v>73.56</v>
      </c>
      <c r="P955">
        <v>18.760000000000002</v>
      </c>
      <c r="Q955">
        <v>45.81</v>
      </c>
      <c r="R955">
        <v>5.6</v>
      </c>
      <c r="S955">
        <v>0.94</v>
      </c>
      <c r="T955">
        <v>39.89</v>
      </c>
      <c r="U955">
        <v>0.08</v>
      </c>
      <c r="V955">
        <v>1.4669286182056318</v>
      </c>
      <c r="W955">
        <v>0.65307793058284214</v>
      </c>
      <c r="X955">
        <v>7.68</v>
      </c>
      <c r="Y955">
        <v>16.360215</v>
      </c>
      <c r="Z955">
        <v>48.59</v>
      </c>
      <c r="AA955">
        <v>5.8</v>
      </c>
      <c r="AB955">
        <v>0.14000000000000001</v>
      </c>
      <c r="AC955">
        <v>40.869999999999997</v>
      </c>
      <c r="AD955">
        <v>0.06</v>
      </c>
      <c r="AE955">
        <v>1.4323934966042393</v>
      </c>
      <c r="AF955">
        <v>0.63083967894628512</v>
      </c>
      <c r="AG955">
        <v>4.54</v>
      </c>
      <c r="AH955">
        <v>17.420000000000002</v>
      </c>
      <c r="AI955">
        <v>58.49</v>
      </c>
    </row>
    <row r="956" spans="1:36" x14ac:dyDescent="0.5">
      <c r="A956">
        <v>210</v>
      </c>
      <c r="B956">
        <v>250</v>
      </c>
      <c r="C956">
        <v>0.1</v>
      </c>
      <c r="D956">
        <v>500</v>
      </c>
      <c r="E956">
        <v>10000</v>
      </c>
      <c r="F956">
        <v>5000</v>
      </c>
      <c r="G956">
        <v>10</v>
      </c>
      <c r="O956">
        <v>73.56</v>
      </c>
      <c r="P956">
        <v>18.760000000000002</v>
      </c>
      <c r="Q956">
        <v>45.81</v>
      </c>
      <c r="R956">
        <v>5.6</v>
      </c>
      <c r="S956">
        <v>0.94</v>
      </c>
      <c r="T956">
        <v>39.89</v>
      </c>
      <c r="U956">
        <v>0.08</v>
      </c>
      <c r="V956">
        <v>1.4669286182056318</v>
      </c>
      <c r="W956">
        <v>0.65307793058284214</v>
      </c>
      <c r="X956">
        <v>7.68</v>
      </c>
      <c r="Y956">
        <v>16.360215</v>
      </c>
      <c r="Z956">
        <v>47.2</v>
      </c>
      <c r="AA956">
        <v>5.13</v>
      </c>
      <c r="AB956">
        <v>0.11</v>
      </c>
      <c r="AC956">
        <v>41.3</v>
      </c>
      <c r="AD956">
        <v>0.05</v>
      </c>
      <c r="AE956">
        <v>1.304237288135593</v>
      </c>
      <c r="AF956">
        <v>0.65624999999999989</v>
      </c>
      <c r="AG956">
        <v>6.21</v>
      </c>
      <c r="AH956">
        <v>17.47</v>
      </c>
      <c r="AI956">
        <v>35.51</v>
      </c>
    </row>
    <row r="957" spans="1:36" x14ac:dyDescent="0.5">
      <c r="A957">
        <v>360</v>
      </c>
      <c r="B957">
        <v>200</v>
      </c>
      <c r="C957">
        <v>0.1</v>
      </c>
      <c r="D957">
        <v>25</v>
      </c>
      <c r="E957">
        <v>1000</v>
      </c>
      <c r="F957">
        <v>500</v>
      </c>
      <c r="G957">
        <v>20</v>
      </c>
      <c r="Q957">
        <v>46</v>
      </c>
      <c r="R957">
        <v>6.8</v>
      </c>
      <c r="S957">
        <v>0.6</v>
      </c>
      <c r="T957">
        <v>37.6</v>
      </c>
      <c r="U957">
        <v>0.2</v>
      </c>
      <c r="V957">
        <v>1.7739130434782608</v>
      </c>
      <c r="W957">
        <v>0.61304347826086958</v>
      </c>
      <c r="X957">
        <v>8.8000000000000007</v>
      </c>
      <c r="Y957">
        <v>20</v>
      </c>
      <c r="Z957">
        <v>53.5</v>
      </c>
      <c r="AA957">
        <v>5.4</v>
      </c>
      <c r="AB957">
        <v>0.5</v>
      </c>
      <c r="AC957">
        <v>29.9</v>
      </c>
      <c r="AD957">
        <v>0.2</v>
      </c>
      <c r="AE957">
        <v>1.2112149532710281</v>
      </c>
      <c r="AF957">
        <v>0.41915887850467293</v>
      </c>
      <c r="AG957">
        <v>10.4</v>
      </c>
      <c r="AH957">
        <v>21.9</v>
      </c>
      <c r="AI957">
        <v>49.9</v>
      </c>
      <c r="AJ957" t="s">
        <v>251</v>
      </c>
    </row>
    <row r="958" spans="1:36" x14ac:dyDescent="0.5">
      <c r="A958">
        <v>360</v>
      </c>
      <c r="B958">
        <v>260</v>
      </c>
      <c r="C958">
        <v>0.1</v>
      </c>
      <c r="D958">
        <v>25</v>
      </c>
      <c r="E958">
        <v>1000</v>
      </c>
      <c r="F958">
        <v>500</v>
      </c>
      <c r="G958">
        <v>20</v>
      </c>
      <c r="Q958">
        <v>46</v>
      </c>
      <c r="R958">
        <v>6.8</v>
      </c>
      <c r="S958">
        <v>0.6</v>
      </c>
      <c r="T958">
        <v>37.6</v>
      </c>
      <c r="U958">
        <v>0.2</v>
      </c>
      <c r="V958">
        <v>1.7739130434782608</v>
      </c>
      <c r="W958">
        <v>0.61304347826086958</v>
      </c>
      <c r="X958">
        <v>8.8000000000000007</v>
      </c>
      <c r="Y958">
        <v>20</v>
      </c>
      <c r="Z958">
        <v>66</v>
      </c>
      <c r="AA958">
        <v>4.2</v>
      </c>
      <c r="AB958">
        <v>0.8</v>
      </c>
      <c r="AC958">
        <v>16.899999999999999</v>
      </c>
      <c r="AD958">
        <v>0.2</v>
      </c>
      <c r="AE958">
        <v>0.76363636363636367</v>
      </c>
      <c r="AF958">
        <v>0.19204545454545452</v>
      </c>
      <c r="AG958">
        <v>11.9</v>
      </c>
      <c r="AH958">
        <v>26.2</v>
      </c>
      <c r="AI958">
        <v>31.3</v>
      </c>
    </row>
    <row r="959" spans="1:36" x14ac:dyDescent="0.5">
      <c r="A959">
        <v>30</v>
      </c>
      <c r="B959">
        <v>120</v>
      </c>
      <c r="C959">
        <v>0.1</v>
      </c>
      <c r="D959">
        <v>10</v>
      </c>
      <c r="E959">
        <v>250</v>
      </c>
      <c r="F959">
        <v>100</v>
      </c>
      <c r="G959">
        <v>10</v>
      </c>
      <c r="H959">
        <v>33.97</v>
      </c>
      <c r="I959">
        <v>3.41</v>
      </c>
      <c r="J959">
        <v>62.62</v>
      </c>
      <c r="O959">
        <v>39.200000000000003</v>
      </c>
      <c r="P959">
        <v>4.2</v>
      </c>
      <c r="Q959">
        <v>21.6</v>
      </c>
      <c r="R959">
        <v>3.7</v>
      </c>
      <c r="S959">
        <v>3.4</v>
      </c>
      <c r="T959">
        <v>14.3</v>
      </c>
      <c r="U959">
        <v>0.5</v>
      </c>
      <c r="V959">
        <v>2.0555555555555558</v>
      </c>
      <c r="W959">
        <v>0.49652777777777779</v>
      </c>
      <c r="X959">
        <v>56.5</v>
      </c>
      <c r="Y959">
        <v>9.67</v>
      </c>
      <c r="Z959">
        <v>18.5</v>
      </c>
      <c r="AA959">
        <v>3.4</v>
      </c>
      <c r="AB959">
        <v>2.6</v>
      </c>
      <c r="AC959">
        <v>12.8</v>
      </c>
      <c r="AD959">
        <v>0.5</v>
      </c>
      <c r="AE959">
        <v>2.2054054054054051</v>
      </c>
      <c r="AF959">
        <v>0.51891891891891895</v>
      </c>
      <c r="AG959">
        <v>62.2</v>
      </c>
      <c r="AH959">
        <v>8.8233999999999995</v>
      </c>
      <c r="AI959">
        <v>88.9</v>
      </c>
      <c r="AJ959" t="s">
        <v>252</v>
      </c>
    </row>
    <row r="960" spans="1:36" x14ac:dyDescent="0.5">
      <c r="A960">
        <v>30</v>
      </c>
      <c r="B960">
        <v>180</v>
      </c>
      <c r="C960">
        <v>0.1</v>
      </c>
      <c r="D960">
        <v>10</v>
      </c>
      <c r="E960">
        <v>250</v>
      </c>
      <c r="F960">
        <v>100</v>
      </c>
      <c r="G960">
        <v>10</v>
      </c>
      <c r="H960">
        <v>33.97</v>
      </c>
      <c r="I960">
        <v>3.41</v>
      </c>
      <c r="J960">
        <v>62.62</v>
      </c>
      <c r="O960">
        <v>39.200000000000003</v>
      </c>
      <c r="P960">
        <v>4.2</v>
      </c>
      <c r="Q960">
        <v>21.6</v>
      </c>
      <c r="R960">
        <v>3.7</v>
      </c>
      <c r="S960">
        <v>3.4</v>
      </c>
      <c r="T960">
        <v>14.3</v>
      </c>
      <c r="U960">
        <v>0.5</v>
      </c>
      <c r="V960">
        <v>2.0555555555555558</v>
      </c>
      <c r="W960">
        <v>0.49652777777777779</v>
      </c>
      <c r="X960">
        <v>56.5</v>
      </c>
      <c r="Y960">
        <v>9.67</v>
      </c>
      <c r="Z960">
        <v>13.9</v>
      </c>
      <c r="AA960">
        <v>2.2999999999999998</v>
      </c>
      <c r="AB960">
        <v>1.9</v>
      </c>
      <c r="AC960">
        <v>9</v>
      </c>
      <c r="AD960">
        <v>0.4</v>
      </c>
      <c r="AE960">
        <v>1.9856115107913666</v>
      </c>
      <c r="AF960">
        <v>0.48561151079136688</v>
      </c>
      <c r="AG960">
        <v>72.5</v>
      </c>
      <c r="AH960">
        <v>6.376100000000001</v>
      </c>
      <c r="AI960">
        <v>77.099999999999994</v>
      </c>
    </row>
    <row r="961" spans="1:35" x14ac:dyDescent="0.5">
      <c r="A961">
        <v>30</v>
      </c>
      <c r="B961">
        <v>240</v>
      </c>
      <c r="C961">
        <v>0.1</v>
      </c>
      <c r="D961">
        <v>10</v>
      </c>
      <c r="E961">
        <v>250</v>
      </c>
      <c r="F961">
        <v>100</v>
      </c>
      <c r="G961">
        <v>10</v>
      </c>
      <c r="H961">
        <v>33.97</v>
      </c>
      <c r="I961">
        <v>3.41</v>
      </c>
      <c r="J961">
        <v>62.62</v>
      </c>
      <c r="O961">
        <v>39.200000000000003</v>
      </c>
      <c r="P961">
        <v>4.2</v>
      </c>
      <c r="Q961">
        <v>21.6</v>
      </c>
      <c r="R961">
        <v>3.7</v>
      </c>
      <c r="S961">
        <v>3.4</v>
      </c>
      <c r="T961">
        <v>14.3</v>
      </c>
      <c r="U961">
        <v>0.5</v>
      </c>
      <c r="V961">
        <v>2.0555555555555558</v>
      </c>
      <c r="W961">
        <v>0.49652777777777779</v>
      </c>
      <c r="X961">
        <v>56.5</v>
      </c>
      <c r="Y961">
        <v>9.67</v>
      </c>
      <c r="Z961">
        <v>9.6999999999999993</v>
      </c>
      <c r="AA961">
        <v>1.8</v>
      </c>
      <c r="AB961">
        <v>1.2</v>
      </c>
      <c r="AC961">
        <v>6</v>
      </c>
      <c r="AD961">
        <v>0.3</v>
      </c>
      <c r="AE961">
        <v>2.2268041237113407</v>
      </c>
      <c r="AF961">
        <v>0.46391752577319595</v>
      </c>
      <c r="AG961">
        <v>81</v>
      </c>
      <c r="AH961">
        <v>4.7780000000000005</v>
      </c>
      <c r="AI961">
        <v>70.2</v>
      </c>
    </row>
    <row r="962" spans="1:35" x14ac:dyDescent="0.5">
      <c r="A962">
        <v>30</v>
      </c>
      <c r="B962">
        <v>300</v>
      </c>
      <c r="C962">
        <v>0.1</v>
      </c>
      <c r="D962">
        <v>10</v>
      </c>
      <c r="E962">
        <v>250</v>
      </c>
      <c r="F962">
        <v>100</v>
      </c>
      <c r="G962">
        <v>10</v>
      </c>
      <c r="H962">
        <v>33.97</v>
      </c>
      <c r="I962">
        <v>3.41</v>
      </c>
      <c r="J962">
        <v>62.62</v>
      </c>
      <c r="O962">
        <v>39.200000000000003</v>
      </c>
      <c r="P962">
        <v>4.2</v>
      </c>
      <c r="Q962">
        <v>21.6</v>
      </c>
      <c r="R962">
        <v>3.7</v>
      </c>
      <c r="S962">
        <v>3.4</v>
      </c>
      <c r="T962">
        <v>14.3</v>
      </c>
      <c r="U962">
        <v>0.5</v>
      </c>
      <c r="V962">
        <v>2.0555555555555558</v>
      </c>
      <c r="W962">
        <v>0.49652777777777779</v>
      </c>
      <c r="X962">
        <v>56.5</v>
      </c>
      <c r="Y962">
        <v>9.67</v>
      </c>
      <c r="Z962">
        <v>8.8000000000000007</v>
      </c>
      <c r="AA962">
        <v>1.6</v>
      </c>
      <c r="AB962">
        <v>0.9</v>
      </c>
      <c r="AC962">
        <v>3.5</v>
      </c>
      <c r="AD962">
        <v>0.3</v>
      </c>
      <c r="AE962">
        <v>2.1818181818181817</v>
      </c>
      <c r="AF962">
        <v>0.29829545454545453</v>
      </c>
      <c r="AG962">
        <v>84.9</v>
      </c>
      <c r="AH962">
        <v>4.6344500000000011</v>
      </c>
      <c r="AI962">
        <v>66.400000000000006</v>
      </c>
    </row>
    <row r="963" spans="1:35" x14ac:dyDescent="0.5">
      <c r="A963">
        <v>60</v>
      </c>
      <c r="B963">
        <v>300</v>
      </c>
      <c r="C963">
        <v>0.1</v>
      </c>
      <c r="D963">
        <v>10</v>
      </c>
      <c r="E963">
        <v>250</v>
      </c>
      <c r="F963">
        <v>100</v>
      </c>
      <c r="G963">
        <v>10</v>
      </c>
      <c r="H963">
        <v>33.97</v>
      </c>
      <c r="I963">
        <v>3.41</v>
      </c>
      <c r="J963">
        <v>62.62</v>
      </c>
      <c r="O963">
        <v>39.200000000000003</v>
      </c>
      <c r="P963">
        <v>4.2</v>
      </c>
      <c r="Q963">
        <v>21.6</v>
      </c>
      <c r="R963">
        <v>3.7</v>
      </c>
      <c r="S963">
        <v>3.4</v>
      </c>
      <c r="T963">
        <v>14.3</v>
      </c>
      <c r="U963">
        <v>0.5</v>
      </c>
      <c r="V963">
        <v>2.0555555555555558</v>
      </c>
      <c r="W963">
        <v>0.49652777777777779</v>
      </c>
      <c r="X963">
        <v>56.5</v>
      </c>
      <c r="Y963">
        <v>9.67</v>
      </c>
      <c r="Z963">
        <v>7.6</v>
      </c>
      <c r="AA963">
        <v>1.5</v>
      </c>
      <c r="AB963">
        <v>0.8</v>
      </c>
      <c r="AC963">
        <v>3</v>
      </c>
      <c r="AD963">
        <v>0.3</v>
      </c>
      <c r="AE963">
        <v>2.3684210526315792</v>
      </c>
      <c r="AF963">
        <v>0.2960526315789474</v>
      </c>
      <c r="AG963">
        <v>86.8</v>
      </c>
      <c r="AH963">
        <v>4.1753</v>
      </c>
      <c r="AI963">
        <v>65.8</v>
      </c>
    </row>
    <row r="964" spans="1:35" x14ac:dyDescent="0.5">
      <c r="A964">
        <v>120</v>
      </c>
      <c r="B964">
        <v>300</v>
      </c>
      <c r="C964">
        <v>0.1</v>
      </c>
      <c r="D964">
        <v>10</v>
      </c>
      <c r="E964">
        <v>250</v>
      </c>
      <c r="F964">
        <v>100</v>
      </c>
      <c r="G964">
        <v>10</v>
      </c>
      <c r="H964">
        <v>33.97</v>
      </c>
      <c r="I964">
        <v>3.41</v>
      </c>
      <c r="J964">
        <v>62.62</v>
      </c>
      <c r="O964">
        <v>39.200000000000003</v>
      </c>
      <c r="P964">
        <v>4.2</v>
      </c>
      <c r="Q964">
        <v>21.6</v>
      </c>
      <c r="R964">
        <v>3.7</v>
      </c>
      <c r="S964">
        <v>3.4</v>
      </c>
      <c r="T964">
        <v>14.3</v>
      </c>
      <c r="U964">
        <v>0.5</v>
      </c>
      <c r="V964">
        <v>2.0555555555555558</v>
      </c>
      <c r="W964">
        <v>0.49652777777777779</v>
      </c>
      <c r="X964">
        <v>56.5</v>
      </c>
      <c r="Y964">
        <v>9.67</v>
      </c>
      <c r="Z964">
        <v>7.5</v>
      </c>
      <c r="AA964">
        <v>1.4</v>
      </c>
      <c r="AB964">
        <v>0.8</v>
      </c>
      <c r="AC964">
        <v>2.6</v>
      </c>
      <c r="AD964">
        <v>0.2</v>
      </c>
      <c r="AE964">
        <v>2.2399999999999998</v>
      </c>
      <c r="AF964">
        <v>0.26</v>
      </c>
      <c r="AG964">
        <v>87.5</v>
      </c>
      <c r="AH964">
        <v>4.0701000000000001</v>
      </c>
      <c r="AI964">
        <v>65.099999999999994</v>
      </c>
    </row>
    <row r="965" spans="1:35" x14ac:dyDescent="0.5">
      <c r="A965">
        <v>30</v>
      </c>
      <c r="B965">
        <v>120</v>
      </c>
      <c r="C965">
        <v>0.1</v>
      </c>
      <c r="D965">
        <v>10</v>
      </c>
      <c r="E965">
        <v>250</v>
      </c>
      <c r="F965">
        <v>100</v>
      </c>
      <c r="G965">
        <v>10</v>
      </c>
      <c r="H965">
        <v>49.47</v>
      </c>
      <c r="I965">
        <v>7.84</v>
      </c>
      <c r="J965">
        <v>42.69</v>
      </c>
      <c r="O965">
        <v>78.5</v>
      </c>
      <c r="P965">
        <v>13.5</v>
      </c>
      <c r="Q965">
        <v>44.6</v>
      </c>
      <c r="R965">
        <v>6.6</v>
      </c>
      <c r="S965">
        <v>7.3</v>
      </c>
      <c r="T965">
        <v>33</v>
      </c>
      <c r="U965">
        <v>0.5</v>
      </c>
      <c r="V965">
        <v>1.7757847533632285</v>
      </c>
      <c r="W965">
        <v>0.55493273542600896</v>
      </c>
      <c r="X965">
        <v>8</v>
      </c>
      <c r="Y965">
        <v>19.059999999999999</v>
      </c>
      <c r="Z965">
        <v>45.9</v>
      </c>
      <c r="AA965">
        <v>6</v>
      </c>
      <c r="AB965">
        <v>6.7</v>
      </c>
      <c r="AC965">
        <v>33.1</v>
      </c>
      <c r="AD965">
        <v>0.5</v>
      </c>
      <c r="AE965">
        <v>1.5686274509803924</v>
      </c>
      <c r="AF965">
        <v>0.54084967320261446</v>
      </c>
      <c r="AG965">
        <v>7.8</v>
      </c>
      <c r="AH965">
        <v>18.173850000000002</v>
      </c>
      <c r="AI965">
        <v>78.400000000000006</v>
      </c>
    </row>
    <row r="966" spans="1:35" x14ac:dyDescent="0.5">
      <c r="A966">
        <v>30</v>
      </c>
      <c r="B966">
        <v>180</v>
      </c>
      <c r="C966">
        <v>0.1</v>
      </c>
      <c r="D966">
        <v>10</v>
      </c>
      <c r="E966">
        <v>250</v>
      </c>
      <c r="F966">
        <v>100</v>
      </c>
      <c r="G966">
        <v>10</v>
      </c>
      <c r="H966">
        <v>49.47</v>
      </c>
      <c r="I966">
        <v>7.84</v>
      </c>
      <c r="J966">
        <v>42.69</v>
      </c>
      <c r="O966">
        <v>78.5</v>
      </c>
      <c r="P966">
        <v>13.5</v>
      </c>
      <c r="Q966">
        <v>44.6</v>
      </c>
      <c r="R966">
        <v>6.6</v>
      </c>
      <c r="S966">
        <v>7.3</v>
      </c>
      <c r="T966">
        <v>33</v>
      </c>
      <c r="U966">
        <v>0.5</v>
      </c>
      <c r="V966">
        <v>1.7757847533632285</v>
      </c>
      <c r="W966">
        <v>0.55493273542600896</v>
      </c>
      <c r="X966">
        <v>8</v>
      </c>
      <c r="Y966">
        <v>19.059999999999999</v>
      </c>
      <c r="Z966">
        <v>46.7</v>
      </c>
      <c r="AA966">
        <v>5.9</v>
      </c>
      <c r="AB966">
        <v>6.4</v>
      </c>
      <c r="AC966">
        <v>29.1</v>
      </c>
      <c r="AD966">
        <v>0.5</v>
      </c>
      <c r="AE966">
        <v>1.5160599571734474</v>
      </c>
      <c r="AF966">
        <v>0.46734475374732332</v>
      </c>
      <c r="AG966">
        <v>11.4</v>
      </c>
      <c r="AH966">
        <v>19.015450000000001</v>
      </c>
      <c r="AI966">
        <v>38.299999999999997</v>
      </c>
    </row>
    <row r="967" spans="1:35" x14ac:dyDescent="0.5">
      <c r="A967">
        <v>30</v>
      </c>
      <c r="B967">
        <v>240</v>
      </c>
      <c r="C967">
        <v>0.1</v>
      </c>
      <c r="D967">
        <v>10</v>
      </c>
      <c r="E967">
        <v>250</v>
      </c>
      <c r="F967">
        <v>100</v>
      </c>
      <c r="G967">
        <v>10</v>
      </c>
      <c r="H967">
        <v>49.47</v>
      </c>
      <c r="I967">
        <v>7.84</v>
      </c>
      <c r="J967">
        <v>42.69</v>
      </c>
      <c r="O967">
        <v>78.5</v>
      </c>
      <c r="P967">
        <v>13.5</v>
      </c>
      <c r="Q967">
        <v>44.6</v>
      </c>
      <c r="R967">
        <v>6.6</v>
      </c>
      <c r="S967">
        <v>7.3</v>
      </c>
      <c r="T967">
        <v>33</v>
      </c>
      <c r="U967">
        <v>0.5</v>
      </c>
      <c r="V967">
        <v>1.7757847533632285</v>
      </c>
      <c r="W967">
        <v>0.55493273542600896</v>
      </c>
      <c r="X967">
        <v>8</v>
      </c>
      <c r="Y967">
        <v>19.059999999999999</v>
      </c>
      <c r="Z967">
        <v>53.8</v>
      </c>
      <c r="AA967">
        <v>6.1</v>
      </c>
      <c r="AB967">
        <v>5.9</v>
      </c>
      <c r="AC967">
        <v>16.399999999999999</v>
      </c>
      <c r="AD967">
        <v>0.4</v>
      </c>
      <c r="AE967">
        <v>1.3605947955390334</v>
      </c>
      <c r="AF967">
        <v>0.22862453531598512</v>
      </c>
      <c r="AG967">
        <v>17.399999999999999</v>
      </c>
      <c r="AH967">
        <v>23.9678</v>
      </c>
      <c r="AI967">
        <v>26.4</v>
      </c>
    </row>
    <row r="968" spans="1:35" x14ac:dyDescent="0.5">
      <c r="A968">
        <v>30</v>
      </c>
      <c r="B968">
        <v>300</v>
      </c>
      <c r="C968">
        <v>0.1</v>
      </c>
      <c r="D968">
        <v>10</v>
      </c>
      <c r="E968">
        <v>250</v>
      </c>
      <c r="F968">
        <v>100</v>
      </c>
      <c r="G968">
        <v>10</v>
      </c>
      <c r="H968">
        <v>49.47</v>
      </c>
      <c r="I968">
        <v>7.84</v>
      </c>
      <c r="J968">
        <v>42.69</v>
      </c>
      <c r="O968">
        <v>78.5</v>
      </c>
      <c r="P968">
        <v>13.5</v>
      </c>
      <c r="Q968">
        <v>44.6</v>
      </c>
      <c r="R968">
        <v>6.6</v>
      </c>
      <c r="S968">
        <v>7.3</v>
      </c>
      <c r="T968">
        <v>33</v>
      </c>
      <c r="U968">
        <v>0.5</v>
      </c>
      <c r="V968">
        <v>1.7757847533632285</v>
      </c>
      <c r="W968">
        <v>0.55493273542600896</v>
      </c>
      <c r="X968">
        <v>8</v>
      </c>
      <c r="Y968">
        <v>19.059999999999999</v>
      </c>
      <c r="Z968">
        <v>57.5</v>
      </c>
      <c r="AA968">
        <v>5.9</v>
      </c>
      <c r="AB968">
        <v>5.6</v>
      </c>
      <c r="AC968">
        <v>10.199999999999999</v>
      </c>
      <c r="AD968">
        <v>0.4</v>
      </c>
      <c r="AE968">
        <v>1.231304347826087</v>
      </c>
      <c r="AF968">
        <v>0.13304347826086954</v>
      </c>
      <c r="AG968">
        <v>20.399999999999999</v>
      </c>
      <c r="AH968">
        <v>26.039500000000004</v>
      </c>
      <c r="AI968">
        <v>17.899999999999999</v>
      </c>
    </row>
    <row r="969" spans="1:35" x14ac:dyDescent="0.5">
      <c r="A969">
        <v>60</v>
      </c>
      <c r="B969">
        <v>300</v>
      </c>
      <c r="C969">
        <v>0.1</v>
      </c>
      <c r="D969">
        <v>10</v>
      </c>
      <c r="E969">
        <v>250</v>
      </c>
      <c r="F969">
        <v>100</v>
      </c>
      <c r="G969">
        <v>10</v>
      </c>
      <c r="H969">
        <v>49.47</v>
      </c>
      <c r="I969">
        <v>7.84</v>
      </c>
      <c r="J969">
        <v>42.69</v>
      </c>
      <c r="O969">
        <v>78.5</v>
      </c>
      <c r="P969">
        <v>13.5</v>
      </c>
      <c r="Q969">
        <v>44.6</v>
      </c>
      <c r="R969">
        <v>6.6</v>
      </c>
      <c r="S969">
        <v>7.3</v>
      </c>
      <c r="T969">
        <v>33</v>
      </c>
      <c r="U969">
        <v>0.5</v>
      </c>
      <c r="V969">
        <v>1.7757847533632285</v>
      </c>
      <c r="W969">
        <v>0.55493273542600896</v>
      </c>
      <c r="X969">
        <v>8</v>
      </c>
      <c r="Y969">
        <v>19.059999999999999</v>
      </c>
      <c r="Z969">
        <v>53.4</v>
      </c>
      <c r="AA969">
        <v>5.3</v>
      </c>
      <c r="AB969">
        <v>4.9000000000000004</v>
      </c>
      <c r="AC969">
        <v>8.1</v>
      </c>
      <c r="AD969">
        <v>0.3</v>
      </c>
      <c r="AE969">
        <v>1.1910112359550562</v>
      </c>
      <c r="AF969">
        <v>0.11376404494382021</v>
      </c>
      <c r="AG969">
        <v>28</v>
      </c>
      <c r="AH969">
        <v>24.171749999999999</v>
      </c>
      <c r="AI969">
        <v>17.7</v>
      </c>
    </row>
    <row r="970" spans="1:35" x14ac:dyDescent="0.5">
      <c r="A970">
        <v>120</v>
      </c>
      <c r="B970">
        <v>300</v>
      </c>
      <c r="C970">
        <v>0.1</v>
      </c>
      <c r="D970">
        <v>10</v>
      </c>
      <c r="E970">
        <v>250</v>
      </c>
      <c r="F970">
        <v>100</v>
      </c>
      <c r="G970">
        <v>10</v>
      </c>
      <c r="H970">
        <v>49.47</v>
      </c>
      <c r="I970">
        <v>7.84</v>
      </c>
      <c r="J970">
        <v>42.69</v>
      </c>
      <c r="O970">
        <v>78.5</v>
      </c>
      <c r="P970">
        <v>13.5</v>
      </c>
      <c r="Q970">
        <v>44.6</v>
      </c>
      <c r="R970">
        <v>6.6</v>
      </c>
      <c r="S970">
        <v>7.3</v>
      </c>
      <c r="T970">
        <v>33</v>
      </c>
      <c r="U970">
        <v>0.5</v>
      </c>
      <c r="V970">
        <v>1.7757847533632285</v>
      </c>
      <c r="W970">
        <v>0.55493273542600896</v>
      </c>
      <c r="X970">
        <v>8</v>
      </c>
      <c r="Y970">
        <v>19.059999999999999</v>
      </c>
      <c r="Z970">
        <v>53.3</v>
      </c>
      <c r="AA970">
        <v>5.2</v>
      </c>
      <c r="AB970">
        <v>4.7</v>
      </c>
      <c r="AC970">
        <v>6.4</v>
      </c>
      <c r="AD970">
        <v>0.3</v>
      </c>
      <c r="AE970">
        <v>1.1707317073170733</v>
      </c>
      <c r="AF970">
        <v>9.0056285178236412E-2</v>
      </c>
      <c r="AG970">
        <v>30.1</v>
      </c>
      <c r="AH970">
        <v>24.2986</v>
      </c>
      <c r="AI970">
        <v>17.399999999999999</v>
      </c>
    </row>
    <row r="971" spans="1:35" x14ac:dyDescent="0.5">
      <c r="A971">
        <v>30</v>
      </c>
      <c r="B971">
        <v>120</v>
      </c>
      <c r="C971">
        <v>0.1</v>
      </c>
      <c r="D971">
        <v>10</v>
      </c>
      <c r="E971">
        <v>250</v>
      </c>
      <c r="F971">
        <v>100</v>
      </c>
      <c r="G971">
        <v>10</v>
      </c>
      <c r="H971">
        <v>21.13</v>
      </c>
      <c r="I971">
        <v>2.98</v>
      </c>
      <c r="J971">
        <v>75.89</v>
      </c>
      <c r="O971">
        <v>37.299999999999997</v>
      </c>
      <c r="P971">
        <v>12.6</v>
      </c>
      <c r="Q971">
        <v>24.8</v>
      </c>
      <c r="R971">
        <v>3.2</v>
      </c>
      <c r="S971">
        <v>1.5</v>
      </c>
      <c r="T971">
        <v>19.899999999999999</v>
      </c>
      <c r="U971">
        <v>0.2</v>
      </c>
      <c r="V971">
        <v>1.5483870967741935</v>
      </c>
      <c r="W971">
        <v>0.60181451612903214</v>
      </c>
      <c r="X971">
        <v>50.4</v>
      </c>
      <c r="Y971">
        <v>11.55</v>
      </c>
      <c r="Z971">
        <v>26</v>
      </c>
      <c r="AA971">
        <v>2.9</v>
      </c>
      <c r="AB971">
        <v>1.4</v>
      </c>
      <c r="AC971">
        <v>16.600000000000001</v>
      </c>
      <c r="AD971">
        <v>0.2</v>
      </c>
      <c r="AE971">
        <v>1.3384615384615386</v>
      </c>
      <c r="AF971">
        <v>0.47884615384615392</v>
      </c>
      <c r="AG971">
        <v>52.9</v>
      </c>
      <c r="AH971">
        <v>9.9660999999999991</v>
      </c>
      <c r="AI971">
        <v>91.4</v>
      </c>
    </row>
    <row r="972" spans="1:35" x14ac:dyDescent="0.5">
      <c r="A972">
        <v>30</v>
      </c>
      <c r="B972">
        <v>180</v>
      </c>
      <c r="C972">
        <v>0.1</v>
      </c>
      <c r="D972">
        <v>10</v>
      </c>
      <c r="E972">
        <v>250</v>
      </c>
      <c r="F972">
        <v>100</v>
      </c>
      <c r="G972">
        <v>10</v>
      </c>
      <c r="H972">
        <v>21.13</v>
      </c>
      <c r="I972">
        <v>2.98</v>
      </c>
      <c r="J972">
        <v>75.89</v>
      </c>
      <c r="O972">
        <v>37.299999999999997</v>
      </c>
      <c r="P972">
        <v>12.6</v>
      </c>
      <c r="Q972">
        <v>24.8</v>
      </c>
      <c r="R972">
        <v>3.2</v>
      </c>
      <c r="S972">
        <v>1.5</v>
      </c>
      <c r="T972">
        <v>19.899999999999999</v>
      </c>
      <c r="U972">
        <v>0.2</v>
      </c>
      <c r="V972">
        <v>1.5483870967741935</v>
      </c>
      <c r="W972">
        <v>0.60181451612903214</v>
      </c>
      <c r="X972">
        <v>50.4</v>
      </c>
      <c r="Y972">
        <v>11.55</v>
      </c>
      <c r="Z972">
        <v>23.9</v>
      </c>
      <c r="AA972">
        <v>2.8</v>
      </c>
      <c r="AB972">
        <v>1.2</v>
      </c>
      <c r="AC972">
        <v>11.6</v>
      </c>
      <c r="AD972">
        <v>0.1</v>
      </c>
      <c r="AE972">
        <v>1.4058577405857742</v>
      </c>
      <c r="AF972">
        <v>0.36401673640167365</v>
      </c>
      <c r="AG972">
        <v>60.4</v>
      </c>
      <c r="AH972">
        <v>10.006</v>
      </c>
      <c r="AI972">
        <v>79.599999999999994</v>
      </c>
    </row>
    <row r="973" spans="1:35" x14ac:dyDescent="0.5">
      <c r="A973">
        <v>30</v>
      </c>
      <c r="B973">
        <v>240</v>
      </c>
      <c r="C973">
        <v>0.1</v>
      </c>
      <c r="D973">
        <v>10</v>
      </c>
      <c r="E973">
        <v>250</v>
      </c>
      <c r="F973">
        <v>100</v>
      </c>
      <c r="G973">
        <v>10</v>
      </c>
      <c r="H973">
        <v>21.13</v>
      </c>
      <c r="I973">
        <v>2.98</v>
      </c>
      <c r="J973">
        <v>75.89</v>
      </c>
      <c r="O973">
        <v>37.299999999999997</v>
      </c>
      <c r="P973">
        <v>12.6</v>
      </c>
      <c r="Q973">
        <v>24.8</v>
      </c>
      <c r="R973">
        <v>3.2</v>
      </c>
      <c r="S973">
        <v>1.5</v>
      </c>
      <c r="T973">
        <v>19.899999999999999</v>
      </c>
      <c r="U973">
        <v>0.2</v>
      </c>
      <c r="V973">
        <v>1.5483870967741935</v>
      </c>
      <c r="W973">
        <v>0.60181451612903214</v>
      </c>
      <c r="X973">
        <v>50.4</v>
      </c>
      <c r="Y973">
        <v>11.55</v>
      </c>
      <c r="Z973">
        <v>23.8</v>
      </c>
      <c r="AA973">
        <v>2.9</v>
      </c>
      <c r="AB973">
        <v>1.1000000000000001</v>
      </c>
      <c r="AC973">
        <v>9.1999999999999993</v>
      </c>
      <c r="AD973">
        <v>0.1</v>
      </c>
      <c r="AE973">
        <v>1.4621848739495797</v>
      </c>
      <c r="AF973">
        <v>0.28991596638655459</v>
      </c>
      <c r="AG973">
        <v>62.9</v>
      </c>
      <c r="AH973">
        <v>10.543400000000002</v>
      </c>
      <c r="AI973">
        <v>72.5</v>
      </c>
    </row>
    <row r="974" spans="1:35" x14ac:dyDescent="0.5">
      <c r="A974">
        <v>30</v>
      </c>
      <c r="B974">
        <v>300</v>
      </c>
      <c r="C974">
        <v>0.1</v>
      </c>
      <c r="D974">
        <v>10</v>
      </c>
      <c r="E974">
        <v>250</v>
      </c>
      <c r="F974">
        <v>100</v>
      </c>
      <c r="G974">
        <v>10</v>
      </c>
      <c r="H974">
        <v>21.13</v>
      </c>
      <c r="I974">
        <v>2.98</v>
      </c>
      <c r="J974">
        <v>75.89</v>
      </c>
      <c r="O974">
        <v>37.299999999999997</v>
      </c>
      <c r="P974">
        <v>12.6</v>
      </c>
      <c r="Q974">
        <v>24.8</v>
      </c>
      <c r="R974">
        <v>3.2</v>
      </c>
      <c r="S974">
        <v>1.5</v>
      </c>
      <c r="T974">
        <v>19.899999999999999</v>
      </c>
      <c r="U974">
        <v>0.2</v>
      </c>
      <c r="V974">
        <v>1.5483870967741935</v>
      </c>
      <c r="W974">
        <v>0.60181451612903214</v>
      </c>
      <c r="X974">
        <v>50.4</v>
      </c>
      <c r="Y974">
        <v>11.55</v>
      </c>
      <c r="Z974">
        <v>23.4</v>
      </c>
      <c r="AA974">
        <v>2.6</v>
      </c>
      <c r="AB974">
        <v>1</v>
      </c>
      <c r="AC974">
        <v>4.8</v>
      </c>
      <c r="AD974">
        <v>0.1</v>
      </c>
      <c r="AE974">
        <v>1.3333333333333335</v>
      </c>
      <c r="AF974">
        <v>0.15384615384615385</v>
      </c>
      <c r="AG974">
        <v>68.099999999999994</v>
      </c>
      <c r="AH974">
        <v>10.7652</v>
      </c>
      <c r="AI974">
        <v>70.900000000000006</v>
      </c>
    </row>
    <row r="975" spans="1:35" x14ac:dyDescent="0.5">
      <c r="A975">
        <v>60</v>
      </c>
      <c r="B975">
        <v>300</v>
      </c>
      <c r="C975">
        <v>0.1</v>
      </c>
      <c r="D975">
        <v>10</v>
      </c>
      <c r="E975">
        <v>250</v>
      </c>
      <c r="F975">
        <v>100</v>
      </c>
      <c r="G975">
        <v>10</v>
      </c>
      <c r="H975">
        <v>21.13</v>
      </c>
      <c r="I975">
        <v>2.98</v>
      </c>
      <c r="J975">
        <v>75.89</v>
      </c>
      <c r="O975">
        <v>37.299999999999997</v>
      </c>
      <c r="P975">
        <v>12.6</v>
      </c>
      <c r="Q975">
        <v>24.8</v>
      </c>
      <c r="R975">
        <v>3.2</v>
      </c>
      <c r="S975">
        <v>1.5</v>
      </c>
      <c r="T975">
        <v>19.899999999999999</v>
      </c>
      <c r="U975">
        <v>0.2</v>
      </c>
      <c r="V975">
        <v>1.5483870967741935</v>
      </c>
      <c r="W975">
        <v>0.60181451612903214</v>
      </c>
      <c r="X975">
        <v>50.4</v>
      </c>
      <c r="Y975">
        <v>11.55</v>
      </c>
      <c r="Z975">
        <v>23.7</v>
      </c>
      <c r="AA975">
        <v>2.2999999999999998</v>
      </c>
      <c r="AB975">
        <v>0.9</v>
      </c>
      <c r="AC975">
        <v>4.4000000000000004</v>
      </c>
      <c r="AD975">
        <v>0.1</v>
      </c>
      <c r="AE975">
        <v>1.1645569620253164</v>
      </c>
      <c r="AF975">
        <v>0.13924050632911394</v>
      </c>
      <c r="AG975">
        <v>68.599999999999994</v>
      </c>
      <c r="AH975">
        <v>10.509599999999999</v>
      </c>
      <c r="AI975">
        <v>66.400000000000006</v>
      </c>
    </row>
    <row r="976" spans="1:35" x14ac:dyDescent="0.5">
      <c r="A976">
        <v>120</v>
      </c>
      <c r="B976">
        <v>300</v>
      </c>
      <c r="C976">
        <v>0.1</v>
      </c>
      <c r="D976">
        <v>10</v>
      </c>
      <c r="E976">
        <v>250</v>
      </c>
      <c r="F976">
        <v>100</v>
      </c>
      <c r="G976">
        <v>10</v>
      </c>
      <c r="H976">
        <v>21.13</v>
      </c>
      <c r="I976">
        <v>2.98</v>
      </c>
      <c r="J976">
        <v>75.89</v>
      </c>
      <c r="O976">
        <v>37.299999999999997</v>
      </c>
      <c r="P976">
        <v>12.6</v>
      </c>
      <c r="Q976">
        <v>24.8</v>
      </c>
      <c r="R976">
        <v>3.2</v>
      </c>
      <c r="S976">
        <v>1.5</v>
      </c>
      <c r="T976">
        <v>19.899999999999999</v>
      </c>
      <c r="U976">
        <v>0.2</v>
      </c>
      <c r="V976">
        <v>1.5483870967741935</v>
      </c>
      <c r="W976">
        <v>0.60181451612903214</v>
      </c>
      <c r="X976">
        <v>50.4</v>
      </c>
      <c r="Y976">
        <v>11.55</v>
      </c>
      <c r="Z976">
        <v>22.5</v>
      </c>
      <c r="AA976">
        <v>2.2999999999999998</v>
      </c>
      <c r="AB976">
        <v>0.9</v>
      </c>
      <c r="AC976">
        <v>5.2</v>
      </c>
      <c r="AD976">
        <v>0.1</v>
      </c>
      <c r="AE976">
        <v>1.2266666666666666</v>
      </c>
      <c r="AF976">
        <v>0.17333333333333334</v>
      </c>
      <c r="AG976">
        <v>69</v>
      </c>
      <c r="AH976">
        <v>9.9611999999999998</v>
      </c>
      <c r="AI976">
        <v>65.099999999999994</v>
      </c>
    </row>
    <row r="977" spans="1:36" x14ac:dyDescent="0.5">
      <c r="A977">
        <v>30</v>
      </c>
      <c r="B977">
        <v>180</v>
      </c>
      <c r="C977">
        <v>0.1</v>
      </c>
      <c r="D977">
        <v>10</v>
      </c>
      <c r="E977">
        <v>350</v>
      </c>
      <c r="F977">
        <v>100</v>
      </c>
      <c r="G977">
        <v>10</v>
      </c>
      <c r="O977">
        <v>87.5</v>
      </c>
      <c r="P977">
        <v>5.4</v>
      </c>
      <c r="Q977">
        <v>46.58</v>
      </c>
      <c r="R977">
        <v>6.9</v>
      </c>
      <c r="S977">
        <v>10.5</v>
      </c>
      <c r="T977">
        <v>35.450000000000003</v>
      </c>
      <c r="U977">
        <v>0.56000000000000005</v>
      </c>
      <c r="V977">
        <v>1.7775869471876344</v>
      </c>
      <c r="W977">
        <v>0.57079218548733368</v>
      </c>
      <c r="X977">
        <v>7.1</v>
      </c>
      <c r="Y977">
        <v>19.269414999999999</v>
      </c>
      <c r="Z977">
        <v>48.36</v>
      </c>
      <c r="AA977">
        <v>6.24</v>
      </c>
      <c r="AB977">
        <v>9.92</v>
      </c>
      <c r="AC977">
        <v>34.950000000000003</v>
      </c>
      <c r="AD977">
        <v>0.54</v>
      </c>
      <c r="AE977">
        <v>1.5483870967741935</v>
      </c>
      <c r="AF977">
        <v>0.54202853598014888</v>
      </c>
      <c r="AH977">
        <v>19.017825000000002</v>
      </c>
      <c r="AI977">
        <v>46</v>
      </c>
      <c r="AJ977" t="s">
        <v>254</v>
      </c>
    </row>
    <row r="978" spans="1:36" x14ac:dyDescent="0.5">
      <c r="A978">
        <v>30</v>
      </c>
      <c r="B978">
        <v>200</v>
      </c>
      <c r="C978">
        <v>0.1</v>
      </c>
      <c r="D978">
        <v>10</v>
      </c>
      <c r="E978">
        <v>350</v>
      </c>
      <c r="F978">
        <v>100</v>
      </c>
      <c r="G978">
        <v>10</v>
      </c>
      <c r="O978">
        <v>87.5</v>
      </c>
      <c r="P978">
        <v>5.4</v>
      </c>
      <c r="Q978">
        <v>46.58</v>
      </c>
      <c r="R978">
        <v>6.9</v>
      </c>
      <c r="S978">
        <v>10.5</v>
      </c>
      <c r="T978">
        <v>35.450000000000003</v>
      </c>
      <c r="U978">
        <v>0.56000000000000005</v>
      </c>
      <c r="V978">
        <v>1.7775869471876344</v>
      </c>
      <c r="W978">
        <v>0.57079218548733368</v>
      </c>
      <c r="X978">
        <v>7.1</v>
      </c>
      <c r="Y978">
        <v>19.269414999999999</v>
      </c>
      <c r="Z978">
        <v>52.25</v>
      </c>
      <c r="AA978">
        <v>6.57</v>
      </c>
      <c r="AB978">
        <v>8.49</v>
      </c>
      <c r="AC978">
        <v>32.14</v>
      </c>
      <c r="AD978">
        <v>0.55000000000000004</v>
      </c>
      <c r="AE978">
        <v>1.5088995215311005</v>
      </c>
      <c r="AF978">
        <v>0.46133971291866027</v>
      </c>
      <c r="AH978">
        <v>21.305470000000003</v>
      </c>
      <c r="AI978">
        <v>31</v>
      </c>
    </row>
    <row r="979" spans="1:36" x14ac:dyDescent="0.5">
      <c r="A979">
        <v>30</v>
      </c>
      <c r="B979">
        <v>220</v>
      </c>
      <c r="C979">
        <v>0.1</v>
      </c>
      <c r="D979">
        <v>10</v>
      </c>
      <c r="E979">
        <v>350</v>
      </c>
      <c r="F979">
        <v>100</v>
      </c>
      <c r="G979">
        <v>10</v>
      </c>
      <c r="O979">
        <v>87.5</v>
      </c>
      <c r="P979">
        <v>5.4</v>
      </c>
      <c r="Q979">
        <v>46.58</v>
      </c>
      <c r="R979">
        <v>6.9</v>
      </c>
      <c r="S979">
        <v>10.5</v>
      </c>
      <c r="T979">
        <v>35.450000000000003</v>
      </c>
      <c r="U979">
        <v>0.56000000000000005</v>
      </c>
      <c r="V979">
        <v>1.7775869471876344</v>
      </c>
      <c r="W979">
        <v>0.57079218548733368</v>
      </c>
      <c r="X979">
        <v>7.1</v>
      </c>
      <c r="Y979">
        <v>19.269414999999999</v>
      </c>
      <c r="Z979">
        <v>58.06</v>
      </c>
      <c r="AA979">
        <v>7.04</v>
      </c>
      <c r="AB979">
        <v>7.61</v>
      </c>
      <c r="AC979">
        <v>26.91</v>
      </c>
      <c r="AD979">
        <v>0.38</v>
      </c>
      <c r="AE979">
        <v>1.4550465036169478</v>
      </c>
      <c r="AF979">
        <v>0.34761453668618669</v>
      </c>
      <c r="AH979">
        <v>24.873965000000002</v>
      </c>
      <c r="AI979">
        <v>24</v>
      </c>
    </row>
    <row r="980" spans="1:36" x14ac:dyDescent="0.5">
      <c r="A980">
        <v>30</v>
      </c>
      <c r="B980">
        <v>240</v>
      </c>
      <c r="C980">
        <v>0.1</v>
      </c>
      <c r="D980">
        <v>10</v>
      </c>
      <c r="E980">
        <v>350</v>
      </c>
      <c r="F980">
        <v>100</v>
      </c>
      <c r="G980">
        <v>10</v>
      </c>
      <c r="O980">
        <v>87.5</v>
      </c>
      <c r="P980">
        <v>5.4</v>
      </c>
      <c r="Q980">
        <v>46.58</v>
      </c>
      <c r="R980">
        <v>6.9</v>
      </c>
      <c r="S980">
        <v>10.5</v>
      </c>
      <c r="T980">
        <v>35.450000000000003</v>
      </c>
      <c r="U980">
        <v>0.56000000000000005</v>
      </c>
      <c r="V980">
        <v>1.7775869471876344</v>
      </c>
      <c r="W980">
        <v>0.57079218548733368</v>
      </c>
      <c r="X980">
        <v>7.1</v>
      </c>
      <c r="Y980">
        <v>19.269414999999999</v>
      </c>
      <c r="Z980">
        <v>57.2</v>
      </c>
      <c r="AA980">
        <v>6.57</v>
      </c>
      <c r="AB980">
        <v>6.45</v>
      </c>
      <c r="AC980">
        <v>29.38</v>
      </c>
      <c r="AD980">
        <v>0.4</v>
      </c>
      <c r="AE980">
        <v>1.3783216783216783</v>
      </c>
      <c r="AF980">
        <v>0.3852272727272727</v>
      </c>
      <c r="AH980">
        <v>23.471230000000002</v>
      </c>
      <c r="AI980">
        <v>21</v>
      </c>
    </row>
    <row r="981" spans="1:36" x14ac:dyDescent="0.5">
      <c r="A981">
        <v>30</v>
      </c>
      <c r="B981">
        <v>260</v>
      </c>
      <c r="C981">
        <v>0.1</v>
      </c>
      <c r="D981">
        <v>10</v>
      </c>
      <c r="E981">
        <v>350</v>
      </c>
      <c r="F981">
        <v>100</v>
      </c>
      <c r="G981">
        <v>10</v>
      </c>
      <c r="O981">
        <v>87.5</v>
      </c>
      <c r="P981">
        <v>5.4</v>
      </c>
      <c r="Q981">
        <v>46.58</v>
      </c>
      <c r="R981">
        <v>6.9</v>
      </c>
      <c r="S981">
        <v>10.5</v>
      </c>
      <c r="T981">
        <v>35.450000000000003</v>
      </c>
      <c r="U981">
        <v>0.56000000000000005</v>
      </c>
      <c r="V981">
        <v>1.7775869471876344</v>
      </c>
      <c r="W981">
        <v>0.57079218548733368</v>
      </c>
      <c r="X981">
        <v>7.1</v>
      </c>
      <c r="Y981">
        <v>19.269414999999999</v>
      </c>
      <c r="Z981">
        <v>61.38</v>
      </c>
      <c r="AA981">
        <v>7.03</v>
      </c>
      <c r="AB981">
        <v>6.63</v>
      </c>
      <c r="AC981">
        <v>24.62</v>
      </c>
      <c r="AD981">
        <v>0.34</v>
      </c>
      <c r="AE981">
        <v>1.3743890518084065</v>
      </c>
      <c r="AF981">
        <v>0.30083088954056697</v>
      </c>
      <c r="AH981">
        <v>26.390610000000002</v>
      </c>
      <c r="AI981">
        <v>22</v>
      </c>
    </row>
    <row r="982" spans="1:36" x14ac:dyDescent="0.5">
      <c r="A982">
        <v>30</v>
      </c>
      <c r="B982">
        <v>280</v>
      </c>
      <c r="C982">
        <v>0.1</v>
      </c>
      <c r="D982">
        <v>10</v>
      </c>
      <c r="E982">
        <v>350</v>
      </c>
      <c r="F982">
        <v>100</v>
      </c>
      <c r="G982">
        <v>10</v>
      </c>
      <c r="O982">
        <v>87.5</v>
      </c>
      <c r="P982">
        <v>5.4</v>
      </c>
      <c r="Q982">
        <v>46.58</v>
      </c>
      <c r="R982">
        <v>6.9</v>
      </c>
      <c r="S982">
        <v>10.5</v>
      </c>
      <c r="T982">
        <v>35.450000000000003</v>
      </c>
      <c r="U982">
        <v>0.56000000000000005</v>
      </c>
      <c r="V982">
        <v>1.7775869471876344</v>
      </c>
      <c r="W982">
        <v>0.57079218548733368</v>
      </c>
      <c r="X982">
        <v>7.1</v>
      </c>
      <c r="Y982">
        <v>19.269414999999999</v>
      </c>
      <c r="Z982">
        <v>60.27</v>
      </c>
      <c r="AA982">
        <v>6.99</v>
      </c>
      <c r="AB982">
        <v>5.97</v>
      </c>
      <c r="AC982">
        <v>26.42</v>
      </c>
      <c r="AD982">
        <v>0.35</v>
      </c>
      <c r="AE982">
        <v>1.3917371826779492</v>
      </c>
      <c r="AF982">
        <v>0.32877053260328526</v>
      </c>
      <c r="AH982">
        <v>25.637010000000004</v>
      </c>
      <c r="AI982">
        <v>21</v>
      </c>
    </row>
    <row r="983" spans="1:36" x14ac:dyDescent="0.5">
      <c r="A983">
        <v>60</v>
      </c>
      <c r="B983">
        <v>180</v>
      </c>
      <c r="C983">
        <v>0.1</v>
      </c>
      <c r="D983">
        <v>10</v>
      </c>
      <c r="E983">
        <v>250</v>
      </c>
      <c r="F983">
        <v>150</v>
      </c>
      <c r="G983">
        <v>15</v>
      </c>
      <c r="N983">
        <v>7.04</v>
      </c>
      <c r="O983">
        <v>84.02</v>
      </c>
      <c r="P983">
        <v>6.25</v>
      </c>
      <c r="Q983">
        <v>46.18</v>
      </c>
      <c r="R983">
        <v>5.89</v>
      </c>
      <c r="S983">
        <v>0.25</v>
      </c>
      <c r="T983">
        <v>45</v>
      </c>
      <c r="U983">
        <v>0</v>
      </c>
      <c r="V983">
        <v>1.5305326981377219</v>
      </c>
      <c r="W983">
        <v>0.73083585967951492</v>
      </c>
      <c r="X983">
        <v>2.67</v>
      </c>
      <c r="Y983">
        <v>18.350000000000001</v>
      </c>
      <c r="Z983">
        <v>49.42</v>
      </c>
      <c r="AA983">
        <v>5.85</v>
      </c>
      <c r="AB983">
        <v>0.2</v>
      </c>
      <c r="AC983">
        <v>43.02</v>
      </c>
      <c r="AD983">
        <v>0</v>
      </c>
      <c r="AE983">
        <v>1.4204775394577094</v>
      </c>
      <c r="AF983">
        <v>0.65287333063537034</v>
      </c>
      <c r="AG983">
        <v>1.5</v>
      </c>
      <c r="AH983">
        <v>19.66</v>
      </c>
      <c r="AI983">
        <v>73</v>
      </c>
      <c r="AJ983" t="s">
        <v>257</v>
      </c>
    </row>
    <row r="984" spans="1:36" x14ac:dyDescent="0.5">
      <c r="A984">
        <v>60</v>
      </c>
      <c r="B984">
        <v>200</v>
      </c>
      <c r="C984">
        <v>0.1</v>
      </c>
      <c r="D984">
        <v>10</v>
      </c>
      <c r="E984">
        <v>250</v>
      </c>
      <c r="F984">
        <v>150</v>
      </c>
      <c r="G984">
        <v>15</v>
      </c>
      <c r="N984">
        <v>7.04</v>
      </c>
      <c r="O984">
        <v>84.02</v>
      </c>
      <c r="P984">
        <v>6.25</v>
      </c>
      <c r="Q984">
        <v>46.18</v>
      </c>
      <c r="R984">
        <v>5.89</v>
      </c>
      <c r="S984">
        <v>0.25</v>
      </c>
      <c r="T984">
        <v>45</v>
      </c>
      <c r="U984">
        <v>0</v>
      </c>
      <c r="V984">
        <v>1.5305326981377219</v>
      </c>
      <c r="W984">
        <v>0.73083585967951492</v>
      </c>
      <c r="X984">
        <v>2.67</v>
      </c>
      <c r="Y984">
        <v>18.350000000000001</v>
      </c>
      <c r="Z984">
        <v>52.25</v>
      </c>
      <c r="AA984">
        <v>5.85</v>
      </c>
      <c r="AB984">
        <v>0.18</v>
      </c>
      <c r="AC984">
        <v>42.83</v>
      </c>
      <c r="AD984">
        <v>0</v>
      </c>
      <c r="AE984">
        <v>1.3435406698564591</v>
      </c>
      <c r="AF984">
        <v>0.61478468899521521</v>
      </c>
      <c r="AG984">
        <v>1.07</v>
      </c>
      <c r="AH984">
        <v>20</v>
      </c>
      <c r="AI984">
        <v>54</v>
      </c>
    </row>
    <row r="985" spans="1:36" x14ac:dyDescent="0.5">
      <c r="A985">
        <v>60</v>
      </c>
      <c r="B985">
        <v>220</v>
      </c>
      <c r="C985">
        <v>0.1</v>
      </c>
      <c r="D985">
        <v>10</v>
      </c>
      <c r="E985">
        <v>250</v>
      </c>
      <c r="F985">
        <v>150</v>
      </c>
      <c r="G985">
        <v>15</v>
      </c>
      <c r="N985">
        <v>7.04</v>
      </c>
      <c r="O985">
        <v>84.02</v>
      </c>
      <c r="P985">
        <v>6.25</v>
      </c>
      <c r="Q985">
        <v>46.18</v>
      </c>
      <c r="R985">
        <v>5.89</v>
      </c>
      <c r="S985">
        <v>0.25</v>
      </c>
      <c r="T985">
        <v>45</v>
      </c>
      <c r="U985">
        <v>0</v>
      </c>
      <c r="V985">
        <v>1.5305326981377219</v>
      </c>
      <c r="W985">
        <v>0.73083585967951492</v>
      </c>
      <c r="X985">
        <v>2.67</v>
      </c>
      <c r="Y985">
        <v>18.350000000000001</v>
      </c>
      <c r="Z985">
        <v>52.96</v>
      </c>
      <c r="AA985">
        <v>5.81</v>
      </c>
      <c r="AB985">
        <v>0.19</v>
      </c>
      <c r="AC985">
        <v>39.97</v>
      </c>
      <c r="AD985">
        <v>0</v>
      </c>
      <c r="AE985">
        <v>1.316465256797583</v>
      </c>
      <c r="AF985">
        <v>0.56604040785498488</v>
      </c>
      <c r="AG985">
        <v>0.88</v>
      </c>
      <c r="AH985">
        <v>21.18</v>
      </c>
      <c r="AI985">
        <v>51</v>
      </c>
    </row>
    <row r="986" spans="1:36" x14ac:dyDescent="0.5">
      <c r="A986">
        <v>30</v>
      </c>
      <c r="B986">
        <v>190</v>
      </c>
      <c r="C986">
        <v>0.1</v>
      </c>
      <c r="D986">
        <v>1</v>
      </c>
      <c r="E986">
        <v>25</v>
      </c>
      <c r="F986">
        <v>9</v>
      </c>
      <c r="G986">
        <v>9</v>
      </c>
      <c r="O986">
        <v>77.73</v>
      </c>
      <c r="P986">
        <v>18.350000000000001</v>
      </c>
      <c r="Q986">
        <v>50.94</v>
      </c>
      <c r="R986">
        <v>7.01</v>
      </c>
      <c r="S986">
        <v>4.33</v>
      </c>
      <c r="T986">
        <v>33.56</v>
      </c>
      <c r="U986">
        <v>0.24</v>
      </c>
      <c r="V986">
        <v>1.6513545347467609</v>
      </c>
      <c r="W986">
        <v>0.49411071849234395</v>
      </c>
      <c r="X986">
        <v>3.91</v>
      </c>
      <c r="Y986">
        <v>22.53</v>
      </c>
      <c r="Z986">
        <v>59.33</v>
      </c>
      <c r="AA986">
        <v>6.91</v>
      </c>
      <c r="AB986">
        <v>4.2300000000000004</v>
      </c>
      <c r="AC986">
        <v>25.36</v>
      </c>
      <c r="AD986">
        <v>0.5</v>
      </c>
      <c r="AE986">
        <v>1.3976066071127591</v>
      </c>
      <c r="AF986">
        <v>0.32057980785437384</v>
      </c>
      <c r="AG986">
        <v>3.66</v>
      </c>
      <c r="AH986">
        <v>26.23</v>
      </c>
      <c r="AI986">
        <v>69.48</v>
      </c>
      <c r="AJ986" t="s">
        <v>259</v>
      </c>
    </row>
    <row r="987" spans="1:36" x14ac:dyDescent="0.5">
      <c r="A987">
        <v>60</v>
      </c>
      <c r="B987">
        <v>190</v>
      </c>
      <c r="C987">
        <v>0.1</v>
      </c>
      <c r="D987">
        <v>1</v>
      </c>
      <c r="E987">
        <v>25</v>
      </c>
      <c r="F987">
        <v>9</v>
      </c>
      <c r="G987">
        <v>9</v>
      </c>
      <c r="O987">
        <v>77.73</v>
      </c>
      <c r="P987">
        <v>18.350000000000001</v>
      </c>
      <c r="Q987">
        <v>50.94</v>
      </c>
      <c r="R987">
        <v>7.01</v>
      </c>
      <c r="S987">
        <v>4.33</v>
      </c>
      <c r="T987">
        <v>33.56</v>
      </c>
      <c r="U987">
        <v>0.24</v>
      </c>
      <c r="V987">
        <v>1.6513545347467609</v>
      </c>
      <c r="W987">
        <v>0.49411071849234395</v>
      </c>
      <c r="X987">
        <v>3.91</v>
      </c>
      <c r="Y987">
        <v>22.53</v>
      </c>
      <c r="Z987">
        <v>59.87</v>
      </c>
      <c r="AA987">
        <v>6.85</v>
      </c>
      <c r="AB987">
        <v>4.07</v>
      </c>
      <c r="AC987">
        <v>25.46</v>
      </c>
      <c r="AD987">
        <v>0.48</v>
      </c>
      <c r="AE987">
        <v>1.3729747786871553</v>
      </c>
      <c r="AF987">
        <v>0.31894103891765491</v>
      </c>
      <c r="AG987">
        <v>3.27</v>
      </c>
      <c r="AH987">
        <v>26.32</v>
      </c>
      <c r="AI987">
        <v>68.94</v>
      </c>
    </row>
    <row r="988" spans="1:36" x14ac:dyDescent="0.5">
      <c r="A988">
        <v>120</v>
      </c>
      <c r="B988">
        <v>190</v>
      </c>
      <c r="C988">
        <v>0.1</v>
      </c>
      <c r="D988">
        <v>1</v>
      </c>
      <c r="E988">
        <v>25</v>
      </c>
      <c r="F988">
        <v>9</v>
      </c>
      <c r="G988">
        <v>9</v>
      </c>
      <c r="O988">
        <v>77.73</v>
      </c>
      <c r="P988">
        <v>18.350000000000001</v>
      </c>
      <c r="Q988">
        <v>50.94</v>
      </c>
      <c r="R988">
        <v>7.01</v>
      </c>
      <c r="S988">
        <v>4.33</v>
      </c>
      <c r="T988">
        <v>33.56</v>
      </c>
      <c r="U988">
        <v>0.24</v>
      </c>
      <c r="V988">
        <v>1.6513545347467609</v>
      </c>
      <c r="W988">
        <v>0.49411071849234395</v>
      </c>
      <c r="X988">
        <v>3.91</v>
      </c>
      <c r="Y988">
        <v>22.53</v>
      </c>
      <c r="Z988">
        <v>60.67</v>
      </c>
      <c r="AA988">
        <v>6.82</v>
      </c>
      <c r="AB988">
        <v>4</v>
      </c>
      <c r="AC988">
        <v>24.66</v>
      </c>
      <c r="AD988">
        <v>0.48</v>
      </c>
      <c r="AE988">
        <v>1.3489368716004617</v>
      </c>
      <c r="AF988">
        <v>0.30484588758859404</v>
      </c>
      <c r="AG988">
        <v>3.37</v>
      </c>
      <c r="AH988">
        <v>26.66</v>
      </c>
      <c r="AI988">
        <v>67.709999999999994</v>
      </c>
    </row>
    <row r="989" spans="1:36" x14ac:dyDescent="0.5">
      <c r="A989">
        <v>240</v>
      </c>
      <c r="B989">
        <v>190</v>
      </c>
      <c r="C989">
        <v>0.1</v>
      </c>
      <c r="D989">
        <v>1</v>
      </c>
      <c r="E989">
        <v>25</v>
      </c>
      <c r="F989">
        <v>9</v>
      </c>
      <c r="G989">
        <v>9</v>
      </c>
      <c r="O989">
        <v>77.73</v>
      </c>
      <c r="P989">
        <v>18.350000000000001</v>
      </c>
      <c r="Q989">
        <v>50.94</v>
      </c>
      <c r="R989">
        <v>7.01</v>
      </c>
      <c r="S989">
        <v>4.33</v>
      </c>
      <c r="T989">
        <v>33.56</v>
      </c>
      <c r="U989">
        <v>0.24</v>
      </c>
      <c r="V989">
        <v>1.6513545347467609</v>
      </c>
      <c r="W989">
        <v>0.49411071849234395</v>
      </c>
      <c r="X989">
        <v>3.91</v>
      </c>
      <c r="Y989">
        <v>22.53</v>
      </c>
      <c r="Z989">
        <v>61.88</v>
      </c>
      <c r="AA989">
        <v>6.87</v>
      </c>
      <c r="AB989">
        <v>3.96</v>
      </c>
      <c r="AC989">
        <v>23.25</v>
      </c>
      <c r="AD989">
        <v>0.46</v>
      </c>
      <c r="AE989">
        <v>1.3322559793148028</v>
      </c>
      <c r="AF989">
        <v>0.28179541047188106</v>
      </c>
      <c r="AG989">
        <v>3.58</v>
      </c>
      <c r="AH989">
        <v>27.28</v>
      </c>
      <c r="AI989">
        <v>66.709999999999994</v>
      </c>
    </row>
    <row r="990" spans="1:36" x14ac:dyDescent="0.5">
      <c r="A990">
        <v>30</v>
      </c>
      <c r="B990">
        <v>220</v>
      </c>
      <c r="C990">
        <v>0.1</v>
      </c>
      <c r="D990">
        <v>1</v>
      </c>
      <c r="E990">
        <v>25</v>
      </c>
      <c r="F990">
        <v>9</v>
      </c>
      <c r="G990">
        <v>9</v>
      </c>
      <c r="O990">
        <v>77.73</v>
      </c>
      <c r="P990">
        <v>18.350000000000001</v>
      </c>
      <c r="Q990">
        <v>50.94</v>
      </c>
      <c r="R990">
        <v>7.01</v>
      </c>
      <c r="S990">
        <v>4.33</v>
      </c>
      <c r="T990">
        <v>33.56</v>
      </c>
      <c r="U990">
        <v>0.24</v>
      </c>
      <c r="V990">
        <v>1.6513545347467609</v>
      </c>
      <c r="W990">
        <v>0.49411071849234395</v>
      </c>
      <c r="X990">
        <v>3.91</v>
      </c>
      <c r="Y990">
        <v>22.53</v>
      </c>
      <c r="Z990">
        <v>63.42</v>
      </c>
      <c r="AA990">
        <v>6.9</v>
      </c>
      <c r="AB990">
        <v>4.42</v>
      </c>
      <c r="AC990">
        <v>21.29</v>
      </c>
      <c r="AD990">
        <v>0.41</v>
      </c>
      <c r="AE990">
        <v>1.3055818353831599</v>
      </c>
      <c r="AF990">
        <v>0.25177388836329234</v>
      </c>
      <c r="AG990">
        <v>3.57</v>
      </c>
      <c r="AH990">
        <v>28.04</v>
      </c>
      <c r="AI990">
        <v>68.03</v>
      </c>
    </row>
    <row r="991" spans="1:36" x14ac:dyDescent="0.5">
      <c r="A991">
        <v>60</v>
      </c>
      <c r="B991">
        <v>220</v>
      </c>
      <c r="C991">
        <v>0.1</v>
      </c>
      <c r="D991">
        <v>1</v>
      </c>
      <c r="E991">
        <v>25</v>
      </c>
      <c r="F991">
        <v>9</v>
      </c>
      <c r="G991">
        <v>9</v>
      </c>
      <c r="O991">
        <v>77.73</v>
      </c>
      <c r="P991">
        <v>18.350000000000001</v>
      </c>
      <c r="Q991">
        <v>50.94</v>
      </c>
      <c r="R991">
        <v>7.01</v>
      </c>
      <c r="S991">
        <v>4.33</v>
      </c>
      <c r="T991">
        <v>33.56</v>
      </c>
      <c r="U991">
        <v>0.24</v>
      </c>
      <c r="V991">
        <v>1.6513545347467609</v>
      </c>
      <c r="W991">
        <v>0.49411071849234395</v>
      </c>
      <c r="X991">
        <v>3.91</v>
      </c>
      <c r="Y991">
        <v>22.53</v>
      </c>
      <c r="Z991">
        <v>64.27</v>
      </c>
      <c r="AA991">
        <v>6.94</v>
      </c>
      <c r="AB991">
        <v>4.68</v>
      </c>
      <c r="AC991">
        <v>19.95</v>
      </c>
      <c r="AD991">
        <v>0.42</v>
      </c>
      <c r="AE991">
        <v>1.2957834137233548</v>
      </c>
      <c r="AF991">
        <v>0.23280690835537576</v>
      </c>
      <c r="AG991">
        <v>3.73</v>
      </c>
      <c r="AH991">
        <v>28.52</v>
      </c>
      <c r="AI991">
        <v>67.77</v>
      </c>
    </row>
    <row r="992" spans="1:36" x14ac:dyDescent="0.5">
      <c r="A992">
        <v>120</v>
      </c>
      <c r="B992">
        <v>220</v>
      </c>
      <c r="C992">
        <v>0.1</v>
      </c>
      <c r="D992">
        <v>1</v>
      </c>
      <c r="E992">
        <v>25</v>
      </c>
      <c r="F992">
        <v>9</v>
      </c>
      <c r="G992">
        <v>9</v>
      </c>
      <c r="O992">
        <v>77.73</v>
      </c>
      <c r="P992">
        <v>18.350000000000001</v>
      </c>
      <c r="Q992">
        <v>50.94</v>
      </c>
      <c r="R992">
        <v>7.01</v>
      </c>
      <c r="S992">
        <v>4.33</v>
      </c>
      <c r="T992">
        <v>33.56</v>
      </c>
      <c r="U992">
        <v>0.24</v>
      </c>
      <c r="V992">
        <v>1.6513545347467609</v>
      </c>
      <c r="W992">
        <v>0.49411071849234395</v>
      </c>
      <c r="X992">
        <v>3.91</v>
      </c>
      <c r="Y992">
        <v>22.53</v>
      </c>
      <c r="Z992">
        <v>65.42</v>
      </c>
      <c r="AA992">
        <v>6.74</v>
      </c>
      <c r="AB992">
        <v>4.9400000000000004</v>
      </c>
      <c r="AC992">
        <v>18.559999999999999</v>
      </c>
      <c r="AD992">
        <v>0.4</v>
      </c>
      <c r="AE992">
        <v>1.2363191684500152</v>
      </c>
      <c r="AF992">
        <v>0.2127789666768572</v>
      </c>
      <c r="AG992">
        <v>3.94</v>
      </c>
      <c r="AH992">
        <v>28.83</v>
      </c>
      <c r="AI992">
        <v>66.599999999999994</v>
      </c>
    </row>
    <row r="993" spans="1:35" x14ac:dyDescent="0.5">
      <c r="A993">
        <v>240</v>
      </c>
      <c r="B993">
        <v>220</v>
      </c>
      <c r="C993">
        <v>0.1</v>
      </c>
      <c r="D993">
        <v>1</v>
      </c>
      <c r="E993">
        <v>25</v>
      </c>
      <c r="F993">
        <v>9</v>
      </c>
      <c r="G993">
        <v>9</v>
      </c>
      <c r="O993">
        <v>77.73</v>
      </c>
      <c r="P993">
        <v>18.350000000000001</v>
      </c>
      <c r="Q993">
        <v>50.94</v>
      </c>
      <c r="R993">
        <v>7.01</v>
      </c>
      <c r="S993">
        <v>4.33</v>
      </c>
      <c r="T993">
        <v>33.56</v>
      </c>
      <c r="U993">
        <v>0.24</v>
      </c>
      <c r="V993">
        <v>1.6513545347467609</v>
      </c>
      <c r="W993">
        <v>0.49411071849234395</v>
      </c>
      <c r="X993">
        <v>3.91</v>
      </c>
      <c r="Y993">
        <v>22.53</v>
      </c>
      <c r="Z993">
        <v>67.63</v>
      </c>
      <c r="AA993">
        <v>6.79</v>
      </c>
      <c r="AB993">
        <v>5.48</v>
      </c>
      <c r="AC993">
        <v>15.65</v>
      </c>
      <c r="AD993">
        <v>0.41</v>
      </c>
      <c r="AE993">
        <v>1.2047907733254473</v>
      </c>
      <c r="AF993">
        <v>0.17355463551678249</v>
      </c>
      <c r="AG993">
        <v>4.04</v>
      </c>
      <c r="AH993">
        <v>29.95</v>
      </c>
      <c r="AI993">
        <v>65.400000000000006</v>
      </c>
    </row>
    <row r="994" spans="1:35" x14ac:dyDescent="0.5">
      <c r="A994">
        <v>30</v>
      </c>
      <c r="B994">
        <v>190</v>
      </c>
      <c r="C994">
        <v>0.1</v>
      </c>
      <c r="D994">
        <v>1</v>
      </c>
      <c r="E994">
        <v>25</v>
      </c>
      <c r="F994">
        <v>9</v>
      </c>
      <c r="G994">
        <v>9</v>
      </c>
      <c r="O994">
        <v>79.790000000000006</v>
      </c>
      <c r="P994">
        <v>16.920000000000002</v>
      </c>
      <c r="Q994">
        <v>51.25</v>
      </c>
      <c r="R994">
        <v>7.11</v>
      </c>
      <c r="S994">
        <v>3.51</v>
      </c>
      <c r="T994">
        <v>34.68</v>
      </c>
      <c r="U994">
        <v>0.17</v>
      </c>
      <c r="V994">
        <v>1.6647804878048782</v>
      </c>
      <c r="W994">
        <v>0.50751219512195123</v>
      </c>
      <c r="X994">
        <v>3.29</v>
      </c>
      <c r="Y994">
        <v>22.64</v>
      </c>
      <c r="Z994">
        <v>59.59</v>
      </c>
      <c r="AA994">
        <v>6.96</v>
      </c>
      <c r="AB994">
        <v>4.25</v>
      </c>
      <c r="AC994">
        <v>26.71</v>
      </c>
      <c r="AD994">
        <v>0.25</v>
      </c>
      <c r="AE994">
        <v>1.4015774458801813</v>
      </c>
      <c r="AF994">
        <v>0.33617217653968789</v>
      </c>
      <c r="AG994">
        <v>2.2400000000000002</v>
      </c>
      <c r="AH994">
        <v>26.21</v>
      </c>
      <c r="AI994">
        <v>67.099999999999994</v>
      </c>
    </row>
    <row r="995" spans="1:35" x14ac:dyDescent="0.5">
      <c r="A995">
        <v>60</v>
      </c>
      <c r="B995">
        <v>190</v>
      </c>
      <c r="C995">
        <v>0.1</v>
      </c>
      <c r="D995">
        <v>1</v>
      </c>
      <c r="E995">
        <v>25</v>
      </c>
      <c r="F995">
        <v>9</v>
      </c>
      <c r="G995">
        <v>9</v>
      </c>
      <c r="O995">
        <v>79.790000000000006</v>
      </c>
      <c r="P995">
        <v>16.920000000000002</v>
      </c>
      <c r="Q995">
        <v>51.25</v>
      </c>
      <c r="R995">
        <v>7.11</v>
      </c>
      <c r="S995">
        <v>3.51</v>
      </c>
      <c r="T995">
        <v>34.68</v>
      </c>
      <c r="U995">
        <v>0.17</v>
      </c>
      <c r="V995">
        <v>1.6647804878048782</v>
      </c>
      <c r="W995">
        <v>0.50751219512195123</v>
      </c>
      <c r="X995">
        <v>3.29</v>
      </c>
      <c r="Y995">
        <v>22.64</v>
      </c>
      <c r="Z995">
        <v>59.93</v>
      </c>
      <c r="AA995">
        <v>6.99</v>
      </c>
      <c r="AB995">
        <v>3.97</v>
      </c>
      <c r="AC995">
        <v>26.12</v>
      </c>
      <c r="AD995">
        <v>0.32</v>
      </c>
      <c r="AE995">
        <v>1.3996329050558987</v>
      </c>
      <c r="AF995">
        <v>0.32688136158851994</v>
      </c>
      <c r="AG995">
        <v>2.65</v>
      </c>
      <c r="AH995">
        <v>26.43</v>
      </c>
      <c r="AI995">
        <v>66.22</v>
      </c>
    </row>
    <row r="996" spans="1:35" x14ac:dyDescent="0.5">
      <c r="A996">
        <v>120</v>
      </c>
      <c r="B996">
        <v>190</v>
      </c>
      <c r="C996">
        <v>0.1</v>
      </c>
      <c r="D996">
        <v>1</v>
      </c>
      <c r="E996">
        <v>25</v>
      </c>
      <c r="F996">
        <v>9</v>
      </c>
      <c r="G996">
        <v>9</v>
      </c>
      <c r="O996">
        <v>79.790000000000006</v>
      </c>
      <c r="P996">
        <v>16.920000000000002</v>
      </c>
      <c r="Q996">
        <v>51.25</v>
      </c>
      <c r="R996">
        <v>7.11</v>
      </c>
      <c r="S996">
        <v>3.51</v>
      </c>
      <c r="T996">
        <v>34.68</v>
      </c>
      <c r="U996">
        <v>0.17</v>
      </c>
      <c r="V996">
        <v>1.6647804878048782</v>
      </c>
      <c r="W996">
        <v>0.50751219512195123</v>
      </c>
      <c r="X996">
        <v>3.29</v>
      </c>
      <c r="Y996">
        <v>22.64</v>
      </c>
      <c r="Z996">
        <v>60.91</v>
      </c>
      <c r="AA996">
        <v>6.78</v>
      </c>
      <c r="AB996">
        <v>3.95</v>
      </c>
      <c r="AC996">
        <v>25.62</v>
      </c>
      <c r="AD996">
        <v>0.2</v>
      </c>
      <c r="AE996">
        <v>1.3357412575931704</v>
      </c>
      <c r="AF996">
        <v>0.31546544081431627</v>
      </c>
      <c r="AG996">
        <v>2.54</v>
      </c>
      <c r="AH996">
        <v>26.57</v>
      </c>
      <c r="AI996">
        <v>65.36</v>
      </c>
    </row>
    <row r="997" spans="1:35" x14ac:dyDescent="0.5">
      <c r="A997">
        <v>240</v>
      </c>
      <c r="B997">
        <v>190</v>
      </c>
      <c r="C997">
        <v>0.1</v>
      </c>
      <c r="D997">
        <v>1</v>
      </c>
      <c r="E997">
        <v>25</v>
      </c>
      <c r="F997">
        <v>9</v>
      </c>
      <c r="G997">
        <v>9</v>
      </c>
      <c r="O997">
        <v>79.790000000000006</v>
      </c>
      <c r="P997">
        <v>16.920000000000002</v>
      </c>
      <c r="Q997">
        <v>51.25</v>
      </c>
      <c r="R997">
        <v>7.11</v>
      </c>
      <c r="S997">
        <v>3.51</v>
      </c>
      <c r="T997">
        <v>34.68</v>
      </c>
      <c r="U997">
        <v>0.17</v>
      </c>
      <c r="V997">
        <v>1.6647804878048782</v>
      </c>
      <c r="W997">
        <v>0.50751219512195123</v>
      </c>
      <c r="X997">
        <v>3.29</v>
      </c>
      <c r="Y997">
        <v>22.64</v>
      </c>
      <c r="Z997">
        <v>61.07</v>
      </c>
      <c r="AA997">
        <v>6.87</v>
      </c>
      <c r="AB997">
        <v>3.11</v>
      </c>
      <c r="AC997">
        <v>26.26</v>
      </c>
      <c r="AD997">
        <v>0.15</v>
      </c>
      <c r="AE997">
        <v>1.3499263140658262</v>
      </c>
      <c r="AF997">
        <v>0.32249877190109716</v>
      </c>
      <c r="AG997">
        <v>2.54</v>
      </c>
      <c r="AH997">
        <v>26.66</v>
      </c>
      <c r="AI997">
        <v>64.849999999999994</v>
      </c>
    </row>
    <row r="998" spans="1:35" x14ac:dyDescent="0.5">
      <c r="A998">
        <v>30</v>
      </c>
      <c r="B998">
        <v>220</v>
      </c>
      <c r="C998">
        <v>0.1</v>
      </c>
      <c r="D998">
        <v>1</v>
      </c>
      <c r="E998">
        <v>25</v>
      </c>
      <c r="F998">
        <v>9</v>
      </c>
      <c r="G998">
        <v>9</v>
      </c>
      <c r="O998">
        <v>79.790000000000006</v>
      </c>
      <c r="P998">
        <v>16.920000000000002</v>
      </c>
      <c r="Q998">
        <v>51.25</v>
      </c>
      <c r="R998">
        <v>7.11</v>
      </c>
      <c r="S998">
        <v>3.51</v>
      </c>
      <c r="T998">
        <v>34.68</v>
      </c>
      <c r="U998">
        <v>0.17</v>
      </c>
      <c r="V998">
        <v>1.6647804878048782</v>
      </c>
      <c r="W998">
        <v>0.50751219512195123</v>
      </c>
      <c r="X998">
        <v>3.29</v>
      </c>
      <c r="Y998">
        <v>22.64</v>
      </c>
      <c r="Z998">
        <v>62.4</v>
      </c>
      <c r="AA998">
        <v>6.79</v>
      </c>
      <c r="AB998">
        <v>3.21</v>
      </c>
      <c r="AC998">
        <v>24.8</v>
      </c>
      <c r="AD998">
        <v>0.16</v>
      </c>
      <c r="AE998">
        <v>1.3057692307692308</v>
      </c>
      <c r="AF998">
        <v>0.29807692307692307</v>
      </c>
      <c r="AG998">
        <v>2.64</v>
      </c>
      <c r="AH998">
        <v>27.19</v>
      </c>
      <c r="AI998">
        <v>56.78</v>
      </c>
    </row>
    <row r="999" spans="1:35" x14ac:dyDescent="0.5">
      <c r="A999">
        <v>60</v>
      </c>
      <c r="B999">
        <v>220</v>
      </c>
      <c r="C999">
        <v>0.1</v>
      </c>
      <c r="D999">
        <v>1</v>
      </c>
      <c r="E999">
        <v>25</v>
      </c>
      <c r="F999">
        <v>9</v>
      </c>
      <c r="G999">
        <v>9</v>
      </c>
      <c r="O999">
        <v>79.790000000000006</v>
      </c>
      <c r="P999">
        <v>16.920000000000002</v>
      </c>
      <c r="Q999">
        <v>51.25</v>
      </c>
      <c r="R999">
        <v>7.11</v>
      </c>
      <c r="S999">
        <v>3.51</v>
      </c>
      <c r="T999">
        <v>34.68</v>
      </c>
      <c r="U999">
        <v>0.17</v>
      </c>
      <c r="V999">
        <v>1.6647804878048782</v>
      </c>
      <c r="W999">
        <v>0.50751219512195123</v>
      </c>
      <c r="X999">
        <v>3.29</v>
      </c>
      <c r="Y999">
        <v>22.64</v>
      </c>
      <c r="Z999">
        <v>63.7</v>
      </c>
      <c r="AA999">
        <v>6.84</v>
      </c>
      <c r="AB999">
        <v>3.38</v>
      </c>
      <c r="AC999">
        <v>23.49</v>
      </c>
      <c r="AD999">
        <v>0.16</v>
      </c>
      <c r="AE999">
        <v>1.2885400313971742</v>
      </c>
      <c r="AF999">
        <v>0.27656985871271583</v>
      </c>
      <c r="AG999">
        <v>2.4300000000000002</v>
      </c>
      <c r="AH999">
        <v>27.83</v>
      </c>
      <c r="AI999">
        <v>55.12</v>
      </c>
    </row>
    <row r="1000" spans="1:35" x14ac:dyDescent="0.5">
      <c r="A1000">
        <v>120</v>
      </c>
      <c r="B1000">
        <v>220</v>
      </c>
      <c r="C1000">
        <v>0.1</v>
      </c>
      <c r="D1000">
        <v>1</v>
      </c>
      <c r="E1000">
        <v>25</v>
      </c>
      <c r="F1000">
        <v>9</v>
      </c>
      <c r="G1000">
        <v>9</v>
      </c>
      <c r="O1000">
        <v>79.790000000000006</v>
      </c>
      <c r="P1000">
        <v>16.920000000000002</v>
      </c>
      <c r="Q1000">
        <v>51.25</v>
      </c>
      <c r="R1000">
        <v>7.11</v>
      </c>
      <c r="S1000">
        <v>3.51</v>
      </c>
      <c r="T1000">
        <v>34.68</v>
      </c>
      <c r="U1000">
        <v>0.17</v>
      </c>
      <c r="V1000">
        <v>1.6647804878048782</v>
      </c>
      <c r="W1000">
        <v>0.50751219512195123</v>
      </c>
      <c r="X1000">
        <v>3.29</v>
      </c>
      <c r="Y1000">
        <v>22.64</v>
      </c>
      <c r="Z1000">
        <v>65.47</v>
      </c>
      <c r="AA1000">
        <v>6.85</v>
      </c>
      <c r="AB1000">
        <v>3.55</v>
      </c>
      <c r="AC1000">
        <v>21.44</v>
      </c>
      <c r="AD1000">
        <v>0.16</v>
      </c>
      <c r="AE1000">
        <v>1.2555368871238735</v>
      </c>
      <c r="AF1000">
        <v>0.2456086757293417</v>
      </c>
      <c r="AG1000">
        <v>2.5299999999999998</v>
      </c>
      <c r="AH1000">
        <v>28.67</v>
      </c>
      <c r="AI1000">
        <v>53.81</v>
      </c>
    </row>
    <row r="1001" spans="1:35" x14ac:dyDescent="0.5">
      <c r="A1001">
        <v>240</v>
      </c>
      <c r="B1001">
        <v>220</v>
      </c>
      <c r="C1001">
        <v>0.1</v>
      </c>
      <c r="D1001">
        <v>1</v>
      </c>
      <c r="E1001">
        <v>25</v>
      </c>
      <c r="F1001">
        <v>9</v>
      </c>
      <c r="G1001">
        <v>9</v>
      </c>
      <c r="O1001">
        <v>79.790000000000006</v>
      </c>
      <c r="P1001">
        <v>16.920000000000002</v>
      </c>
      <c r="Q1001">
        <v>51.25</v>
      </c>
      <c r="R1001">
        <v>7.11</v>
      </c>
      <c r="S1001">
        <v>3.51</v>
      </c>
      <c r="T1001">
        <v>34.68</v>
      </c>
      <c r="U1001">
        <v>0.17</v>
      </c>
      <c r="V1001">
        <v>1.6647804878048782</v>
      </c>
      <c r="W1001">
        <v>0.50751219512195123</v>
      </c>
      <c r="X1001">
        <v>3.29</v>
      </c>
      <c r="Y1001">
        <v>22.64</v>
      </c>
      <c r="Z1001">
        <v>67.47</v>
      </c>
      <c r="AA1001">
        <v>6.75</v>
      </c>
      <c r="AB1001">
        <v>3.88</v>
      </c>
      <c r="AC1001">
        <v>18.8</v>
      </c>
      <c r="AD1001">
        <v>0.17</v>
      </c>
      <c r="AE1001">
        <v>1.2005335704757671</v>
      </c>
      <c r="AF1001">
        <v>0.20898176967541132</v>
      </c>
      <c r="AG1001">
        <v>2.93</v>
      </c>
      <c r="AH1001">
        <v>29.52</v>
      </c>
      <c r="AI1001">
        <v>49.16</v>
      </c>
    </row>
    <row r="1002" spans="1:35" x14ac:dyDescent="0.5">
      <c r="A1002">
        <v>30</v>
      </c>
      <c r="B1002">
        <v>190</v>
      </c>
      <c r="C1002">
        <v>0.1</v>
      </c>
      <c r="D1002">
        <v>1</v>
      </c>
      <c r="E1002">
        <v>25</v>
      </c>
      <c r="F1002">
        <v>9</v>
      </c>
      <c r="G1002">
        <v>9</v>
      </c>
      <c r="O1002">
        <v>80.7</v>
      </c>
      <c r="P1002">
        <v>17.18</v>
      </c>
      <c r="Q1002">
        <v>51.22</v>
      </c>
      <c r="R1002">
        <v>7.15</v>
      </c>
      <c r="S1002">
        <v>3.27</v>
      </c>
      <c r="T1002">
        <v>36.07</v>
      </c>
      <c r="U1002">
        <v>0.16</v>
      </c>
      <c r="V1002">
        <v>1.6751269035532994</v>
      </c>
      <c r="W1002">
        <v>0.52816282702069506</v>
      </c>
      <c r="X1002">
        <v>2.12</v>
      </c>
      <c r="Y1002">
        <v>22.54</v>
      </c>
      <c r="Z1002">
        <v>58.81</v>
      </c>
      <c r="AA1002">
        <v>7.25</v>
      </c>
      <c r="AB1002">
        <v>3.26</v>
      </c>
      <c r="AC1002">
        <v>28.87</v>
      </c>
      <c r="AD1002">
        <v>0.4</v>
      </c>
      <c r="AE1002">
        <v>1.479340248257099</v>
      </c>
      <c r="AF1002">
        <v>0.36817718075157285</v>
      </c>
      <c r="AG1002">
        <v>1.42</v>
      </c>
      <c r="AH1002">
        <v>26.08</v>
      </c>
      <c r="AI1002">
        <v>66.59</v>
      </c>
    </row>
    <row r="1003" spans="1:35" x14ac:dyDescent="0.5">
      <c r="A1003">
        <v>60</v>
      </c>
      <c r="B1003">
        <v>190</v>
      </c>
      <c r="C1003">
        <v>0.1</v>
      </c>
      <c r="D1003">
        <v>1</v>
      </c>
      <c r="E1003">
        <v>25</v>
      </c>
      <c r="F1003">
        <v>9</v>
      </c>
      <c r="G1003">
        <v>9</v>
      </c>
      <c r="O1003">
        <v>80.7</v>
      </c>
      <c r="P1003">
        <v>17.18</v>
      </c>
      <c r="Q1003">
        <v>51.22</v>
      </c>
      <c r="R1003">
        <v>7.15</v>
      </c>
      <c r="S1003">
        <v>3.27</v>
      </c>
      <c r="T1003">
        <v>36.07</v>
      </c>
      <c r="U1003">
        <v>0.16</v>
      </c>
      <c r="V1003">
        <v>1.6751269035532994</v>
      </c>
      <c r="W1003">
        <v>0.52816282702069506</v>
      </c>
      <c r="X1003">
        <v>2.12</v>
      </c>
      <c r="Y1003">
        <v>22.54</v>
      </c>
      <c r="Z1003">
        <v>59.42</v>
      </c>
      <c r="AA1003">
        <v>7.01</v>
      </c>
      <c r="AB1003">
        <v>3.04</v>
      </c>
      <c r="AC1003">
        <v>28.16</v>
      </c>
      <c r="AD1003">
        <v>0.34</v>
      </c>
      <c r="AE1003">
        <v>1.4156849545607537</v>
      </c>
      <c r="AF1003">
        <v>0.3554358801750252</v>
      </c>
      <c r="AG1003">
        <v>2.02</v>
      </c>
      <c r="AH1003">
        <v>26.08</v>
      </c>
      <c r="AI1003">
        <v>66.260000000000005</v>
      </c>
    </row>
    <row r="1004" spans="1:35" x14ac:dyDescent="0.5">
      <c r="A1004">
        <v>120</v>
      </c>
      <c r="B1004">
        <v>190</v>
      </c>
      <c r="C1004">
        <v>0.1</v>
      </c>
      <c r="D1004">
        <v>1</v>
      </c>
      <c r="E1004">
        <v>25</v>
      </c>
      <c r="F1004">
        <v>9</v>
      </c>
      <c r="G1004">
        <v>9</v>
      </c>
      <c r="O1004">
        <v>80.7</v>
      </c>
      <c r="P1004">
        <v>17.18</v>
      </c>
      <c r="Q1004">
        <v>51.22</v>
      </c>
      <c r="R1004">
        <v>7.15</v>
      </c>
      <c r="S1004">
        <v>3.27</v>
      </c>
      <c r="T1004">
        <v>36.07</v>
      </c>
      <c r="U1004">
        <v>0.16</v>
      </c>
      <c r="V1004">
        <v>1.6751269035532994</v>
      </c>
      <c r="W1004">
        <v>0.52816282702069506</v>
      </c>
      <c r="X1004">
        <v>2.12</v>
      </c>
      <c r="Y1004">
        <v>22.54</v>
      </c>
      <c r="Z1004">
        <v>60.47</v>
      </c>
      <c r="AA1004">
        <v>7.05</v>
      </c>
      <c r="AB1004">
        <v>2.89</v>
      </c>
      <c r="AC1004">
        <v>27.36</v>
      </c>
      <c r="AD1004">
        <v>0.41</v>
      </c>
      <c r="AE1004">
        <v>1.3990408467008433</v>
      </c>
      <c r="AF1004">
        <v>0.33934182239126842</v>
      </c>
      <c r="AG1004">
        <v>1.83</v>
      </c>
      <c r="AH1004">
        <v>26.59</v>
      </c>
      <c r="AI1004">
        <v>64.489999999999995</v>
      </c>
    </row>
    <row r="1005" spans="1:35" x14ac:dyDescent="0.5">
      <c r="A1005">
        <v>240</v>
      </c>
      <c r="B1005">
        <v>190</v>
      </c>
      <c r="C1005">
        <v>0.1</v>
      </c>
      <c r="D1005">
        <v>1</v>
      </c>
      <c r="E1005">
        <v>25</v>
      </c>
      <c r="F1005">
        <v>9</v>
      </c>
      <c r="G1005">
        <v>9</v>
      </c>
      <c r="O1005">
        <v>80.7</v>
      </c>
      <c r="P1005">
        <v>17.18</v>
      </c>
      <c r="Q1005">
        <v>51.22</v>
      </c>
      <c r="R1005">
        <v>7.15</v>
      </c>
      <c r="S1005">
        <v>3.27</v>
      </c>
      <c r="T1005">
        <v>36.07</v>
      </c>
      <c r="U1005">
        <v>0.16</v>
      </c>
      <c r="V1005">
        <v>1.6751269035532994</v>
      </c>
      <c r="W1005">
        <v>0.52816282702069506</v>
      </c>
      <c r="X1005">
        <v>2.12</v>
      </c>
      <c r="Y1005">
        <v>22.54</v>
      </c>
      <c r="Z1005">
        <v>61.98</v>
      </c>
      <c r="AA1005">
        <v>7.16</v>
      </c>
      <c r="AB1005">
        <v>3.03</v>
      </c>
      <c r="AC1005">
        <v>25.62</v>
      </c>
      <c r="AD1005">
        <v>0.39</v>
      </c>
      <c r="AE1005">
        <v>1.3862536302032915</v>
      </c>
      <c r="AF1005">
        <v>0.31001936108422073</v>
      </c>
      <c r="AG1005">
        <v>1.82</v>
      </c>
      <c r="AH1005">
        <v>27.42</v>
      </c>
      <c r="AI1005">
        <v>56.91</v>
      </c>
    </row>
    <row r="1006" spans="1:35" x14ac:dyDescent="0.5">
      <c r="A1006">
        <v>30</v>
      </c>
      <c r="B1006">
        <v>220</v>
      </c>
      <c r="C1006">
        <v>0.1</v>
      </c>
      <c r="D1006">
        <v>1</v>
      </c>
      <c r="E1006">
        <v>25</v>
      </c>
      <c r="F1006">
        <v>9</v>
      </c>
      <c r="G1006">
        <v>9</v>
      </c>
      <c r="O1006">
        <v>80.7</v>
      </c>
      <c r="P1006">
        <v>17.18</v>
      </c>
      <c r="Q1006">
        <v>51.22</v>
      </c>
      <c r="R1006">
        <v>7.15</v>
      </c>
      <c r="S1006">
        <v>3.27</v>
      </c>
      <c r="T1006">
        <v>36.07</v>
      </c>
      <c r="U1006">
        <v>0.16</v>
      </c>
      <c r="V1006">
        <v>1.6751269035532994</v>
      </c>
      <c r="W1006">
        <v>0.52816282702069506</v>
      </c>
      <c r="X1006">
        <v>2.12</v>
      </c>
      <c r="Y1006">
        <v>22.54</v>
      </c>
      <c r="Z1006">
        <v>62.76</v>
      </c>
      <c r="AA1006">
        <v>7.04</v>
      </c>
      <c r="AB1006">
        <v>2.94</v>
      </c>
      <c r="AC1006">
        <v>25.52</v>
      </c>
      <c r="AD1006">
        <v>0.22</v>
      </c>
      <c r="AE1006">
        <v>1.3460803059273423</v>
      </c>
      <c r="AF1006">
        <v>0.30497131931166349</v>
      </c>
      <c r="AG1006">
        <v>1.52</v>
      </c>
      <c r="AH1006">
        <v>27.55</v>
      </c>
      <c r="AI1006">
        <v>63.4</v>
      </c>
    </row>
    <row r="1007" spans="1:35" x14ac:dyDescent="0.5">
      <c r="A1007">
        <v>60</v>
      </c>
      <c r="B1007">
        <v>220</v>
      </c>
      <c r="C1007">
        <v>0.1</v>
      </c>
      <c r="D1007">
        <v>1</v>
      </c>
      <c r="E1007">
        <v>25</v>
      </c>
      <c r="F1007">
        <v>9</v>
      </c>
      <c r="G1007">
        <v>9</v>
      </c>
      <c r="O1007">
        <v>80.7</v>
      </c>
      <c r="P1007">
        <v>17.18</v>
      </c>
      <c r="Q1007">
        <v>51.22</v>
      </c>
      <c r="R1007">
        <v>7.15</v>
      </c>
      <c r="S1007">
        <v>3.27</v>
      </c>
      <c r="T1007">
        <v>36.07</v>
      </c>
      <c r="U1007">
        <v>0.16</v>
      </c>
      <c r="V1007">
        <v>1.6751269035532994</v>
      </c>
      <c r="W1007">
        <v>0.52816282702069506</v>
      </c>
      <c r="X1007">
        <v>2.12</v>
      </c>
      <c r="Y1007">
        <v>22.54</v>
      </c>
      <c r="Z1007">
        <v>64</v>
      </c>
      <c r="AA1007">
        <v>7</v>
      </c>
      <c r="AB1007">
        <v>3</v>
      </c>
      <c r="AC1007">
        <v>24.26</v>
      </c>
      <c r="AD1007">
        <v>0.22</v>
      </c>
      <c r="AE1007">
        <v>1.3125</v>
      </c>
      <c r="AF1007">
        <v>0.28429687500000006</v>
      </c>
      <c r="AG1007">
        <v>1.53</v>
      </c>
      <c r="AH1007">
        <v>28.06</v>
      </c>
      <c r="AI1007">
        <v>57.92</v>
      </c>
    </row>
    <row r="1008" spans="1:35" x14ac:dyDescent="0.5">
      <c r="A1008">
        <v>120</v>
      </c>
      <c r="B1008">
        <v>220</v>
      </c>
      <c r="C1008">
        <v>0.1</v>
      </c>
      <c r="D1008">
        <v>1</v>
      </c>
      <c r="E1008">
        <v>25</v>
      </c>
      <c r="F1008">
        <v>9</v>
      </c>
      <c r="G1008">
        <v>9</v>
      </c>
      <c r="O1008">
        <v>80.7</v>
      </c>
      <c r="P1008">
        <v>17.18</v>
      </c>
      <c r="Q1008">
        <v>51.22</v>
      </c>
      <c r="R1008">
        <v>7.15</v>
      </c>
      <c r="S1008">
        <v>3.27</v>
      </c>
      <c r="T1008">
        <v>36.07</v>
      </c>
      <c r="U1008">
        <v>0.16</v>
      </c>
      <c r="V1008">
        <v>1.6751269035532994</v>
      </c>
      <c r="W1008">
        <v>0.52816282702069506</v>
      </c>
      <c r="X1008">
        <v>2.12</v>
      </c>
      <c r="Y1008">
        <v>22.54</v>
      </c>
      <c r="Z1008">
        <v>65.569999999999993</v>
      </c>
      <c r="AA1008">
        <v>7</v>
      </c>
      <c r="AB1008">
        <v>3.24</v>
      </c>
      <c r="AC1008">
        <v>22.35</v>
      </c>
      <c r="AD1008">
        <v>0.21</v>
      </c>
      <c r="AE1008">
        <v>1.2810736617355498</v>
      </c>
      <c r="AF1008">
        <v>0.2556428244624066</v>
      </c>
      <c r="AG1008">
        <v>1.62</v>
      </c>
      <c r="AH1008">
        <v>28.8</v>
      </c>
      <c r="AI1008">
        <v>49.35</v>
      </c>
    </row>
    <row r="1009" spans="1:36" x14ac:dyDescent="0.5">
      <c r="A1009">
        <v>240</v>
      </c>
      <c r="B1009">
        <v>220</v>
      </c>
      <c r="C1009">
        <v>0.1</v>
      </c>
      <c r="D1009">
        <v>1</v>
      </c>
      <c r="E1009">
        <v>25</v>
      </c>
      <c r="F1009">
        <v>9</v>
      </c>
      <c r="G1009">
        <v>9</v>
      </c>
      <c r="O1009">
        <v>80.7</v>
      </c>
      <c r="P1009">
        <v>17.18</v>
      </c>
      <c r="Q1009">
        <v>51.22</v>
      </c>
      <c r="R1009">
        <v>7.15</v>
      </c>
      <c r="S1009">
        <v>3.27</v>
      </c>
      <c r="T1009">
        <v>36.07</v>
      </c>
      <c r="U1009">
        <v>0.16</v>
      </c>
      <c r="V1009">
        <v>1.6751269035532994</v>
      </c>
      <c r="W1009">
        <v>0.52816282702069506</v>
      </c>
      <c r="X1009">
        <v>2.12</v>
      </c>
      <c r="Y1009">
        <v>22.54</v>
      </c>
      <c r="Z1009">
        <v>68.17</v>
      </c>
      <c r="AA1009">
        <v>7.03</v>
      </c>
      <c r="AB1009">
        <v>3.47</v>
      </c>
      <c r="AC1009">
        <v>19.399999999999999</v>
      </c>
      <c r="AD1009">
        <v>0.22</v>
      </c>
      <c r="AE1009">
        <v>1.2374944990465016</v>
      </c>
      <c r="AF1009">
        <v>0.21343699574592928</v>
      </c>
      <c r="AG1009">
        <v>1.72</v>
      </c>
      <c r="AH1009">
        <v>30.04</v>
      </c>
      <c r="AI1009">
        <v>45.14</v>
      </c>
    </row>
    <row r="1010" spans="1:36" x14ac:dyDescent="0.5">
      <c r="A1010">
        <v>600</v>
      </c>
      <c r="B1010">
        <v>220</v>
      </c>
      <c r="C1010">
        <v>0.1</v>
      </c>
      <c r="D1010">
        <v>5</v>
      </c>
      <c r="E1010">
        <v>50</v>
      </c>
      <c r="F1010">
        <v>30</v>
      </c>
      <c r="G1010">
        <v>6</v>
      </c>
      <c r="O1010">
        <v>81.510000000000005</v>
      </c>
      <c r="P1010">
        <v>1.0900000000000001</v>
      </c>
      <c r="Q1010">
        <v>40.85</v>
      </c>
      <c r="R1010">
        <v>6.3</v>
      </c>
      <c r="S1010">
        <v>3.73</v>
      </c>
      <c r="T1010">
        <v>31.3</v>
      </c>
      <c r="U1010">
        <v>0.42</v>
      </c>
      <c r="V1010">
        <v>1.850673194614443</v>
      </c>
      <c r="W1010">
        <v>0.57466340269277849</v>
      </c>
      <c r="X1010">
        <v>17.399999999999999</v>
      </c>
      <c r="Y1010">
        <v>18.059999999999999</v>
      </c>
      <c r="Z1010">
        <v>51.51</v>
      </c>
      <c r="AA1010">
        <v>6.28</v>
      </c>
      <c r="AB1010">
        <v>3.05</v>
      </c>
      <c r="AC1010">
        <v>17.760000000000002</v>
      </c>
      <c r="AD1010">
        <v>0.32</v>
      </c>
      <c r="AE1010">
        <v>1.4630168899242868</v>
      </c>
      <c r="AF1010">
        <v>0.25859056493884686</v>
      </c>
      <c r="AG1010">
        <v>21.08</v>
      </c>
      <c r="AH1010">
        <v>23.09</v>
      </c>
      <c r="AI1010">
        <v>49.78</v>
      </c>
      <c r="AJ1010" t="s">
        <v>261</v>
      </c>
    </row>
    <row r="1011" spans="1:36" x14ac:dyDescent="0.5">
      <c r="A1011">
        <v>600</v>
      </c>
      <c r="B1011">
        <v>220</v>
      </c>
      <c r="C1011">
        <v>0.1</v>
      </c>
      <c r="D1011">
        <v>5</v>
      </c>
      <c r="E1011">
        <v>50</v>
      </c>
      <c r="F1011">
        <v>30</v>
      </c>
      <c r="G1011">
        <v>6</v>
      </c>
      <c r="O1011">
        <v>91.99</v>
      </c>
      <c r="P1011">
        <v>0.49</v>
      </c>
      <c r="Q1011">
        <v>45.79</v>
      </c>
      <c r="R1011">
        <v>6.38</v>
      </c>
      <c r="S1011">
        <v>1.29</v>
      </c>
      <c r="T1011">
        <v>46.03</v>
      </c>
      <c r="U1011">
        <v>0.03</v>
      </c>
      <c r="V1011">
        <v>1.6719807818300938</v>
      </c>
      <c r="W1011">
        <v>0.75393098929897362</v>
      </c>
      <c r="X1011">
        <v>0.49</v>
      </c>
      <c r="Y1011">
        <v>18.71</v>
      </c>
      <c r="Z1011">
        <v>58.96</v>
      </c>
      <c r="AA1011">
        <v>6.16</v>
      </c>
      <c r="AB1011">
        <v>0.96</v>
      </c>
      <c r="AC1011">
        <v>32.94</v>
      </c>
      <c r="AD1011">
        <v>0.01</v>
      </c>
      <c r="AE1011">
        <v>1.2537313432835822</v>
      </c>
      <c r="AF1011">
        <v>0.41901289009497966</v>
      </c>
      <c r="AG1011">
        <v>0.98</v>
      </c>
      <c r="AH1011">
        <v>24.4</v>
      </c>
      <c r="AI1011">
        <v>62.28</v>
      </c>
    </row>
    <row r="1012" spans="1:36" x14ac:dyDescent="0.5">
      <c r="A1012">
        <v>600</v>
      </c>
      <c r="B1012">
        <v>220</v>
      </c>
      <c r="C1012">
        <v>0.1</v>
      </c>
      <c r="D1012">
        <v>5</v>
      </c>
      <c r="E1012">
        <v>50</v>
      </c>
      <c r="F1012">
        <v>30</v>
      </c>
      <c r="G1012">
        <v>6</v>
      </c>
      <c r="O1012">
        <v>88.87</v>
      </c>
      <c r="P1012">
        <v>3.43</v>
      </c>
      <c r="Q1012">
        <v>43.39</v>
      </c>
      <c r="R1012">
        <v>6.23</v>
      </c>
      <c r="S1012">
        <v>0.57999999999999996</v>
      </c>
      <c r="T1012">
        <v>46.34</v>
      </c>
      <c r="U1012">
        <v>0.02</v>
      </c>
      <c r="V1012">
        <v>1.7229776446185758</v>
      </c>
      <c r="W1012">
        <v>0.80099101175386045</v>
      </c>
      <c r="X1012">
        <v>3.43</v>
      </c>
      <c r="Y1012">
        <v>17.62</v>
      </c>
      <c r="Z1012">
        <v>52.94</v>
      </c>
      <c r="AA1012">
        <v>6.04</v>
      </c>
      <c r="AB1012">
        <v>0.43</v>
      </c>
      <c r="AC1012">
        <v>29.54</v>
      </c>
      <c r="AD1012">
        <v>0.02</v>
      </c>
      <c r="AE1012">
        <v>1.3690970910464679</v>
      </c>
      <c r="AF1012">
        <v>0.41849263316962604</v>
      </c>
      <c r="AG1012">
        <v>4.49</v>
      </c>
      <c r="AH1012">
        <v>24.73</v>
      </c>
      <c r="AI1012">
        <v>55.76</v>
      </c>
    </row>
    <row r="1013" spans="1:36" x14ac:dyDescent="0.5">
      <c r="A1013">
        <v>240</v>
      </c>
      <c r="B1013">
        <v>200</v>
      </c>
      <c r="C1013">
        <v>1.5</v>
      </c>
      <c r="D1013">
        <v>50</v>
      </c>
      <c r="E1013">
        <v>1000</v>
      </c>
      <c r="F1013">
        <v>400</v>
      </c>
      <c r="G1013">
        <v>8</v>
      </c>
      <c r="N1013">
        <v>7.22</v>
      </c>
      <c r="O1013">
        <v>76.58</v>
      </c>
      <c r="P1013">
        <v>16.04</v>
      </c>
      <c r="Q1013">
        <v>47</v>
      </c>
      <c r="R1013">
        <v>5.76</v>
      </c>
      <c r="S1013">
        <v>0.11</v>
      </c>
      <c r="T1013">
        <v>46.96</v>
      </c>
      <c r="U1013">
        <v>0.01</v>
      </c>
      <c r="V1013">
        <v>1.4706382978723405</v>
      </c>
      <c r="W1013">
        <v>0.74936170212765962</v>
      </c>
      <c r="X1013">
        <v>0.16</v>
      </c>
      <c r="Y1013">
        <v>18.079999999999998</v>
      </c>
      <c r="Z1013">
        <v>59</v>
      </c>
      <c r="AA1013">
        <v>5.85</v>
      </c>
      <c r="AB1013">
        <v>0.18</v>
      </c>
      <c r="AC1013">
        <v>34.5</v>
      </c>
      <c r="AD1013">
        <v>0</v>
      </c>
      <c r="AE1013">
        <v>1.1898305084745762</v>
      </c>
      <c r="AF1013">
        <v>0.4385593220338983</v>
      </c>
      <c r="AG1013">
        <v>0.47</v>
      </c>
      <c r="AH1013">
        <v>21.51</v>
      </c>
      <c r="AI1013">
        <v>70</v>
      </c>
      <c r="AJ1013" t="s">
        <v>263</v>
      </c>
    </row>
    <row r="1014" spans="1:36" x14ac:dyDescent="0.5">
      <c r="A1014">
        <v>240</v>
      </c>
      <c r="B1014">
        <v>200</v>
      </c>
      <c r="C1014">
        <v>1.5</v>
      </c>
      <c r="D1014">
        <v>50</v>
      </c>
      <c r="E1014">
        <v>1000</v>
      </c>
      <c r="F1014">
        <v>400</v>
      </c>
      <c r="G1014">
        <v>8</v>
      </c>
      <c r="N1014">
        <v>7.51</v>
      </c>
      <c r="O1014">
        <v>80.28</v>
      </c>
      <c r="P1014">
        <v>12.11</v>
      </c>
      <c r="Q1014">
        <v>48.1</v>
      </c>
      <c r="R1014">
        <v>6.57</v>
      </c>
      <c r="S1014">
        <v>0.1</v>
      </c>
      <c r="T1014">
        <v>45.12</v>
      </c>
      <c r="U1014">
        <v>0.01</v>
      </c>
      <c r="V1014">
        <v>1.6390852390852391</v>
      </c>
      <c r="W1014">
        <v>0.70353430353430346</v>
      </c>
      <c r="X1014">
        <v>0.1</v>
      </c>
      <c r="Y1014">
        <v>19.2</v>
      </c>
      <c r="Z1014">
        <v>62.7</v>
      </c>
      <c r="AA1014">
        <v>6.49</v>
      </c>
      <c r="AB1014">
        <v>0.06</v>
      </c>
      <c r="AC1014">
        <v>30.55</v>
      </c>
      <c r="AD1014">
        <v>0</v>
      </c>
      <c r="AE1014">
        <v>1.2421052631578946</v>
      </c>
      <c r="AF1014">
        <v>0.36543062200956933</v>
      </c>
      <c r="AG1014">
        <v>0.2</v>
      </c>
      <c r="AH1014">
        <v>23.88</v>
      </c>
      <c r="AI1014">
        <v>79</v>
      </c>
    </row>
    <row r="1015" spans="1:36" x14ac:dyDescent="0.5">
      <c r="A1015">
        <v>240</v>
      </c>
      <c r="B1015">
        <v>200</v>
      </c>
      <c r="C1015">
        <v>1.5</v>
      </c>
      <c r="D1015">
        <v>50</v>
      </c>
      <c r="E1015">
        <v>1000</v>
      </c>
      <c r="F1015">
        <v>400</v>
      </c>
      <c r="G1015">
        <v>8</v>
      </c>
      <c r="N1015">
        <v>1.33</v>
      </c>
      <c r="O1015">
        <v>50.45</v>
      </c>
      <c r="P1015">
        <v>8.61</v>
      </c>
      <c r="Q1015">
        <v>29.6</v>
      </c>
      <c r="R1015">
        <v>4.3</v>
      </c>
      <c r="S1015">
        <v>4.3499999999999996</v>
      </c>
      <c r="T1015">
        <v>20.11</v>
      </c>
      <c r="U1015">
        <v>1.58</v>
      </c>
      <c r="V1015">
        <v>1.743243243243243</v>
      </c>
      <c r="W1015">
        <v>0.50954391891891893</v>
      </c>
      <c r="X1015">
        <v>40.06</v>
      </c>
      <c r="Y1015">
        <v>14.34</v>
      </c>
      <c r="Z1015">
        <v>29.6</v>
      </c>
      <c r="AA1015">
        <v>4.3</v>
      </c>
      <c r="AB1015">
        <v>2.3199999999999998</v>
      </c>
      <c r="AC1015">
        <v>11.12</v>
      </c>
      <c r="AD1015">
        <v>1.42</v>
      </c>
      <c r="AE1015">
        <v>1.743243243243243</v>
      </c>
      <c r="AF1015">
        <v>0.28175675675675671</v>
      </c>
      <c r="AG1015">
        <v>55.8</v>
      </c>
      <c r="AH1015">
        <v>11.4</v>
      </c>
      <c r="AI1015">
        <v>64</v>
      </c>
    </row>
    <row r="1016" spans="1:36" x14ac:dyDescent="0.5">
      <c r="A1016">
        <v>300</v>
      </c>
      <c r="B1016">
        <v>200</v>
      </c>
      <c r="C1016">
        <v>0.1</v>
      </c>
      <c r="D1016">
        <v>100</v>
      </c>
      <c r="E1016">
        <v>2000</v>
      </c>
      <c r="F1016">
        <v>400</v>
      </c>
      <c r="G1016">
        <v>4</v>
      </c>
      <c r="N1016">
        <v>6.8</v>
      </c>
      <c r="O1016">
        <v>79.900000000000006</v>
      </c>
      <c r="P1016">
        <v>4.3</v>
      </c>
      <c r="Q1016">
        <v>36.9</v>
      </c>
      <c r="R1016">
        <v>5.3</v>
      </c>
      <c r="S1016">
        <v>0</v>
      </c>
      <c r="T1016">
        <v>42</v>
      </c>
      <c r="U1016">
        <v>0</v>
      </c>
      <c r="V1016">
        <v>1.7235772357723578</v>
      </c>
      <c r="W1016">
        <v>0.85365853658536595</v>
      </c>
      <c r="X1016">
        <v>15.8</v>
      </c>
      <c r="Y1016">
        <v>12.6</v>
      </c>
      <c r="Z1016">
        <v>36.4</v>
      </c>
      <c r="AA1016">
        <v>5.0999999999999996</v>
      </c>
      <c r="AB1016">
        <v>0</v>
      </c>
      <c r="AC1016">
        <v>44.3</v>
      </c>
      <c r="AD1016">
        <v>0</v>
      </c>
      <c r="AE1016">
        <v>1.6813186813186813</v>
      </c>
      <c r="AF1016">
        <v>0.91277472527472525</v>
      </c>
      <c r="AG1016">
        <v>14.2</v>
      </c>
      <c r="AH1016">
        <v>13.6</v>
      </c>
      <c r="AI1016">
        <v>83</v>
      </c>
      <c r="AJ1016" t="s">
        <v>264</v>
      </c>
    </row>
    <row r="1017" spans="1:36" x14ac:dyDescent="0.5">
      <c r="A1017">
        <v>300</v>
      </c>
      <c r="B1017">
        <v>200</v>
      </c>
      <c r="C1017">
        <v>0.1</v>
      </c>
      <c r="D1017">
        <v>100</v>
      </c>
      <c r="E1017">
        <v>2000</v>
      </c>
      <c r="F1017">
        <v>400</v>
      </c>
      <c r="G1017">
        <v>4</v>
      </c>
      <c r="N1017">
        <v>9.4</v>
      </c>
      <c r="O1017">
        <v>91.8</v>
      </c>
      <c r="P1017">
        <v>1.3</v>
      </c>
      <c r="Q1017">
        <v>42.7</v>
      </c>
      <c r="R1017">
        <v>5.7</v>
      </c>
      <c r="S1017">
        <v>0</v>
      </c>
      <c r="T1017">
        <v>44.6</v>
      </c>
      <c r="U1017">
        <v>0</v>
      </c>
      <c r="V1017">
        <v>1.6018735362997658</v>
      </c>
      <c r="W1017">
        <v>0.78337236533957844</v>
      </c>
      <c r="X1017">
        <v>7</v>
      </c>
      <c r="Y1017">
        <v>16.399999999999999</v>
      </c>
      <c r="Z1017">
        <v>50</v>
      </c>
      <c r="AA1017">
        <v>5.6</v>
      </c>
      <c r="AB1017">
        <v>0</v>
      </c>
      <c r="AC1017">
        <v>41</v>
      </c>
      <c r="AD1017">
        <v>0</v>
      </c>
      <c r="AE1017">
        <v>1.3439999999999999</v>
      </c>
      <c r="AF1017">
        <v>0.61499999999999999</v>
      </c>
      <c r="AG1017">
        <v>3.4</v>
      </c>
      <c r="AH1017">
        <v>19.3</v>
      </c>
      <c r="AI1017">
        <v>70</v>
      </c>
    </row>
    <row r="1018" spans="1:36" x14ac:dyDescent="0.5">
      <c r="A1018">
        <v>300</v>
      </c>
      <c r="B1018">
        <v>200</v>
      </c>
      <c r="C1018">
        <v>0.1</v>
      </c>
      <c r="D1018">
        <v>100</v>
      </c>
      <c r="E1018">
        <v>2000</v>
      </c>
      <c r="F1018">
        <v>400</v>
      </c>
      <c r="G1018">
        <v>4</v>
      </c>
      <c r="N1018">
        <v>5.5</v>
      </c>
      <c r="O1018">
        <v>83.7</v>
      </c>
      <c r="P1018">
        <v>3.8</v>
      </c>
      <c r="Q1018">
        <v>35.299999999999997</v>
      </c>
      <c r="R1018">
        <v>4.7</v>
      </c>
      <c r="S1018">
        <v>0</v>
      </c>
      <c r="T1018">
        <v>47.6</v>
      </c>
      <c r="U1018">
        <v>0</v>
      </c>
      <c r="V1018">
        <v>1.5977337110481589</v>
      </c>
      <c r="W1018">
        <v>1.011331444759207</v>
      </c>
      <c r="X1018">
        <v>12.4</v>
      </c>
      <c r="Y1018">
        <v>13.4</v>
      </c>
      <c r="Z1018">
        <v>39.200000000000003</v>
      </c>
      <c r="AA1018">
        <v>6.4</v>
      </c>
      <c r="AB1018">
        <v>0</v>
      </c>
      <c r="AC1018">
        <v>44.4</v>
      </c>
      <c r="AD1018">
        <v>0</v>
      </c>
      <c r="AE1018">
        <v>1.9591836734693877</v>
      </c>
      <c r="AF1018">
        <v>0.84948979591836726</v>
      </c>
      <c r="AG1018">
        <v>11</v>
      </c>
      <c r="AH1018">
        <v>15</v>
      </c>
      <c r="AI1018">
        <v>70</v>
      </c>
    </row>
    <row r="1019" spans="1:36" x14ac:dyDescent="0.5">
      <c r="A1019">
        <v>300</v>
      </c>
      <c r="B1019">
        <v>200</v>
      </c>
      <c r="C1019">
        <v>0.1</v>
      </c>
      <c r="D1019">
        <v>100</v>
      </c>
      <c r="E1019">
        <v>2000</v>
      </c>
      <c r="F1019">
        <v>400</v>
      </c>
      <c r="G1019">
        <v>4</v>
      </c>
      <c r="N1019">
        <v>75</v>
      </c>
      <c r="O1019">
        <v>93.2</v>
      </c>
      <c r="P1019">
        <v>5</v>
      </c>
      <c r="Q1019">
        <v>50.6</v>
      </c>
      <c r="R1019">
        <v>6.6</v>
      </c>
      <c r="S1019">
        <v>2.2999999999999998</v>
      </c>
      <c r="T1019">
        <v>39</v>
      </c>
      <c r="U1019">
        <v>0</v>
      </c>
      <c r="V1019">
        <v>1.5652173913043477</v>
      </c>
      <c r="W1019">
        <v>0.57806324110671936</v>
      </c>
      <c r="X1019">
        <v>1.8</v>
      </c>
      <c r="Y1019">
        <v>18.8</v>
      </c>
      <c r="Z1019">
        <v>71.599999999999994</v>
      </c>
      <c r="AA1019">
        <v>8.5</v>
      </c>
      <c r="AB1019">
        <v>2.8</v>
      </c>
      <c r="AC1019">
        <v>15.8</v>
      </c>
      <c r="AD1019">
        <v>0</v>
      </c>
      <c r="AE1019">
        <v>1.4245810055865924</v>
      </c>
      <c r="AF1019">
        <v>0.16550279329608941</v>
      </c>
      <c r="AG1019">
        <v>1</v>
      </c>
      <c r="AH1019">
        <v>29.6</v>
      </c>
      <c r="AI1019">
        <v>61</v>
      </c>
    </row>
    <row r="1020" spans="1:36" x14ac:dyDescent="0.5">
      <c r="A1020">
        <v>60</v>
      </c>
      <c r="B1020">
        <v>200</v>
      </c>
      <c r="C1020">
        <v>0.1</v>
      </c>
      <c r="D1020">
        <v>20</v>
      </c>
      <c r="E1020">
        <v>500</v>
      </c>
      <c r="F1020">
        <v>160</v>
      </c>
      <c r="G1020">
        <v>8</v>
      </c>
      <c r="H1020">
        <v>21.56</v>
      </c>
      <c r="M1020">
        <v>5.78</v>
      </c>
      <c r="Q1020">
        <v>51.14</v>
      </c>
      <c r="R1020">
        <v>7.63</v>
      </c>
      <c r="S1020">
        <v>3.45</v>
      </c>
      <c r="T1020">
        <v>26.01</v>
      </c>
      <c r="U1020">
        <v>7.0000000000000007E-2</v>
      </c>
      <c r="V1020">
        <v>1.7903793508017207</v>
      </c>
      <c r="W1020">
        <v>0.3814528744622605</v>
      </c>
      <c r="X1020">
        <v>11.47</v>
      </c>
      <c r="Y1020">
        <v>22.12</v>
      </c>
      <c r="Z1020">
        <v>66.11</v>
      </c>
      <c r="AA1020">
        <v>7.09</v>
      </c>
      <c r="AB1020">
        <v>2.41</v>
      </c>
      <c r="AC1020">
        <v>12.96</v>
      </c>
      <c r="AD1020">
        <v>0.08</v>
      </c>
      <c r="AE1020">
        <v>1.2869459990924217</v>
      </c>
      <c r="AF1020">
        <v>0.14702768113749812</v>
      </c>
      <c r="AG1020">
        <v>11.35</v>
      </c>
      <c r="AH1020">
        <v>28.88</v>
      </c>
      <c r="AI1020">
        <v>56.15</v>
      </c>
      <c r="AJ1020" t="s">
        <v>266</v>
      </c>
    </row>
    <row r="1021" spans="1:36" x14ac:dyDescent="0.5">
      <c r="A1021">
        <v>60</v>
      </c>
      <c r="B1021">
        <v>230</v>
      </c>
      <c r="C1021">
        <v>0.1</v>
      </c>
      <c r="D1021">
        <v>20</v>
      </c>
      <c r="E1021">
        <v>500</v>
      </c>
      <c r="F1021">
        <v>160</v>
      </c>
      <c r="G1021">
        <v>8</v>
      </c>
      <c r="H1021">
        <v>21.56</v>
      </c>
      <c r="M1021">
        <v>5.78</v>
      </c>
      <c r="Q1021">
        <v>51.14</v>
      </c>
      <c r="R1021">
        <v>7.63</v>
      </c>
      <c r="S1021">
        <v>3.45</v>
      </c>
      <c r="T1021">
        <v>26.01</v>
      </c>
      <c r="U1021">
        <v>7.0000000000000007E-2</v>
      </c>
      <c r="V1021">
        <v>1.7903793508017207</v>
      </c>
      <c r="W1021">
        <v>0.3814528744622605</v>
      </c>
      <c r="X1021">
        <v>11.47</v>
      </c>
      <c r="Y1021">
        <v>22.12</v>
      </c>
      <c r="Z1021">
        <v>70.069999999999993</v>
      </c>
      <c r="AA1021">
        <v>6.91</v>
      </c>
      <c r="AB1021">
        <v>3.1</v>
      </c>
      <c r="AC1021">
        <v>11.37</v>
      </c>
      <c r="AD1021">
        <v>0.1</v>
      </c>
      <c r="AE1021">
        <v>1.1833880405308979</v>
      </c>
      <c r="AF1021">
        <v>0.12169972884258598</v>
      </c>
      <c r="AG1021">
        <v>8.4499999999999993</v>
      </c>
      <c r="AH1021">
        <v>30.29</v>
      </c>
      <c r="AI1021">
        <v>39.76</v>
      </c>
    </row>
    <row r="1022" spans="1:36" x14ac:dyDescent="0.5">
      <c r="A1022">
        <v>60</v>
      </c>
      <c r="B1022">
        <v>260</v>
      </c>
      <c r="C1022">
        <v>0.1</v>
      </c>
      <c r="D1022">
        <v>20</v>
      </c>
      <c r="E1022">
        <v>500</v>
      </c>
      <c r="F1022">
        <v>160</v>
      </c>
      <c r="G1022">
        <v>8</v>
      </c>
      <c r="H1022">
        <v>21.56</v>
      </c>
      <c r="M1022">
        <v>5.78</v>
      </c>
      <c r="Q1022">
        <v>51.14</v>
      </c>
      <c r="R1022">
        <v>7.63</v>
      </c>
      <c r="S1022">
        <v>3.45</v>
      </c>
      <c r="T1022">
        <v>26.01</v>
      </c>
      <c r="U1022">
        <v>7.0000000000000007E-2</v>
      </c>
      <c r="V1022">
        <v>1.7903793508017207</v>
      </c>
      <c r="W1022">
        <v>0.3814528744622605</v>
      </c>
      <c r="X1022">
        <v>11.47</v>
      </c>
      <c r="Y1022">
        <v>22.12</v>
      </c>
      <c r="Z1022">
        <v>72.540000000000006</v>
      </c>
      <c r="AA1022">
        <v>6.83</v>
      </c>
      <c r="AB1022">
        <v>3.49</v>
      </c>
      <c r="AC1022">
        <v>7.27</v>
      </c>
      <c r="AD1022">
        <v>0.14000000000000001</v>
      </c>
      <c r="AE1022">
        <v>1.1298593879239038</v>
      </c>
      <c r="AF1022">
        <v>7.5165425971877572E-2</v>
      </c>
      <c r="AG1022">
        <v>9.73</v>
      </c>
      <c r="AH1022">
        <v>31.76</v>
      </c>
      <c r="AI1022">
        <v>35.71</v>
      </c>
    </row>
    <row r="1023" spans="1:36" x14ac:dyDescent="0.5">
      <c r="A1023">
        <v>180</v>
      </c>
      <c r="B1023">
        <v>200</v>
      </c>
      <c r="C1023">
        <v>0.1</v>
      </c>
      <c r="D1023">
        <v>20</v>
      </c>
      <c r="E1023">
        <v>500</v>
      </c>
      <c r="F1023">
        <v>160</v>
      </c>
      <c r="G1023">
        <v>8</v>
      </c>
      <c r="H1023">
        <v>21.56</v>
      </c>
      <c r="M1023">
        <v>5.78</v>
      </c>
      <c r="Q1023">
        <v>51.14</v>
      </c>
      <c r="R1023">
        <v>7.63</v>
      </c>
      <c r="S1023">
        <v>3.45</v>
      </c>
      <c r="T1023">
        <v>26.01</v>
      </c>
      <c r="U1023">
        <v>7.0000000000000007E-2</v>
      </c>
      <c r="V1023">
        <v>1.7903793508017207</v>
      </c>
      <c r="W1023">
        <v>0.3814528744622605</v>
      </c>
      <c r="X1023">
        <v>11.47</v>
      </c>
      <c r="Y1023">
        <v>22.12</v>
      </c>
      <c r="Z1023">
        <v>66.56</v>
      </c>
      <c r="AA1023">
        <v>7.11</v>
      </c>
      <c r="AB1023">
        <v>2.52</v>
      </c>
      <c r="AC1023">
        <v>12.98</v>
      </c>
      <c r="AD1023">
        <v>0.08</v>
      </c>
      <c r="AE1023">
        <v>1.2818509615384615</v>
      </c>
      <c r="AF1023">
        <v>0.14625901442307693</v>
      </c>
      <c r="AG1023">
        <v>9.4499999999999993</v>
      </c>
      <c r="AH1023">
        <v>29.05</v>
      </c>
      <c r="AI1023">
        <v>48.43</v>
      </c>
    </row>
    <row r="1024" spans="1:36" x14ac:dyDescent="0.5">
      <c r="A1024">
        <v>180</v>
      </c>
      <c r="B1024">
        <v>230</v>
      </c>
      <c r="C1024">
        <v>0.1</v>
      </c>
      <c r="D1024">
        <v>20</v>
      </c>
      <c r="E1024">
        <v>500</v>
      </c>
      <c r="F1024">
        <v>160</v>
      </c>
      <c r="G1024">
        <v>8</v>
      </c>
      <c r="H1024">
        <v>21.56</v>
      </c>
      <c r="M1024">
        <v>5.78</v>
      </c>
      <c r="Q1024">
        <v>51.14</v>
      </c>
      <c r="R1024">
        <v>7.63</v>
      </c>
      <c r="S1024">
        <v>3.45</v>
      </c>
      <c r="T1024">
        <v>26.01</v>
      </c>
      <c r="U1024">
        <v>7.0000000000000007E-2</v>
      </c>
      <c r="V1024">
        <v>1.7903793508017207</v>
      </c>
      <c r="W1024">
        <v>0.3814528744622605</v>
      </c>
      <c r="X1024">
        <v>11.47</v>
      </c>
      <c r="Y1024">
        <v>22.12</v>
      </c>
      <c r="Z1024">
        <v>70.040000000000006</v>
      </c>
      <c r="AA1024">
        <v>7.11</v>
      </c>
      <c r="AB1024">
        <v>3.19</v>
      </c>
      <c r="AC1024">
        <v>10.9</v>
      </c>
      <c r="AD1024">
        <v>0.15</v>
      </c>
      <c r="AE1024">
        <v>1.2181610508280982</v>
      </c>
      <c r="AF1024">
        <v>0.11671901770416905</v>
      </c>
      <c r="AG1024">
        <v>8.61</v>
      </c>
      <c r="AH1024">
        <v>30.61</v>
      </c>
      <c r="AI1024">
        <v>40.9</v>
      </c>
    </row>
    <row r="1025" spans="1:36" x14ac:dyDescent="0.5">
      <c r="A1025">
        <v>180</v>
      </c>
      <c r="B1025">
        <v>260</v>
      </c>
      <c r="C1025">
        <v>0.1</v>
      </c>
      <c r="D1025">
        <v>20</v>
      </c>
      <c r="E1025">
        <v>500</v>
      </c>
      <c r="F1025">
        <v>160</v>
      </c>
      <c r="G1025">
        <v>8</v>
      </c>
      <c r="H1025">
        <v>21.56</v>
      </c>
      <c r="M1025">
        <v>5.78</v>
      </c>
      <c r="Q1025">
        <v>51.14</v>
      </c>
      <c r="R1025">
        <v>7.63</v>
      </c>
      <c r="S1025">
        <v>3.45</v>
      </c>
      <c r="T1025">
        <v>26.01</v>
      </c>
      <c r="U1025">
        <v>7.0000000000000007E-2</v>
      </c>
      <c r="V1025">
        <v>1.7903793508017207</v>
      </c>
      <c r="W1025">
        <v>0.3814528744622605</v>
      </c>
      <c r="X1025">
        <v>11.47</v>
      </c>
      <c r="Y1025">
        <v>22.12</v>
      </c>
      <c r="Z1025">
        <v>72.97</v>
      </c>
      <c r="AA1025">
        <v>6.8</v>
      </c>
      <c r="AB1025">
        <v>3.51</v>
      </c>
      <c r="AC1025">
        <v>6.79</v>
      </c>
      <c r="AD1025">
        <v>0.12</v>
      </c>
      <c r="AE1025">
        <v>1.1182677812799779</v>
      </c>
      <c r="AF1025">
        <v>6.9788954364807448E-2</v>
      </c>
      <c r="AG1025">
        <v>9.81</v>
      </c>
      <c r="AH1025">
        <v>31.96</v>
      </c>
      <c r="AI1025">
        <v>33.28</v>
      </c>
    </row>
    <row r="1026" spans="1:36" x14ac:dyDescent="0.5">
      <c r="A1026">
        <v>480</v>
      </c>
      <c r="B1026">
        <v>200</v>
      </c>
      <c r="C1026">
        <v>0.1</v>
      </c>
      <c r="D1026">
        <v>20</v>
      </c>
      <c r="E1026">
        <v>500</v>
      </c>
      <c r="F1026">
        <v>160</v>
      </c>
      <c r="G1026">
        <v>8</v>
      </c>
      <c r="H1026">
        <v>21.56</v>
      </c>
      <c r="M1026">
        <v>5.78</v>
      </c>
      <c r="Q1026">
        <v>51.14</v>
      </c>
      <c r="R1026">
        <v>7.63</v>
      </c>
      <c r="S1026">
        <v>3.45</v>
      </c>
      <c r="T1026">
        <v>26.01</v>
      </c>
      <c r="U1026">
        <v>7.0000000000000007E-2</v>
      </c>
      <c r="V1026">
        <v>1.7903793508017207</v>
      </c>
      <c r="W1026">
        <v>0.3814528744622605</v>
      </c>
      <c r="X1026">
        <v>11.47</v>
      </c>
      <c r="Y1026">
        <v>22.12</v>
      </c>
      <c r="Z1026">
        <v>68.09</v>
      </c>
      <c r="AA1026">
        <v>7.05</v>
      </c>
      <c r="AB1026">
        <v>2.8</v>
      </c>
      <c r="AC1026">
        <v>11.73</v>
      </c>
      <c r="AD1026">
        <v>0.1</v>
      </c>
      <c r="AE1026">
        <v>1.2424731972389482</v>
      </c>
      <c r="AF1026">
        <v>0.12920399471287999</v>
      </c>
      <c r="AG1026">
        <v>10.23</v>
      </c>
      <c r="AH1026">
        <v>29.72</v>
      </c>
      <c r="AI1026">
        <v>44.56</v>
      </c>
    </row>
    <row r="1027" spans="1:36" x14ac:dyDescent="0.5">
      <c r="A1027">
        <v>480</v>
      </c>
      <c r="B1027">
        <v>230</v>
      </c>
      <c r="C1027">
        <v>0.1</v>
      </c>
      <c r="D1027">
        <v>20</v>
      </c>
      <c r="E1027">
        <v>500</v>
      </c>
      <c r="F1027">
        <v>160</v>
      </c>
      <c r="G1027">
        <v>8</v>
      </c>
      <c r="H1027">
        <v>21.56</v>
      </c>
      <c r="M1027">
        <v>5.78</v>
      </c>
      <c r="Q1027">
        <v>51.14</v>
      </c>
      <c r="R1027">
        <v>7.63</v>
      </c>
      <c r="S1027">
        <v>3.45</v>
      </c>
      <c r="T1027">
        <v>26.01</v>
      </c>
      <c r="U1027">
        <v>7.0000000000000007E-2</v>
      </c>
      <c r="V1027">
        <v>1.7903793508017207</v>
      </c>
      <c r="W1027">
        <v>0.3814528744622605</v>
      </c>
      <c r="X1027">
        <v>11.47</v>
      </c>
      <c r="Y1027">
        <v>22.12</v>
      </c>
      <c r="Z1027">
        <v>69.2</v>
      </c>
      <c r="AA1027">
        <v>6.95</v>
      </c>
      <c r="AB1027">
        <v>3.87</v>
      </c>
      <c r="AC1027">
        <v>9.17</v>
      </c>
      <c r="AD1027">
        <v>0.16</v>
      </c>
      <c r="AE1027">
        <v>1.2052023121387283</v>
      </c>
      <c r="AF1027">
        <v>9.9385838150289021E-2</v>
      </c>
      <c r="AG1027">
        <v>9.65</v>
      </c>
      <c r="AH1027">
        <v>30.44</v>
      </c>
      <c r="AI1027">
        <v>38.799999999999997</v>
      </c>
    </row>
    <row r="1028" spans="1:36" x14ac:dyDescent="0.5">
      <c r="A1028">
        <v>480</v>
      </c>
      <c r="B1028">
        <v>260</v>
      </c>
      <c r="C1028">
        <v>0.1</v>
      </c>
      <c r="D1028">
        <v>20</v>
      </c>
      <c r="E1028">
        <v>500</v>
      </c>
      <c r="F1028">
        <v>160</v>
      </c>
      <c r="G1028">
        <v>8</v>
      </c>
      <c r="H1028">
        <v>21.56</v>
      </c>
      <c r="M1028">
        <v>5.78</v>
      </c>
      <c r="Q1028">
        <v>51.14</v>
      </c>
      <c r="R1028">
        <v>7.63</v>
      </c>
      <c r="S1028">
        <v>3.45</v>
      </c>
      <c r="T1028">
        <v>26.01</v>
      </c>
      <c r="U1028">
        <v>7.0000000000000007E-2</v>
      </c>
      <c r="V1028">
        <v>1.7903793508017207</v>
      </c>
      <c r="W1028">
        <v>0.3814528744622605</v>
      </c>
      <c r="X1028">
        <v>11.47</v>
      </c>
      <c r="Y1028">
        <v>22.12</v>
      </c>
      <c r="Z1028">
        <v>73.69</v>
      </c>
      <c r="AA1028">
        <v>6.71</v>
      </c>
      <c r="AB1028">
        <v>3.58</v>
      </c>
      <c r="AC1028">
        <v>5.53</v>
      </c>
      <c r="AD1028">
        <v>0.16</v>
      </c>
      <c r="AE1028">
        <v>1.0926855747048447</v>
      </c>
      <c r="AF1028">
        <v>5.6283077758176148E-2</v>
      </c>
      <c r="AG1028">
        <v>10.23</v>
      </c>
      <c r="AH1028">
        <v>32.36</v>
      </c>
      <c r="AI1028">
        <v>30.27</v>
      </c>
    </row>
    <row r="1029" spans="1:36" x14ac:dyDescent="0.5">
      <c r="A1029">
        <v>60</v>
      </c>
      <c r="B1029">
        <v>200</v>
      </c>
      <c r="C1029">
        <v>0.1</v>
      </c>
      <c r="D1029">
        <v>20</v>
      </c>
      <c r="E1029">
        <v>500</v>
      </c>
      <c r="F1029">
        <v>160</v>
      </c>
      <c r="G1029">
        <v>8</v>
      </c>
      <c r="Q1029">
        <v>47.4</v>
      </c>
      <c r="R1029">
        <v>7.87</v>
      </c>
      <c r="S1029">
        <v>2.63</v>
      </c>
      <c r="T1029">
        <v>41.97</v>
      </c>
      <c r="U1029">
        <v>0.33</v>
      </c>
      <c r="V1029">
        <v>1.9924050632911394</v>
      </c>
      <c r="W1029">
        <v>0.66408227848101264</v>
      </c>
      <c r="X1029">
        <v>14.32</v>
      </c>
      <c r="Y1029">
        <v>21.2</v>
      </c>
      <c r="Z1029">
        <v>62.1</v>
      </c>
      <c r="AA1029">
        <v>7.34</v>
      </c>
      <c r="AB1029">
        <v>2.81</v>
      </c>
      <c r="AC1029">
        <v>15.87</v>
      </c>
      <c r="AD1029">
        <v>0.31</v>
      </c>
      <c r="AE1029">
        <v>1.4183574879227054</v>
      </c>
      <c r="AF1029">
        <v>0.19166666666666665</v>
      </c>
      <c r="AG1029">
        <v>11.57</v>
      </c>
      <c r="AH1029">
        <v>27.31</v>
      </c>
      <c r="AI1029">
        <v>55</v>
      </c>
    </row>
    <row r="1030" spans="1:36" x14ac:dyDescent="0.5">
      <c r="A1030">
        <v>60</v>
      </c>
      <c r="B1030">
        <v>230</v>
      </c>
      <c r="C1030">
        <v>0.1</v>
      </c>
      <c r="D1030">
        <v>20</v>
      </c>
      <c r="E1030">
        <v>500</v>
      </c>
      <c r="F1030">
        <v>160</v>
      </c>
      <c r="G1030">
        <v>8</v>
      </c>
      <c r="Q1030">
        <v>47.4</v>
      </c>
      <c r="R1030">
        <v>7.87</v>
      </c>
      <c r="S1030">
        <v>2.63</v>
      </c>
      <c r="T1030">
        <v>41.97</v>
      </c>
      <c r="U1030">
        <v>0.33</v>
      </c>
      <c r="V1030">
        <v>1.9924050632911394</v>
      </c>
      <c r="W1030">
        <v>0.66408227848101264</v>
      </c>
      <c r="X1030">
        <v>14.32</v>
      </c>
      <c r="Y1030">
        <v>21.2</v>
      </c>
      <c r="Z1030">
        <v>65.989999999999995</v>
      </c>
      <c r="AA1030">
        <v>7.17</v>
      </c>
      <c r="AB1030">
        <v>2.68</v>
      </c>
      <c r="AC1030">
        <v>13.36</v>
      </c>
      <c r="AD1030">
        <v>0.23</v>
      </c>
      <c r="AE1030">
        <v>1.3038339142294286</v>
      </c>
      <c r="AF1030">
        <v>0.15184118805879679</v>
      </c>
      <c r="AG1030">
        <v>10.57</v>
      </c>
      <c r="AH1030">
        <v>28.87</v>
      </c>
      <c r="AI1030">
        <v>38</v>
      </c>
    </row>
    <row r="1031" spans="1:36" x14ac:dyDescent="0.5">
      <c r="A1031">
        <v>60</v>
      </c>
      <c r="B1031">
        <v>260</v>
      </c>
      <c r="C1031">
        <v>0.1</v>
      </c>
      <c r="D1031">
        <v>20</v>
      </c>
      <c r="E1031">
        <v>500</v>
      </c>
      <c r="F1031">
        <v>160</v>
      </c>
      <c r="G1031">
        <v>8</v>
      </c>
      <c r="Q1031">
        <v>47.4</v>
      </c>
      <c r="R1031">
        <v>7.87</v>
      </c>
      <c r="S1031">
        <v>2.63</v>
      </c>
      <c r="T1031">
        <v>41.97</v>
      </c>
      <c r="U1031">
        <v>0.33</v>
      </c>
      <c r="V1031">
        <v>1.9924050632911394</v>
      </c>
      <c r="W1031">
        <v>0.66408227848101264</v>
      </c>
      <c r="X1031">
        <v>14.32</v>
      </c>
      <c r="Y1031">
        <v>21.2</v>
      </c>
      <c r="Z1031">
        <v>66.459999999999994</v>
      </c>
      <c r="AA1031">
        <v>7.02</v>
      </c>
      <c r="AB1031">
        <v>3.84</v>
      </c>
      <c r="AC1031">
        <v>10.46</v>
      </c>
      <c r="AD1031">
        <v>0.19</v>
      </c>
      <c r="AE1031">
        <v>1.2675293409569666</v>
      </c>
      <c r="AF1031">
        <v>0.11804092687330726</v>
      </c>
      <c r="AG1031">
        <v>12.03</v>
      </c>
      <c r="AH1031">
        <v>29.37</v>
      </c>
      <c r="AI1031">
        <v>34</v>
      </c>
    </row>
    <row r="1032" spans="1:36" x14ac:dyDescent="0.5">
      <c r="A1032">
        <v>180</v>
      </c>
      <c r="B1032">
        <v>200</v>
      </c>
      <c r="C1032">
        <v>0.1</v>
      </c>
      <c r="D1032">
        <v>20</v>
      </c>
      <c r="E1032">
        <v>500</v>
      </c>
      <c r="F1032">
        <v>160</v>
      </c>
      <c r="G1032">
        <v>8</v>
      </c>
      <c r="Q1032">
        <v>47.4</v>
      </c>
      <c r="R1032">
        <v>7.87</v>
      </c>
      <c r="S1032">
        <v>2.63</v>
      </c>
      <c r="T1032">
        <v>41.97</v>
      </c>
      <c r="U1032">
        <v>0.33</v>
      </c>
      <c r="V1032">
        <v>1.9924050632911394</v>
      </c>
      <c r="W1032">
        <v>0.66408227848101264</v>
      </c>
      <c r="X1032">
        <v>14.32</v>
      </c>
      <c r="Y1032">
        <v>21.2</v>
      </c>
      <c r="Z1032">
        <v>63.29</v>
      </c>
      <c r="AA1032">
        <v>7.2</v>
      </c>
      <c r="AB1032">
        <v>2.36</v>
      </c>
      <c r="AC1032">
        <v>15.09</v>
      </c>
      <c r="AD1032">
        <v>0.28000000000000003</v>
      </c>
      <c r="AE1032">
        <v>1.3651445726023068</v>
      </c>
      <c r="AF1032">
        <v>0.17881971875493757</v>
      </c>
      <c r="AG1032">
        <v>11.78</v>
      </c>
      <c r="AH1032">
        <v>27.68</v>
      </c>
      <c r="AI1032">
        <v>45</v>
      </c>
    </row>
    <row r="1033" spans="1:36" x14ac:dyDescent="0.5">
      <c r="A1033">
        <v>180</v>
      </c>
      <c r="B1033">
        <v>230</v>
      </c>
      <c r="C1033">
        <v>0.1</v>
      </c>
      <c r="D1033">
        <v>20</v>
      </c>
      <c r="E1033">
        <v>500</v>
      </c>
      <c r="F1033">
        <v>160</v>
      </c>
      <c r="G1033">
        <v>8</v>
      </c>
      <c r="Q1033">
        <v>47.4</v>
      </c>
      <c r="R1033">
        <v>7.87</v>
      </c>
      <c r="S1033">
        <v>2.63</v>
      </c>
      <c r="T1033">
        <v>41.97</v>
      </c>
      <c r="U1033">
        <v>0.33</v>
      </c>
      <c r="V1033">
        <v>1.9924050632911394</v>
      </c>
      <c r="W1033">
        <v>0.66408227848101264</v>
      </c>
      <c r="X1033">
        <v>14.32</v>
      </c>
      <c r="Y1033">
        <v>21.2</v>
      </c>
      <c r="Z1033">
        <v>64.069999999999993</v>
      </c>
      <c r="AA1033">
        <v>7.28</v>
      </c>
      <c r="AB1033">
        <v>1.8</v>
      </c>
      <c r="AC1033">
        <v>14.13</v>
      </c>
      <c r="AD1033">
        <v>0.19</v>
      </c>
      <c r="AE1033">
        <v>1.3635086624004995</v>
      </c>
      <c r="AF1033">
        <v>0.16540502575308258</v>
      </c>
      <c r="AG1033">
        <v>12.53</v>
      </c>
      <c r="AH1033">
        <v>28.21</v>
      </c>
      <c r="AI1033">
        <v>41</v>
      </c>
    </row>
    <row r="1034" spans="1:36" x14ac:dyDescent="0.5">
      <c r="A1034">
        <v>180</v>
      </c>
      <c r="B1034">
        <v>260</v>
      </c>
      <c r="C1034">
        <v>0.1</v>
      </c>
      <c r="D1034">
        <v>20</v>
      </c>
      <c r="E1034">
        <v>500</v>
      </c>
      <c r="F1034">
        <v>160</v>
      </c>
      <c r="G1034">
        <v>8</v>
      </c>
      <c r="Q1034">
        <v>47.4</v>
      </c>
      <c r="R1034">
        <v>7.87</v>
      </c>
      <c r="S1034">
        <v>2.63</v>
      </c>
      <c r="T1034">
        <v>41.97</v>
      </c>
      <c r="U1034">
        <v>0.33</v>
      </c>
      <c r="V1034">
        <v>1.9924050632911394</v>
      </c>
      <c r="W1034">
        <v>0.66408227848101264</v>
      </c>
      <c r="X1034">
        <v>14.32</v>
      </c>
      <c r="Y1034">
        <v>21.2</v>
      </c>
      <c r="Z1034">
        <v>67.209999999999994</v>
      </c>
      <c r="AA1034">
        <v>6.92</v>
      </c>
      <c r="AB1034">
        <v>3.76</v>
      </c>
      <c r="AC1034">
        <v>10.220000000000001</v>
      </c>
      <c r="AD1034">
        <v>0.2</v>
      </c>
      <c r="AE1034">
        <v>1.2355304270197887</v>
      </c>
      <c r="AF1034">
        <v>0.11404552893914598</v>
      </c>
      <c r="AG1034">
        <v>11.69</v>
      </c>
      <c r="AH1034">
        <v>29.54</v>
      </c>
      <c r="AI1034">
        <v>37</v>
      </c>
    </row>
    <row r="1035" spans="1:36" x14ac:dyDescent="0.5">
      <c r="A1035">
        <v>480</v>
      </c>
      <c r="B1035">
        <v>200</v>
      </c>
      <c r="C1035">
        <v>0.1</v>
      </c>
      <c r="D1035">
        <v>20</v>
      </c>
      <c r="E1035">
        <v>500</v>
      </c>
      <c r="F1035">
        <v>160</v>
      </c>
      <c r="G1035">
        <v>8</v>
      </c>
      <c r="Q1035">
        <v>47.4</v>
      </c>
      <c r="R1035">
        <v>7.87</v>
      </c>
      <c r="S1035">
        <v>2.63</v>
      </c>
      <c r="T1035">
        <v>41.97</v>
      </c>
      <c r="U1035">
        <v>0.33</v>
      </c>
      <c r="V1035">
        <v>1.9924050632911394</v>
      </c>
      <c r="W1035">
        <v>0.66408227848101264</v>
      </c>
      <c r="X1035">
        <v>14.32</v>
      </c>
      <c r="Y1035">
        <v>21.2</v>
      </c>
      <c r="Z1035">
        <v>63.78</v>
      </c>
      <c r="AA1035">
        <v>7.21</v>
      </c>
      <c r="AB1035">
        <v>2.94</v>
      </c>
      <c r="AC1035">
        <v>13.96</v>
      </c>
      <c r="AD1035">
        <v>0.26</v>
      </c>
      <c r="AE1035">
        <v>1.3565380997177798</v>
      </c>
      <c r="AF1035">
        <v>0.16415804327375352</v>
      </c>
      <c r="AG1035">
        <v>11.85</v>
      </c>
      <c r="AH1035">
        <v>28.06</v>
      </c>
      <c r="AI1035">
        <v>42</v>
      </c>
    </row>
    <row r="1036" spans="1:36" x14ac:dyDescent="0.5">
      <c r="A1036">
        <v>480</v>
      </c>
      <c r="B1036">
        <v>230</v>
      </c>
      <c r="C1036">
        <v>0.1</v>
      </c>
      <c r="D1036">
        <v>20</v>
      </c>
      <c r="E1036">
        <v>500</v>
      </c>
      <c r="F1036">
        <v>160</v>
      </c>
      <c r="G1036">
        <v>8</v>
      </c>
      <c r="Q1036">
        <v>47.4</v>
      </c>
      <c r="R1036">
        <v>7.87</v>
      </c>
      <c r="S1036">
        <v>2.63</v>
      </c>
      <c r="T1036">
        <v>41.97</v>
      </c>
      <c r="U1036">
        <v>0.33</v>
      </c>
      <c r="V1036">
        <v>1.9924050632911394</v>
      </c>
      <c r="W1036">
        <v>0.66408227848101264</v>
      </c>
      <c r="X1036">
        <v>14.32</v>
      </c>
      <c r="Y1036">
        <v>21.2</v>
      </c>
      <c r="Z1036">
        <v>64.12</v>
      </c>
      <c r="AA1036">
        <v>7.19</v>
      </c>
      <c r="AB1036">
        <v>2.38</v>
      </c>
      <c r="AC1036">
        <v>10.83</v>
      </c>
      <c r="AD1036">
        <v>0.25</v>
      </c>
      <c r="AE1036">
        <v>1.345601996257018</v>
      </c>
      <c r="AF1036">
        <v>0.12667654398003741</v>
      </c>
      <c r="AG1036">
        <v>15.23</v>
      </c>
      <c r="AH1036">
        <v>28.71</v>
      </c>
      <c r="AI1036">
        <v>37</v>
      </c>
    </row>
    <row r="1037" spans="1:36" x14ac:dyDescent="0.5">
      <c r="A1037">
        <v>480</v>
      </c>
      <c r="B1037">
        <v>260</v>
      </c>
      <c r="C1037">
        <v>0.1</v>
      </c>
      <c r="D1037">
        <v>20</v>
      </c>
      <c r="E1037">
        <v>500</v>
      </c>
      <c r="F1037">
        <v>160</v>
      </c>
      <c r="G1037">
        <v>8</v>
      </c>
      <c r="Q1037">
        <v>47.4</v>
      </c>
      <c r="R1037">
        <v>7.87</v>
      </c>
      <c r="S1037">
        <v>2.63</v>
      </c>
      <c r="T1037">
        <v>41.97</v>
      </c>
      <c r="U1037">
        <v>0.33</v>
      </c>
      <c r="V1037">
        <v>1.9924050632911394</v>
      </c>
      <c r="W1037">
        <v>0.66408227848101264</v>
      </c>
      <c r="X1037">
        <v>14.32</v>
      </c>
      <c r="Y1037">
        <v>21.2</v>
      </c>
      <c r="Z1037">
        <v>68.260000000000005</v>
      </c>
      <c r="AA1037">
        <v>6.98</v>
      </c>
      <c r="AB1037">
        <v>3.61</v>
      </c>
      <c r="AC1037">
        <v>7.51</v>
      </c>
      <c r="AD1037">
        <v>0.17</v>
      </c>
      <c r="AE1037">
        <v>1.2270729563433929</v>
      </c>
      <c r="AF1037">
        <v>8.251538236155874E-2</v>
      </c>
      <c r="AG1037">
        <v>13.47</v>
      </c>
      <c r="AH1037">
        <v>30.46</v>
      </c>
      <c r="AI1037">
        <v>29</v>
      </c>
    </row>
    <row r="1038" spans="1:36" x14ac:dyDescent="0.5">
      <c r="A1038">
        <v>15</v>
      </c>
      <c r="B1038">
        <v>180</v>
      </c>
      <c r="C1038">
        <v>0.1</v>
      </c>
      <c r="D1038">
        <v>30</v>
      </c>
      <c r="E1038">
        <v>500</v>
      </c>
      <c r="F1038">
        <v>70</v>
      </c>
      <c r="G1038">
        <v>2.3333333333333335</v>
      </c>
      <c r="O1038">
        <v>78.489999999999995</v>
      </c>
      <c r="P1038">
        <v>2.0099999999999998</v>
      </c>
      <c r="Q1038">
        <v>51.2</v>
      </c>
      <c r="R1038">
        <v>6.64</v>
      </c>
      <c r="S1038">
        <v>8.85</v>
      </c>
      <c r="T1038">
        <v>31.94</v>
      </c>
      <c r="U1038">
        <v>1.37</v>
      </c>
      <c r="V1038">
        <v>1.5562499999999999</v>
      </c>
      <c r="W1038">
        <v>0.46787109375000002</v>
      </c>
      <c r="X1038">
        <v>18.510000000000002</v>
      </c>
      <c r="Y1038">
        <v>21.08623</v>
      </c>
      <c r="Z1038">
        <v>52.19</v>
      </c>
      <c r="AA1038">
        <v>6.57</v>
      </c>
      <c r="AB1038">
        <v>9.08</v>
      </c>
      <c r="AC1038">
        <v>30.81</v>
      </c>
      <c r="AD1038">
        <v>1.36</v>
      </c>
      <c r="AE1038">
        <v>1.5106342211151564</v>
      </c>
      <c r="AF1038">
        <v>0.44275723318643423</v>
      </c>
      <c r="AG1038">
        <v>22.02</v>
      </c>
      <c r="AH1038">
        <v>21.522594999999999</v>
      </c>
      <c r="AI1038">
        <v>30.56</v>
      </c>
      <c r="AJ1038" t="s">
        <v>267</v>
      </c>
    </row>
    <row r="1039" spans="1:36" x14ac:dyDescent="0.5">
      <c r="A1039">
        <v>30</v>
      </c>
      <c r="B1039">
        <v>180</v>
      </c>
      <c r="C1039">
        <v>0.1</v>
      </c>
      <c r="D1039">
        <v>30</v>
      </c>
      <c r="E1039">
        <v>500</v>
      </c>
      <c r="F1039">
        <v>70</v>
      </c>
      <c r="G1039">
        <v>2.3333333333333335</v>
      </c>
      <c r="O1039">
        <v>78.489999999999995</v>
      </c>
      <c r="P1039">
        <v>2.0099999999999998</v>
      </c>
      <c r="Q1039">
        <v>51.2</v>
      </c>
      <c r="R1039">
        <v>6.64</v>
      </c>
      <c r="S1039">
        <v>8.85</v>
      </c>
      <c r="T1039">
        <v>31.94</v>
      </c>
      <c r="U1039">
        <v>1.37</v>
      </c>
      <c r="V1039">
        <v>1.5562499999999999</v>
      </c>
      <c r="W1039">
        <v>0.46787109375000002</v>
      </c>
      <c r="X1039">
        <v>18.510000000000002</v>
      </c>
      <c r="Y1039">
        <v>21.08623</v>
      </c>
      <c r="Z1039">
        <v>53.2</v>
      </c>
      <c r="AA1039">
        <v>6.52</v>
      </c>
      <c r="AB1039">
        <v>8.98</v>
      </c>
      <c r="AC1039">
        <v>29.91</v>
      </c>
      <c r="AD1039">
        <v>1.39</v>
      </c>
      <c r="AE1039">
        <v>1.470676691729323</v>
      </c>
      <c r="AF1039">
        <v>0.42166353383458643</v>
      </c>
      <c r="AG1039">
        <v>23.17</v>
      </c>
      <c r="AH1039">
        <v>21.953225000000003</v>
      </c>
      <c r="AI1039">
        <v>25.23</v>
      </c>
    </row>
    <row r="1040" spans="1:36" x14ac:dyDescent="0.5">
      <c r="A1040">
        <v>45</v>
      </c>
      <c r="B1040">
        <v>180</v>
      </c>
      <c r="C1040">
        <v>0.1</v>
      </c>
      <c r="D1040">
        <v>30</v>
      </c>
      <c r="E1040">
        <v>500</v>
      </c>
      <c r="F1040">
        <v>70</v>
      </c>
      <c r="G1040">
        <v>2.3333333333333335</v>
      </c>
      <c r="O1040">
        <v>78.489999999999995</v>
      </c>
      <c r="P1040">
        <v>2.0099999999999998</v>
      </c>
      <c r="Q1040">
        <v>51.2</v>
      </c>
      <c r="R1040">
        <v>6.64</v>
      </c>
      <c r="S1040">
        <v>8.85</v>
      </c>
      <c r="T1040">
        <v>31.94</v>
      </c>
      <c r="U1040">
        <v>1.37</v>
      </c>
      <c r="V1040">
        <v>1.5562499999999999</v>
      </c>
      <c r="W1040">
        <v>0.46787109375000002</v>
      </c>
      <c r="X1040">
        <v>18.510000000000002</v>
      </c>
      <c r="Y1040">
        <v>21.08623</v>
      </c>
      <c r="Z1040">
        <v>55.31</v>
      </c>
      <c r="AA1040">
        <v>6.69</v>
      </c>
      <c r="AB1040">
        <v>9.08</v>
      </c>
      <c r="AC1040">
        <v>27.55</v>
      </c>
      <c r="AD1040">
        <v>1.37</v>
      </c>
      <c r="AE1040">
        <v>1.4514554330139215</v>
      </c>
      <c r="AF1040">
        <v>0.37357620683420717</v>
      </c>
      <c r="AG1040">
        <v>25.56</v>
      </c>
      <c r="AH1040">
        <v>23.330425000000002</v>
      </c>
      <c r="AI1040">
        <v>20.74</v>
      </c>
    </row>
    <row r="1041" spans="1:36" x14ac:dyDescent="0.5">
      <c r="A1041">
        <v>15</v>
      </c>
      <c r="B1041">
        <v>200</v>
      </c>
      <c r="C1041">
        <v>0.1</v>
      </c>
      <c r="D1041">
        <v>30</v>
      </c>
      <c r="E1041">
        <v>500</v>
      </c>
      <c r="F1041">
        <v>70</v>
      </c>
      <c r="G1041">
        <v>2.3333333333333335</v>
      </c>
      <c r="O1041">
        <v>78.489999999999995</v>
      </c>
      <c r="P1041">
        <v>2.0099999999999998</v>
      </c>
      <c r="Q1041">
        <v>51.2</v>
      </c>
      <c r="R1041">
        <v>6.64</v>
      </c>
      <c r="S1041">
        <v>8.85</v>
      </c>
      <c r="T1041">
        <v>31.94</v>
      </c>
      <c r="U1041">
        <v>1.37</v>
      </c>
      <c r="V1041">
        <v>1.5562499999999999</v>
      </c>
      <c r="W1041">
        <v>0.46787109375000002</v>
      </c>
      <c r="X1041">
        <v>18.510000000000002</v>
      </c>
      <c r="Y1041">
        <v>21.08623</v>
      </c>
      <c r="Z1041">
        <v>55.07</v>
      </c>
      <c r="AA1041">
        <v>6.72</v>
      </c>
      <c r="AB1041">
        <v>9.2899999999999991</v>
      </c>
      <c r="AC1041">
        <v>27.62</v>
      </c>
      <c r="AD1041">
        <v>1.3</v>
      </c>
      <c r="AE1041">
        <v>1.4643181405483929</v>
      </c>
      <c r="AF1041">
        <v>0.3761576175776285</v>
      </c>
      <c r="AG1041">
        <v>24.67</v>
      </c>
      <c r="AH1041">
        <v>23.279650000000004</v>
      </c>
      <c r="AI1041">
        <v>22.72</v>
      </c>
    </row>
    <row r="1042" spans="1:36" x14ac:dyDescent="0.5">
      <c r="A1042">
        <v>30</v>
      </c>
      <c r="B1042">
        <v>200</v>
      </c>
      <c r="C1042">
        <v>0.1</v>
      </c>
      <c r="D1042">
        <v>30</v>
      </c>
      <c r="E1042">
        <v>500</v>
      </c>
      <c r="F1042">
        <v>70</v>
      </c>
      <c r="G1042">
        <v>2.3333333333333335</v>
      </c>
      <c r="O1042">
        <v>78.489999999999995</v>
      </c>
      <c r="P1042">
        <v>2.0099999999999998</v>
      </c>
      <c r="Q1042">
        <v>51.2</v>
      </c>
      <c r="R1042">
        <v>6.64</v>
      </c>
      <c r="S1042">
        <v>8.85</v>
      </c>
      <c r="T1042">
        <v>31.94</v>
      </c>
      <c r="U1042">
        <v>1.37</v>
      </c>
      <c r="V1042">
        <v>1.5562499999999999</v>
      </c>
      <c r="W1042">
        <v>0.46787109375000002</v>
      </c>
      <c r="X1042">
        <v>18.510000000000002</v>
      </c>
      <c r="Y1042">
        <v>21.08623</v>
      </c>
      <c r="Z1042">
        <v>57.44</v>
      </c>
      <c r="AA1042">
        <v>6.65</v>
      </c>
      <c r="AB1042">
        <v>9.0399999999999991</v>
      </c>
      <c r="AC1042">
        <v>25.61</v>
      </c>
      <c r="AD1042">
        <v>1.26</v>
      </c>
      <c r="AE1042">
        <v>1.3892757660167132</v>
      </c>
      <c r="AF1042">
        <v>0.33439240947075211</v>
      </c>
      <c r="AG1042">
        <v>25.37</v>
      </c>
      <c r="AH1042">
        <v>24.339534999999998</v>
      </c>
      <c r="AI1042">
        <v>20.54</v>
      </c>
    </row>
    <row r="1043" spans="1:36" x14ac:dyDescent="0.5">
      <c r="A1043">
        <v>45</v>
      </c>
      <c r="B1043">
        <v>200</v>
      </c>
      <c r="C1043">
        <v>0.1</v>
      </c>
      <c r="D1043">
        <v>30</v>
      </c>
      <c r="E1043">
        <v>500</v>
      </c>
      <c r="F1043">
        <v>70</v>
      </c>
      <c r="G1043">
        <v>2.3333333333333335</v>
      </c>
      <c r="O1043">
        <v>78.489999999999995</v>
      </c>
      <c r="P1043">
        <v>2.0099999999999998</v>
      </c>
      <c r="Q1043">
        <v>51.2</v>
      </c>
      <c r="R1043">
        <v>6.64</v>
      </c>
      <c r="S1043">
        <v>8.85</v>
      </c>
      <c r="T1043">
        <v>31.94</v>
      </c>
      <c r="U1043">
        <v>1.37</v>
      </c>
      <c r="V1043">
        <v>1.5562499999999999</v>
      </c>
      <c r="W1043">
        <v>0.46787109375000002</v>
      </c>
      <c r="X1043">
        <v>18.510000000000002</v>
      </c>
      <c r="Y1043">
        <v>21.08623</v>
      </c>
      <c r="Z1043">
        <v>59.23</v>
      </c>
      <c r="AA1043">
        <v>6.68</v>
      </c>
      <c r="AB1043">
        <v>7.98</v>
      </c>
      <c r="AC1043">
        <v>24.84</v>
      </c>
      <c r="AD1043">
        <v>1.26</v>
      </c>
      <c r="AE1043">
        <v>1.353368225561371</v>
      </c>
      <c r="AF1043">
        <v>0.31453655242275874</v>
      </c>
      <c r="AG1043">
        <v>27.85</v>
      </c>
      <c r="AH1043">
        <v>25.124839999999999</v>
      </c>
      <c r="AI1043">
        <v>18.600000000000001</v>
      </c>
    </row>
    <row r="1044" spans="1:36" x14ac:dyDescent="0.5">
      <c r="A1044">
        <v>15</v>
      </c>
      <c r="B1044">
        <v>220</v>
      </c>
      <c r="C1044">
        <v>0.1</v>
      </c>
      <c r="D1044">
        <v>30</v>
      </c>
      <c r="E1044">
        <v>500</v>
      </c>
      <c r="F1044">
        <v>70</v>
      </c>
      <c r="G1044">
        <v>2.3333333333333335</v>
      </c>
      <c r="O1044">
        <v>78.489999999999995</v>
      </c>
      <c r="P1044">
        <v>2.0099999999999998</v>
      </c>
      <c r="Q1044">
        <v>51.2</v>
      </c>
      <c r="R1044">
        <v>6.64</v>
      </c>
      <c r="S1044">
        <v>8.85</v>
      </c>
      <c r="T1044">
        <v>31.94</v>
      </c>
      <c r="U1044">
        <v>1.37</v>
      </c>
      <c r="V1044">
        <v>1.5562499999999999</v>
      </c>
      <c r="W1044">
        <v>0.46787109375000002</v>
      </c>
      <c r="X1044">
        <v>18.510000000000002</v>
      </c>
      <c r="Y1044">
        <v>21.08623</v>
      </c>
      <c r="Z1044">
        <v>59.31</v>
      </c>
      <c r="AA1044">
        <v>6.68</v>
      </c>
      <c r="AB1044">
        <v>9.0299999999999994</v>
      </c>
      <c r="AC1044">
        <v>23.8</v>
      </c>
      <c r="AD1044">
        <v>1.18</v>
      </c>
      <c r="AE1044">
        <v>1.3515427415275669</v>
      </c>
      <c r="AF1044">
        <v>0.30096105209914015</v>
      </c>
      <c r="AG1044">
        <v>27.23</v>
      </c>
      <c r="AH1044">
        <v>25.337520000000001</v>
      </c>
      <c r="AI1044">
        <v>20.89</v>
      </c>
    </row>
    <row r="1045" spans="1:36" x14ac:dyDescent="0.5">
      <c r="A1045">
        <v>30</v>
      </c>
      <c r="B1045">
        <v>220</v>
      </c>
      <c r="C1045">
        <v>0.1</v>
      </c>
      <c r="D1045">
        <v>30</v>
      </c>
      <c r="E1045">
        <v>500</v>
      </c>
      <c r="F1045">
        <v>70</v>
      </c>
      <c r="G1045">
        <v>2.3333333333333335</v>
      </c>
      <c r="O1045">
        <v>78.489999999999995</v>
      </c>
      <c r="P1045">
        <v>2.0099999999999998</v>
      </c>
      <c r="Q1045">
        <v>51.2</v>
      </c>
      <c r="R1045">
        <v>6.64</v>
      </c>
      <c r="S1045">
        <v>8.85</v>
      </c>
      <c r="T1045">
        <v>31.94</v>
      </c>
      <c r="U1045">
        <v>1.37</v>
      </c>
      <c r="V1045">
        <v>1.5562499999999999</v>
      </c>
      <c r="W1045">
        <v>0.46787109375000002</v>
      </c>
      <c r="X1045">
        <v>18.510000000000002</v>
      </c>
      <c r="Y1045">
        <v>21.08623</v>
      </c>
      <c r="Z1045">
        <v>60</v>
      </c>
      <c r="AA1045">
        <v>6.45</v>
      </c>
      <c r="AB1045">
        <v>8.24</v>
      </c>
      <c r="AC1045">
        <v>24.13</v>
      </c>
      <c r="AD1045">
        <v>1.19</v>
      </c>
      <c r="AE1045">
        <v>1.29</v>
      </c>
      <c r="AF1045">
        <v>0.30162499999999998</v>
      </c>
      <c r="AG1045">
        <v>26.61</v>
      </c>
      <c r="AH1045">
        <v>25.183395000000001</v>
      </c>
      <c r="AI1045">
        <v>18.72</v>
      </c>
    </row>
    <row r="1046" spans="1:36" x14ac:dyDescent="0.5">
      <c r="A1046">
        <v>45</v>
      </c>
      <c r="B1046">
        <v>220</v>
      </c>
      <c r="C1046">
        <v>0.1</v>
      </c>
      <c r="D1046">
        <v>30</v>
      </c>
      <c r="E1046">
        <v>500</v>
      </c>
      <c r="F1046">
        <v>70</v>
      </c>
      <c r="G1046">
        <v>2.3333333333333335</v>
      </c>
      <c r="O1046">
        <v>78.489999999999995</v>
      </c>
      <c r="P1046">
        <v>2.0099999999999998</v>
      </c>
      <c r="Q1046">
        <v>51.2</v>
      </c>
      <c r="R1046">
        <v>6.64</v>
      </c>
      <c r="S1046">
        <v>8.85</v>
      </c>
      <c r="T1046">
        <v>31.94</v>
      </c>
      <c r="U1046">
        <v>1.37</v>
      </c>
      <c r="V1046">
        <v>1.5562499999999999</v>
      </c>
      <c r="W1046">
        <v>0.46787109375000002</v>
      </c>
      <c r="X1046">
        <v>18.510000000000002</v>
      </c>
      <c r="Y1046">
        <v>21.08623</v>
      </c>
      <c r="Z1046">
        <v>62.31</v>
      </c>
      <c r="AA1046">
        <v>6.29</v>
      </c>
      <c r="AB1046">
        <v>8.73</v>
      </c>
      <c r="AC1046">
        <v>21.47</v>
      </c>
      <c r="AD1046">
        <v>1.2</v>
      </c>
      <c r="AE1046">
        <v>1.2113625421280694</v>
      </c>
      <c r="AF1046">
        <v>0.25842561386615309</v>
      </c>
      <c r="AG1046">
        <v>29.23</v>
      </c>
      <c r="AH1046">
        <v>26.210505000000001</v>
      </c>
      <c r="AI1046">
        <v>16.32</v>
      </c>
    </row>
    <row r="1047" spans="1:36" x14ac:dyDescent="0.5">
      <c r="A1047">
        <v>15</v>
      </c>
      <c r="B1047">
        <v>240</v>
      </c>
      <c r="C1047">
        <v>0.1</v>
      </c>
      <c r="D1047">
        <v>30</v>
      </c>
      <c r="E1047">
        <v>500</v>
      </c>
      <c r="F1047">
        <v>70</v>
      </c>
      <c r="G1047">
        <v>2.3333333333333335</v>
      </c>
      <c r="O1047">
        <v>78.489999999999995</v>
      </c>
      <c r="P1047">
        <v>2.0099999999999998</v>
      </c>
      <c r="Q1047">
        <v>51.2</v>
      </c>
      <c r="R1047">
        <v>6.64</v>
      </c>
      <c r="S1047">
        <v>8.85</v>
      </c>
      <c r="T1047">
        <v>31.94</v>
      </c>
      <c r="U1047">
        <v>1.37</v>
      </c>
      <c r="V1047">
        <v>1.5562499999999999</v>
      </c>
      <c r="W1047">
        <v>0.46787109375000002</v>
      </c>
      <c r="X1047">
        <v>18.510000000000002</v>
      </c>
      <c r="Y1047">
        <v>21.08623</v>
      </c>
      <c r="Z1047">
        <v>61.29</v>
      </c>
      <c r="AA1047">
        <v>6.26</v>
      </c>
      <c r="AB1047">
        <v>8.9499999999999993</v>
      </c>
      <c r="AC1047">
        <v>22.17</v>
      </c>
      <c r="AD1047">
        <v>1.33</v>
      </c>
      <c r="AE1047">
        <v>1.2256485560450319</v>
      </c>
      <c r="AF1047">
        <v>0.27129221732745962</v>
      </c>
      <c r="AG1047">
        <v>29.83</v>
      </c>
      <c r="AH1047">
        <v>25.697955</v>
      </c>
      <c r="AI1047">
        <v>17.149999999999999</v>
      </c>
    </row>
    <row r="1048" spans="1:36" x14ac:dyDescent="0.5">
      <c r="A1048">
        <v>30</v>
      </c>
      <c r="B1048">
        <v>240</v>
      </c>
      <c r="C1048">
        <v>0.1</v>
      </c>
      <c r="D1048">
        <v>30</v>
      </c>
      <c r="E1048">
        <v>500</v>
      </c>
      <c r="F1048">
        <v>70</v>
      </c>
      <c r="G1048">
        <v>2.3333333333333335</v>
      </c>
      <c r="O1048">
        <v>78.489999999999995</v>
      </c>
      <c r="P1048">
        <v>2.0099999999999998</v>
      </c>
      <c r="Q1048">
        <v>51.2</v>
      </c>
      <c r="R1048">
        <v>6.64</v>
      </c>
      <c r="S1048">
        <v>8.85</v>
      </c>
      <c r="T1048">
        <v>31.94</v>
      </c>
      <c r="U1048">
        <v>1.37</v>
      </c>
      <c r="V1048">
        <v>1.5562499999999999</v>
      </c>
      <c r="W1048">
        <v>0.46787109375000002</v>
      </c>
      <c r="X1048">
        <v>18.510000000000002</v>
      </c>
      <c r="Y1048">
        <v>21.08623</v>
      </c>
      <c r="Z1048">
        <v>62.62</v>
      </c>
      <c r="AA1048">
        <v>5.96</v>
      </c>
      <c r="AB1048">
        <v>8.19</v>
      </c>
      <c r="AC1048">
        <v>21.93</v>
      </c>
      <c r="AD1048">
        <v>1.29</v>
      </c>
      <c r="AE1048">
        <v>1.1421271159374002</v>
      </c>
      <c r="AF1048">
        <v>0.2626557010539764</v>
      </c>
      <c r="AG1048">
        <v>30.41</v>
      </c>
      <c r="AH1048">
        <v>25.761935000000001</v>
      </c>
      <c r="AI1048">
        <v>18.62</v>
      </c>
    </row>
    <row r="1049" spans="1:36" x14ac:dyDescent="0.5">
      <c r="A1049">
        <v>45</v>
      </c>
      <c r="B1049">
        <v>240</v>
      </c>
      <c r="C1049">
        <v>0.1</v>
      </c>
      <c r="D1049">
        <v>30</v>
      </c>
      <c r="E1049">
        <v>500</v>
      </c>
      <c r="F1049">
        <v>70</v>
      </c>
      <c r="G1049">
        <v>2.3333333333333335</v>
      </c>
      <c r="O1049">
        <v>78.489999999999995</v>
      </c>
      <c r="P1049">
        <v>2.0099999999999998</v>
      </c>
      <c r="Q1049">
        <v>51.2</v>
      </c>
      <c r="R1049">
        <v>6.64</v>
      </c>
      <c r="S1049">
        <v>8.85</v>
      </c>
      <c r="T1049">
        <v>31.94</v>
      </c>
      <c r="U1049">
        <v>1.37</v>
      </c>
      <c r="V1049">
        <v>1.5562499999999999</v>
      </c>
      <c r="W1049">
        <v>0.46787109375000002</v>
      </c>
      <c r="X1049">
        <v>18.510000000000002</v>
      </c>
      <c r="Y1049">
        <v>21.08623</v>
      </c>
      <c r="Z1049">
        <v>67.959999999999994</v>
      </c>
      <c r="AA1049">
        <v>5.71</v>
      </c>
      <c r="AB1049">
        <v>8.51</v>
      </c>
      <c r="AC1049">
        <v>16.25</v>
      </c>
      <c r="AD1049">
        <v>1.56</v>
      </c>
      <c r="AE1049">
        <v>1.0082401412595645</v>
      </c>
      <c r="AF1049">
        <v>0.1793334314302531</v>
      </c>
      <c r="AG1049">
        <v>34.68</v>
      </c>
      <c r="AH1049">
        <v>28.223734999999998</v>
      </c>
      <c r="AI1049">
        <v>18.25</v>
      </c>
    </row>
    <row r="1050" spans="1:36" x14ac:dyDescent="0.5">
      <c r="A1050">
        <v>10</v>
      </c>
      <c r="B1050">
        <v>200</v>
      </c>
      <c r="C1050">
        <v>0.1</v>
      </c>
      <c r="D1050">
        <v>30</v>
      </c>
      <c r="E1050">
        <v>500</v>
      </c>
      <c r="F1050">
        <v>300</v>
      </c>
      <c r="G1050">
        <v>10</v>
      </c>
      <c r="K1050">
        <v>36.799999999999997</v>
      </c>
      <c r="L1050">
        <v>12.2</v>
      </c>
      <c r="M1050">
        <v>32.700000000000003</v>
      </c>
      <c r="O1050">
        <v>80.11</v>
      </c>
      <c r="P1050">
        <v>18.62</v>
      </c>
      <c r="Q1050">
        <v>49.14</v>
      </c>
      <c r="R1050">
        <v>6.18</v>
      </c>
      <c r="S1050">
        <v>0.45</v>
      </c>
      <c r="T1050">
        <v>43.75</v>
      </c>
      <c r="U1050">
        <v>0.47</v>
      </c>
      <c r="V1050">
        <v>1.5091575091575091</v>
      </c>
      <c r="W1050">
        <v>0.66773504273504281</v>
      </c>
      <c r="X1050">
        <v>1.27</v>
      </c>
      <c r="Y1050">
        <v>19.93</v>
      </c>
      <c r="Z1050">
        <v>57.46</v>
      </c>
      <c r="AA1050">
        <v>6.11</v>
      </c>
      <c r="AB1050">
        <v>0.56999999999999995</v>
      </c>
      <c r="AC1050">
        <v>35.29</v>
      </c>
      <c r="AD1050">
        <v>0.57999999999999996</v>
      </c>
      <c r="AE1050">
        <v>1.2760180995475114</v>
      </c>
      <c r="AF1050">
        <v>0.46062478245736166</v>
      </c>
      <c r="AG1050">
        <v>0.75</v>
      </c>
      <c r="AH1050">
        <v>23.64</v>
      </c>
      <c r="AI1050">
        <v>90.91</v>
      </c>
      <c r="AJ1050" t="s">
        <v>269</v>
      </c>
    </row>
    <row r="1051" spans="1:36" x14ac:dyDescent="0.5">
      <c r="A1051">
        <v>10</v>
      </c>
      <c r="B1051">
        <v>220</v>
      </c>
      <c r="C1051">
        <v>0.1</v>
      </c>
      <c r="D1051">
        <v>30</v>
      </c>
      <c r="E1051">
        <v>500</v>
      </c>
      <c r="F1051">
        <v>300</v>
      </c>
      <c r="G1051">
        <v>10</v>
      </c>
      <c r="K1051">
        <v>36.799999999999997</v>
      </c>
      <c r="L1051">
        <v>12.2</v>
      </c>
      <c r="M1051">
        <v>32.700000000000003</v>
      </c>
      <c r="O1051">
        <v>80.11</v>
      </c>
      <c r="P1051">
        <v>18.62</v>
      </c>
      <c r="Q1051">
        <v>49.14</v>
      </c>
      <c r="R1051">
        <v>6.18</v>
      </c>
      <c r="S1051">
        <v>0.45</v>
      </c>
      <c r="T1051">
        <v>43.75</v>
      </c>
      <c r="U1051">
        <v>0.47</v>
      </c>
      <c r="V1051">
        <v>1.5091575091575091</v>
      </c>
      <c r="W1051">
        <v>0.66773504273504281</v>
      </c>
      <c r="X1051">
        <v>1.27</v>
      </c>
      <c r="Y1051">
        <v>19.93</v>
      </c>
      <c r="Z1051">
        <v>57.82</v>
      </c>
      <c r="AA1051">
        <v>5.74</v>
      </c>
      <c r="AB1051">
        <v>0.52</v>
      </c>
      <c r="AC1051">
        <v>35.32</v>
      </c>
      <c r="AD1051">
        <v>0.6</v>
      </c>
      <c r="AE1051">
        <v>1.1912832929782082</v>
      </c>
      <c r="AF1051">
        <v>0.45814597025250781</v>
      </c>
      <c r="AG1051">
        <v>0.23</v>
      </c>
      <c r="AH1051">
        <v>23.35</v>
      </c>
      <c r="AI1051">
        <v>82.27</v>
      </c>
    </row>
    <row r="1052" spans="1:36" x14ac:dyDescent="0.5">
      <c r="A1052">
        <v>10</v>
      </c>
      <c r="B1052">
        <v>240</v>
      </c>
      <c r="C1052">
        <v>0.1</v>
      </c>
      <c r="D1052">
        <v>30</v>
      </c>
      <c r="E1052">
        <v>500</v>
      </c>
      <c r="F1052">
        <v>300</v>
      </c>
      <c r="G1052">
        <v>10</v>
      </c>
      <c r="K1052">
        <v>36.799999999999997</v>
      </c>
      <c r="L1052">
        <v>12.2</v>
      </c>
      <c r="M1052">
        <v>32.700000000000003</v>
      </c>
      <c r="O1052">
        <v>80.11</v>
      </c>
      <c r="P1052">
        <v>18.62</v>
      </c>
      <c r="Q1052">
        <v>49.14</v>
      </c>
      <c r="R1052">
        <v>6.18</v>
      </c>
      <c r="S1052">
        <v>0.45</v>
      </c>
      <c r="T1052">
        <v>43.75</v>
      </c>
      <c r="U1052">
        <v>0.47</v>
      </c>
      <c r="V1052">
        <v>1.5091575091575091</v>
      </c>
      <c r="W1052">
        <v>0.66773504273504281</v>
      </c>
      <c r="X1052">
        <v>1.27</v>
      </c>
      <c r="Y1052">
        <v>19.93</v>
      </c>
      <c r="Z1052">
        <v>59.82</v>
      </c>
      <c r="AA1052">
        <v>5.81</v>
      </c>
      <c r="AB1052">
        <v>33</v>
      </c>
      <c r="AC1052">
        <v>33.42</v>
      </c>
      <c r="AD1052">
        <v>0.62</v>
      </c>
      <c r="AE1052">
        <v>1.165496489468405</v>
      </c>
      <c r="AF1052">
        <v>0.41900702106318954</v>
      </c>
      <c r="AG1052">
        <v>0.3</v>
      </c>
      <c r="AH1052">
        <v>24.33</v>
      </c>
      <c r="AI1052">
        <v>64.16</v>
      </c>
    </row>
    <row r="1053" spans="1:36" x14ac:dyDescent="0.5">
      <c r="A1053">
        <v>10</v>
      </c>
      <c r="B1053">
        <v>260</v>
      </c>
      <c r="C1053">
        <v>0.1</v>
      </c>
      <c r="D1053">
        <v>30</v>
      </c>
      <c r="E1053">
        <v>500</v>
      </c>
      <c r="F1053">
        <v>300</v>
      </c>
      <c r="G1053">
        <v>10</v>
      </c>
      <c r="K1053">
        <v>36.799999999999997</v>
      </c>
      <c r="L1053">
        <v>12.2</v>
      </c>
      <c r="M1053">
        <v>32.700000000000003</v>
      </c>
      <c r="O1053">
        <v>80.11</v>
      </c>
      <c r="P1053">
        <v>18.62</v>
      </c>
      <c r="Q1053">
        <v>49.14</v>
      </c>
      <c r="R1053">
        <v>6.18</v>
      </c>
      <c r="S1053">
        <v>0.45</v>
      </c>
      <c r="T1053">
        <v>43.75</v>
      </c>
      <c r="U1053">
        <v>0.47</v>
      </c>
      <c r="V1053">
        <v>1.5091575091575091</v>
      </c>
      <c r="W1053">
        <v>0.66773504273504281</v>
      </c>
      <c r="X1053">
        <v>1.27</v>
      </c>
      <c r="Y1053">
        <v>19.93</v>
      </c>
      <c r="Z1053">
        <v>68.44</v>
      </c>
      <c r="AA1053">
        <v>5.43</v>
      </c>
      <c r="AB1053">
        <v>0.42</v>
      </c>
      <c r="AC1053">
        <v>25.15</v>
      </c>
      <c r="AD1053">
        <v>0.56999999999999995</v>
      </c>
      <c r="AE1053">
        <v>0.95207481005260075</v>
      </c>
      <c r="AF1053">
        <v>0.27560637054354176</v>
      </c>
      <c r="AG1053">
        <v>0.24</v>
      </c>
      <c r="AH1053">
        <v>27.73</v>
      </c>
      <c r="AI1053">
        <v>66.84</v>
      </c>
    </row>
    <row r="1054" spans="1:36" x14ac:dyDescent="0.5">
      <c r="A1054">
        <v>5</v>
      </c>
      <c r="B1054">
        <v>190</v>
      </c>
      <c r="C1054">
        <v>0.1</v>
      </c>
      <c r="D1054">
        <v>30</v>
      </c>
      <c r="E1054">
        <v>600</v>
      </c>
      <c r="F1054">
        <v>180</v>
      </c>
      <c r="G1054">
        <v>6</v>
      </c>
      <c r="O1054">
        <v>87.5</v>
      </c>
      <c r="P1054">
        <v>1.7</v>
      </c>
      <c r="Q1054">
        <v>46.7</v>
      </c>
      <c r="R1054">
        <v>6</v>
      </c>
      <c r="S1054">
        <v>0.2</v>
      </c>
      <c r="T1054">
        <v>45.3</v>
      </c>
      <c r="U1054">
        <v>0</v>
      </c>
      <c r="V1054">
        <v>1.5417558886509635</v>
      </c>
      <c r="W1054">
        <v>0.72751605995717328</v>
      </c>
      <c r="X1054">
        <v>0.8</v>
      </c>
      <c r="Y1054">
        <v>18.5</v>
      </c>
      <c r="Z1054">
        <v>48.8</v>
      </c>
      <c r="AA1054">
        <v>6</v>
      </c>
      <c r="AB1054">
        <v>0.2</v>
      </c>
      <c r="AC1054">
        <v>44.7</v>
      </c>
      <c r="AD1054">
        <v>0</v>
      </c>
      <c r="AE1054">
        <v>1.4754098360655739</v>
      </c>
      <c r="AF1054">
        <v>0.68698770491803285</v>
      </c>
      <c r="AG1054">
        <v>0.5</v>
      </c>
      <c r="AH1054">
        <v>20.2</v>
      </c>
      <c r="AI1054">
        <v>83.5</v>
      </c>
      <c r="AJ1054" t="s">
        <v>271</v>
      </c>
    </row>
    <row r="1055" spans="1:36" x14ac:dyDescent="0.5">
      <c r="A1055">
        <v>5</v>
      </c>
      <c r="B1055">
        <v>225</v>
      </c>
      <c r="C1055">
        <v>0.1</v>
      </c>
      <c r="D1055">
        <v>30</v>
      </c>
      <c r="E1055">
        <v>600</v>
      </c>
      <c r="F1055">
        <v>180</v>
      </c>
      <c r="G1055">
        <v>6</v>
      </c>
      <c r="O1055">
        <v>87.5</v>
      </c>
      <c r="P1055">
        <v>1.7</v>
      </c>
      <c r="Q1055">
        <v>46.7</v>
      </c>
      <c r="R1055">
        <v>6</v>
      </c>
      <c r="S1055">
        <v>0.2</v>
      </c>
      <c r="T1055">
        <v>45.3</v>
      </c>
      <c r="U1055">
        <v>0</v>
      </c>
      <c r="V1055">
        <v>1.5417558886509635</v>
      </c>
      <c r="W1055">
        <v>0.72751605995717328</v>
      </c>
      <c r="X1055">
        <v>0.8</v>
      </c>
      <c r="Y1055">
        <v>18.5</v>
      </c>
      <c r="Z1055">
        <v>49.6</v>
      </c>
      <c r="AA1055">
        <v>6</v>
      </c>
      <c r="AB1055">
        <v>0.3</v>
      </c>
      <c r="AC1055">
        <v>41.8</v>
      </c>
      <c r="AD1055">
        <v>0</v>
      </c>
      <c r="AE1055">
        <v>1.4516129032258063</v>
      </c>
      <c r="AF1055">
        <v>0.63205645161290314</v>
      </c>
      <c r="AG1055">
        <v>0.7</v>
      </c>
      <c r="AH1055">
        <v>21.6</v>
      </c>
      <c r="AI1055">
        <v>66.900000000000006</v>
      </c>
    </row>
    <row r="1056" spans="1:36" x14ac:dyDescent="0.5">
      <c r="A1056">
        <v>5</v>
      </c>
      <c r="B1056">
        <v>260</v>
      </c>
      <c r="C1056">
        <v>0.1</v>
      </c>
      <c r="D1056">
        <v>30</v>
      </c>
      <c r="E1056">
        <v>600</v>
      </c>
      <c r="F1056">
        <v>180</v>
      </c>
      <c r="G1056">
        <v>6</v>
      </c>
      <c r="O1056">
        <v>87.5</v>
      </c>
      <c r="P1056">
        <v>1.7</v>
      </c>
      <c r="Q1056">
        <v>46.7</v>
      </c>
      <c r="R1056">
        <v>6</v>
      </c>
      <c r="S1056">
        <v>0.2</v>
      </c>
      <c r="T1056">
        <v>45.3</v>
      </c>
      <c r="U1056">
        <v>0</v>
      </c>
      <c r="V1056">
        <v>1.5417558886509635</v>
      </c>
      <c r="W1056">
        <v>0.72751605995717328</v>
      </c>
      <c r="X1056">
        <v>0.8</v>
      </c>
      <c r="Y1056">
        <v>18.5</v>
      </c>
      <c r="Z1056">
        <v>61.2</v>
      </c>
      <c r="AA1056">
        <v>5.3</v>
      </c>
      <c r="AB1056">
        <v>0.4</v>
      </c>
      <c r="AC1056">
        <v>31.6</v>
      </c>
      <c r="AD1056">
        <v>0</v>
      </c>
      <c r="AE1056">
        <v>1.0392156862745097</v>
      </c>
      <c r="AF1056">
        <v>0.38725490196078427</v>
      </c>
      <c r="AG1056">
        <v>0.8</v>
      </c>
      <c r="AH1056">
        <v>25.9</v>
      </c>
      <c r="AI1056">
        <v>47.8</v>
      </c>
    </row>
    <row r="1057" spans="1:36" x14ac:dyDescent="0.5">
      <c r="A1057">
        <v>60</v>
      </c>
      <c r="B1057">
        <v>170</v>
      </c>
      <c r="C1057">
        <v>0.1</v>
      </c>
      <c r="D1057">
        <v>200</v>
      </c>
      <c r="E1057">
        <v>4000</v>
      </c>
      <c r="F1057">
        <v>1300</v>
      </c>
      <c r="G1057">
        <v>6.5</v>
      </c>
      <c r="O1057">
        <v>67.599999999999994</v>
      </c>
      <c r="P1057">
        <v>20.6</v>
      </c>
      <c r="Q1057">
        <v>44.5</v>
      </c>
      <c r="R1057">
        <v>6.1</v>
      </c>
      <c r="S1057">
        <v>3.1</v>
      </c>
      <c r="T1057">
        <v>34.299999999999997</v>
      </c>
      <c r="U1057">
        <v>0.2</v>
      </c>
      <c r="V1057">
        <v>1.6449438202247189</v>
      </c>
      <c r="W1057">
        <v>0.57808988764044933</v>
      </c>
      <c r="X1057">
        <v>11.8</v>
      </c>
      <c r="Y1057">
        <v>18.899999999999999</v>
      </c>
      <c r="Z1057">
        <v>46.2</v>
      </c>
      <c r="AA1057">
        <v>5.9</v>
      </c>
      <c r="AB1057">
        <v>1.7</v>
      </c>
      <c r="AC1057">
        <v>33.4</v>
      </c>
      <c r="AD1057">
        <v>0.2</v>
      </c>
      <c r="AE1057">
        <v>1.5324675324675325</v>
      </c>
      <c r="AF1057">
        <v>0.54220779220779214</v>
      </c>
      <c r="AG1057">
        <v>12.6</v>
      </c>
      <c r="AH1057">
        <v>19.399999999999999</v>
      </c>
      <c r="AI1057">
        <v>80.400000000000006</v>
      </c>
      <c r="AJ1057" t="s">
        <v>274</v>
      </c>
    </row>
    <row r="1058" spans="1:36" x14ac:dyDescent="0.5">
      <c r="A1058">
        <v>60</v>
      </c>
      <c r="B1058">
        <v>200</v>
      </c>
      <c r="C1058">
        <v>0.1</v>
      </c>
      <c r="D1058">
        <v>200</v>
      </c>
      <c r="E1058">
        <v>4000</v>
      </c>
      <c r="F1058">
        <v>1300</v>
      </c>
      <c r="G1058">
        <v>6.5</v>
      </c>
      <c r="O1058">
        <v>67.599999999999994</v>
      </c>
      <c r="P1058">
        <v>20.6</v>
      </c>
      <c r="Q1058">
        <v>44.5</v>
      </c>
      <c r="R1058">
        <v>6.1</v>
      </c>
      <c r="S1058">
        <v>3.1</v>
      </c>
      <c r="T1058">
        <v>34.299999999999997</v>
      </c>
      <c r="U1058">
        <v>0.2</v>
      </c>
      <c r="V1058">
        <v>1.6449438202247189</v>
      </c>
      <c r="W1058">
        <v>0.57808988764044933</v>
      </c>
      <c r="X1058">
        <v>11.8</v>
      </c>
      <c r="Y1058">
        <v>18.899999999999999</v>
      </c>
      <c r="Z1058">
        <v>48.6</v>
      </c>
      <c r="AA1058">
        <v>5.7</v>
      </c>
      <c r="AB1058">
        <v>2</v>
      </c>
      <c r="AC1058">
        <v>29.9</v>
      </c>
      <c r="AD1058">
        <v>0.2</v>
      </c>
      <c r="AE1058">
        <v>1.4074074074074074</v>
      </c>
      <c r="AF1058">
        <v>0.46141975308641975</v>
      </c>
      <c r="AG1058">
        <v>13.6</v>
      </c>
      <c r="AH1058">
        <v>20.3</v>
      </c>
      <c r="AI1058">
        <v>67.7</v>
      </c>
    </row>
    <row r="1059" spans="1:36" x14ac:dyDescent="0.5">
      <c r="A1059">
        <v>60</v>
      </c>
      <c r="B1059">
        <v>230</v>
      </c>
      <c r="C1059">
        <v>0.1</v>
      </c>
      <c r="D1059">
        <v>200</v>
      </c>
      <c r="E1059">
        <v>4000</v>
      </c>
      <c r="F1059">
        <v>1300</v>
      </c>
      <c r="G1059">
        <v>6.5</v>
      </c>
      <c r="O1059">
        <v>67.599999999999994</v>
      </c>
      <c r="P1059">
        <v>20.6</v>
      </c>
      <c r="Q1059">
        <v>44.5</v>
      </c>
      <c r="R1059">
        <v>6.1</v>
      </c>
      <c r="S1059">
        <v>3.1</v>
      </c>
      <c r="T1059">
        <v>34.299999999999997</v>
      </c>
      <c r="U1059">
        <v>0.2</v>
      </c>
      <c r="V1059">
        <v>1.6449438202247189</v>
      </c>
      <c r="W1059">
        <v>0.57808988764044933</v>
      </c>
      <c r="X1059">
        <v>11.8</v>
      </c>
      <c r="Y1059">
        <v>18.899999999999999</v>
      </c>
      <c r="Z1059">
        <v>54.8</v>
      </c>
      <c r="AA1059">
        <v>6.1</v>
      </c>
      <c r="AB1059">
        <v>2.2999999999999998</v>
      </c>
      <c r="AC1059">
        <v>22.3</v>
      </c>
      <c r="AD1059">
        <v>0.2</v>
      </c>
      <c r="AE1059">
        <v>1.3357664233576643</v>
      </c>
      <c r="AF1059">
        <v>0.30520072992700731</v>
      </c>
      <c r="AG1059">
        <v>14.3</v>
      </c>
      <c r="AH1059">
        <v>23.7</v>
      </c>
      <c r="AI1059">
        <v>61.2</v>
      </c>
    </row>
    <row r="1060" spans="1:36" x14ac:dyDescent="0.5">
      <c r="A1060">
        <v>60</v>
      </c>
      <c r="B1060">
        <v>170</v>
      </c>
      <c r="C1060">
        <v>0.1</v>
      </c>
      <c r="D1060">
        <v>200</v>
      </c>
      <c r="E1060">
        <v>4000</v>
      </c>
      <c r="F1060">
        <v>1300</v>
      </c>
      <c r="G1060">
        <v>6.5</v>
      </c>
      <c r="O1060">
        <v>73.7</v>
      </c>
      <c r="P1060">
        <v>12.7</v>
      </c>
      <c r="Q1060">
        <v>43</v>
      </c>
      <c r="R1060">
        <v>5.9</v>
      </c>
      <c r="S1060">
        <v>6.4</v>
      </c>
      <c r="T1060">
        <v>40.799999999999997</v>
      </c>
      <c r="U1060">
        <v>0.3</v>
      </c>
      <c r="V1060">
        <v>1.6465116279069767</v>
      </c>
      <c r="W1060">
        <v>0.71162790697674416</v>
      </c>
      <c r="X1060">
        <v>13.6</v>
      </c>
      <c r="Y1060">
        <v>18.5</v>
      </c>
      <c r="Z1060">
        <v>46.3</v>
      </c>
      <c r="AA1060">
        <v>6.2</v>
      </c>
      <c r="AB1060">
        <v>6.6</v>
      </c>
      <c r="AC1060">
        <v>24</v>
      </c>
      <c r="AD1060">
        <v>0.5</v>
      </c>
      <c r="AE1060">
        <v>1.6069114470842334</v>
      </c>
      <c r="AF1060">
        <v>0.38876889848812096</v>
      </c>
      <c r="AG1060">
        <v>16.399999999999999</v>
      </c>
      <c r="AH1060">
        <v>20.6</v>
      </c>
      <c r="AI1060">
        <v>48.5</v>
      </c>
      <c r="AJ1060" t="s">
        <v>275</v>
      </c>
    </row>
    <row r="1061" spans="1:36" x14ac:dyDescent="0.5">
      <c r="A1061">
        <v>60</v>
      </c>
      <c r="B1061">
        <v>200</v>
      </c>
      <c r="C1061">
        <v>0.1</v>
      </c>
      <c r="D1061">
        <v>200</v>
      </c>
      <c r="E1061">
        <v>4000</v>
      </c>
      <c r="F1061">
        <v>1300</v>
      </c>
      <c r="G1061">
        <v>6.5</v>
      </c>
      <c r="O1061">
        <v>73.7</v>
      </c>
      <c r="P1061">
        <v>12.7</v>
      </c>
      <c r="Q1061">
        <v>43</v>
      </c>
      <c r="R1061">
        <v>5.9</v>
      </c>
      <c r="S1061">
        <v>6.4</v>
      </c>
      <c r="T1061">
        <v>40.799999999999997</v>
      </c>
      <c r="U1061">
        <v>0.3</v>
      </c>
      <c r="V1061">
        <v>1.6465116279069767</v>
      </c>
      <c r="W1061">
        <v>0.71162790697674416</v>
      </c>
      <c r="X1061">
        <v>13.6</v>
      </c>
      <c r="Y1061">
        <v>18.5</v>
      </c>
      <c r="Z1061">
        <v>49.4</v>
      </c>
      <c r="AA1061">
        <v>6</v>
      </c>
      <c r="AB1061">
        <v>6.4</v>
      </c>
      <c r="AC1061">
        <v>18.100000000000001</v>
      </c>
      <c r="AD1061">
        <v>0.4</v>
      </c>
      <c r="AE1061">
        <v>1.4574898785425103</v>
      </c>
      <c r="AF1061">
        <v>0.27479757085020245</v>
      </c>
      <c r="AG1061">
        <v>19.7</v>
      </c>
      <c r="AH1061">
        <v>21.9</v>
      </c>
      <c r="AI1061">
        <v>40.1</v>
      </c>
    </row>
    <row r="1062" spans="1:36" x14ac:dyDescent="0.5">
      <c r="A1062">
        <v>60</v>
      </c>
      <c r="B1062">
        <v>230</v>
      </c>
      <c r="C1062">
        <v>0.1</v>
      </c>
      <c r="D1062">
        <v>200</v>
      </c>
      <c r="E1062">
        <v>4000</v>
      </c>
      <c r="F1062">
        <v>1300</v>
      </c>
      <c r="G1062">
        <v>6.5</v>
      </c>
      <c r="O1062">
        <v>73.7</v>
      </c>
      <c r="P1062">
        <v>12.7</v>
      </c>
      <c r="Q1062">
        <v>43</v>
      </c>
      <c r="R1062">
        <v>5.9</v>
      </c>
      <c r="S1062">
        <v>6.4</v>
      </c>
      <c r="T1062">
        <v>40.799999999999997</v>
      </c>
      <c r="U1062">
        <v>0.3</v>
      </c>
      <c r="V1062">
        <v>1.6465116279069767</v>
      </c>
      <c r="W1062">
        <v>0.71162790697674416</v>
      </c>
      <c r="X1062">
        <v>13.6</v>
      </c>
      <c r="Y1062">
        <v>18.5</v>
      </c>
      <c r="Z1062">
        <v>50.5</v>
      </c>
      <c r="AA1062">
        <v>5.6</v>
      </c>
      <c r="AB1062">
        <v>6.3</v>
      </c>
      <c r="AC1062">
        <v>8.4</v>
      </c>
      <c r="AD1062">
        <v>0.4</v>
      </c>
      <c r="AE1062">
        <v>1.3306930693069308</v>
      </c>
      <c r="AF1062">
        <v>0.12475247524752477</v>
      </c>
      <c r="AG1062">
        <v>28.8</v>
      </c>
      <c r="AH1062">
        <v>22.4</v>
      </c>
      <c r="AI1062">
        <v>29.7</v>
      </c>
    </row>
    <row r="1063" spans="1:36" x14ac:dyDescent="0.5">
      <c r="A1063">
        <v>30</v>
      </c>
      <c r="B1063">
        <v>180</v>
      </c>
      <c r="C1063">
        <v>0.1</v>
      </c>
      <c r="D1063">
        <v>40</v>
      </c>
      <c r="E1063">
        <v>500</v>
      </c>
      <c r="F1063">
        <v>200</v>
      </c>
      <c r="G1063">
        <v>5</v>
      </c>
      <c r="O1063">
        <v>77.040000000000006</v>
      </c>
      <c r="P1063">
        <v>20.86</v>
      </c>
      <c r="Q1063">
        <v>46.56</v>
      </c>
      <c r="R1063">
        <v>4.99</v>
      </c>
      <c r="S1063">
        <v>3.91</v>
      </c>
      <c r="T1063">
        <v>41.8</v>
      </c>
      <c r="U1063">
        <v>0.62</v>
      </c>
      <c r="V1063">
        <v>1.286082474226804</v>
      </c>
      <c r="W1063">
        <v>0.67332474226804118</v>
      </c>
      <c r="X1063">
        <v>2.1</v>
      </c>
      <c r="Y1063">
        <v>17.77</v>
      </c>
      <c r="Z1063">
        <v>57.5</v>
      </c>
      <c r="AA1063">
        <v>5.33</v>
      </c>
      <c r="AB1063">
        <v>2.86</v>
      </c>
      <c r="AC1063">
        <v>32.369999999999997</v>
      </c>
      <c r="AD1063">
        <v>0.5</v>
      </c>
      <c r="AE1063">
        <v>1.1123478260869564</v>
      </c>
      <c r="AF1063">
        <v>0.42221739130434777</v>
      </c>
      <c r="AG1063">
        <v>1.44</v>
      </c>
      <c r="AH1063">
        <v>22.98</v>
      </c>
      <c r="AI1063">
        <v>51.9</v>
      </c>
      <c r="AJ1063" t="s">
        <v>276</v>
      </c>
    </row>
    <row r="1064" spans="1:36" x14ac:dyDescent="0.5">
      <c r="A1064">
        <v>30</v>
      </c>
      <c r="B1064">
        <v>200</v>
      </c>
      <c r="C1064">
        <v>0.1</v>
      </c>
      <c r="D1064">
        <v>40</v>
      </c>
      <c r="E1064">
        <v>500</v>
      </c>
      <c r="F1064">
        <v>200</v>
      </c>
      <c r="G1064">
        <v>5</v>
      </c>
      <c r="O1064">
        <v>77.040000000000006</v>
      </c>
      <c r="P1064">
        <v>20.86</v>
      </c>
      <c r="Q1064">
        <v>46.56</v>
      </c>
      <c r="R1064">
        <v>4.99</v>
      </c>
      <c r="S1064">
        <v>3.91</v>
      </c>
      <c r="T1064">
        <v>41.8</v>
      </c>
      <c r="U1064">
        <v>0.62</v>
      </c>
      <c r="V1064">
        <v>1.286082474226804</v>
      </c>
      <c r="W1064">
        <v>0.67332474226804118</v>
      </c>
      <c r="X1064">
        <v>2.1</v>
      </c>
      <c r="Y1064">
        <v>17.77</v>
      </c>
      <c r="Z1064">
        <v>60.7</v>
      </c>
      <c r="AA1064">
        <v>5.29</v>
      </c>
      <c r="AB1064">
        <v>2.54</v>
      </c>
      <c r="AC1064">
        <v>30.06</v>
      </c>
      <c r="AD1064">
        <v>0.43</v>
      </c>
      <c r="AE1064">
        <v>1.0457990115321252</v>
      </c>
      <c r="AF1064">
        <v>0.37141680395387144</v>
      </c>
      <c r="AG1064">
        <v>0.98</v>
      </c>
      <c r="AH1064">
        <v>24.3</v>
      </c>
      <c r="AI1064">
        <v>45.3</v>
      </c>
    </row>
    <row r="1065" spans="1:36" x14ac:dyDescent="0.5">
      <c r="A1065">
        <v>30</v>
      </c>
      <c r="B1065">
        <v>220</v>
      </c>
      <c r="C1065">
        <v>0.1</v>
      </c>
      <c r="D1065">
        <v>40</v>
      </c>
      <c r="E1065">
        <v>500</v>
      </c>
      <c r="F1065">
        <v>200</v>
      </c>
      <c r="G1065">
        <v>5</v>
      </c>
      <c r="O1065">
        <v>77.040000000000006</v>
      </c>
      <c r="P1065">
        <v>20.86</v>
      </c>
      <c r="Q1065">
        <v>46.56</v>
      </c>
      <c r="R1065">
        <v>4.99</v>
      </c>
      <c r="S1065">
        <v>3.91</v>
      </c>
      <c r="T1065">
        <v>41.8</v>
      </c>
      <c r="U1065">
        <v>0.62</v>
      </c>
      <c r="V1065">
        <v>1.286082474226804</v>
      </c>
      <c r="W1065">
        <v>0.67332474226804118</v>
      </c>
      <c r="X1065">
        <v>2.1</v>
      </c>
      <c r="Y1065">
        <v>17.77</v>
      </c>
      <c r="Z1065">
        <v>62.8</v>
      </c>
      <c r="AA1065">
        <v>5.33</v>
      </c>
      <c r="AB1065">
        <v>2.95</v>
      </c>
      <c r="AC1065">
        <v>28.18</v>
      </c>
      <c r="AD1065">
        <v>0.42</v>
      </c>
      <c r="AE1065">
        <v>1.0184713375796179</v>
      </c>
      <c r="AF1065">
        <v>0.33654458598726111</v>
      </c>
      <c r="AG1065">
        <v>0.32</v>
      </c>
      <c r="AH1065">
        <v>25.28</v>
      </c>
      <c r="AI1065">
        <v>25.28</v>
      </c>
    </row>
    <row r="1066" spans="1:36" x14ac:dyDescent="0.5">
      <c r="A1066">
        <v>30</v>
      </c>
      <c r="B1066">
        <v>180</v>
      </c>
      <c r="C1066">
        <v>0.1</v>
      </c>
      <c r="D1066">
        <v>40</v>
      </c>
      <c r="E1066">
        <v>500</v>
      </c>
      <c r="F1066">
        <v>200</v>
      </c>
      <c r="G1066">
        <v>5</v>
      </c>
      <c r="O1066">
        <v>87.31</v>
      </c>
      <c r="P1066">
        <v>10.32</v>
      </c>
      <c r="Q1066">
        <v>53.88</v>
      </c>
      <c r="R1066">
        <v>7.64</v>
      </c>
      <c r="S1066">
        <v>13.1</v>
      </c>
      <c r="T1066">
        <v>22.33</v>
      </c>
      <c r="U1066">
        <v>0.68</v>
      </c>
      <c r="V1066">
        <v>1.7015590200445432</v>
      </c>
      <c r="W1066">
        <v>0.3108296213808463</v>
      </c>
      <c r="X1066">
        <v>2.37</v>
      </c>
      <c r="Y1066">
        <v>25.32</v>
      </c>
      <c r="Z1066">
        <v>58.4</v>
      </c>
      <c r="AA1066">
        <v>8.2200000000000006</v>
      </c>
      <c r="AB1066">
        <v>11</v>
      </c>
      <c r="AC1066">
        <v>21.77</v>
      </c>
      <c r="AD1066">
        <v>0.51</v>
      </c>
      <c r="AE1066">
        <v>1.6890410958904112</v>
      </c>
      <c r="AF1066">
        <v>0.27958047945205483</v>
      </c>
      <c r="AG1066">
        <v>0.1</v>
      </c>
      <c r="AH1066">
        <v>27.71</v>
      </c>
      <c r="AI1066">
        <v>22.5</v>
      </c>
    </row>
    <row r="1067" spans="1:36" x14ac:dyDescent="0.5">
      <c r="A1067">
        <v>30</v>
      </c>
      <c r="B1067">
        <v>200</v>
      </c>
      <c r="C1067">
        <v>0.1</v>
      </c>
      <c r="D1067">
        <v>40</v>
      </c>
      <c r="E1067">
        <v>500</v>
      </c>
      <c r="F1067">
        <v>200</v>
      </c>
      <c r="G1067">
        <v>5</v>
      </c>
      <c r="O1067">
        <v>87.31</v>
      </c>
      <c r="P1067">
        <v>10.32</v>
      </c>
      <c r="Q1067">
        <v>53.88</v>
      </c>
      <c r="R1067">
        <v>7.64</v>
      </c>
      <c r="S1067">
        <v>13.1</v>
      </c>
      <c r="T1067">
        <v>22.33</v>
      </c>
      <c r="U1067">
        <v>0.68</v>
      </c>
      <c r="V1067">
        <v>1.7015590200445432</v>
      </c>
      <c r="W1067">
        <v>0.3108296213808463</v>
      </c>
      <c r="X1067">
        <v>2.37</v>
      </c>
      <c r="Y1067">
        <v>25.32</v>
      </c>
      <c r="Z1067">
        <v>61.4</v>
      </c>
      <c r="AA1067">
        <v>8.6999999999999993</v>
      </c>
      <c r="AB1067">
        <v>9.34</v>
      </c>
      <c r="AC1067">
        <v>19.690000000000001</v>
      </c>
      <c r="AD1067">
        <v>0.42</v>
      </c>
      <c r="AE1067">
        <v>1.7003257328990229</v>
      </c>
      <c r="AF1067">
        <v>0.24051302931596094</v>
      </c>
      <c r="AG1067">
        <v>0.45</v>
      </c>
      <c r="AH1067">
        <v>29.54</v>
      </c>
      <c r="AI1067">
        <v>8</v>
      </c>
    </row>
    <row r="1068" spans="1:36" x14ac:dyDescent="0.5">
      <c r="A1068">
        <v>30</v>
      </c>
      <c r="B1068">
        <v>220</v>
      </c>
      <c r="C1068">
        <v>0.1</v>
      </c>
      <c r="D1068">
        <v>40</v>
      </c>
      <c r="E1068">
        <v>500</v>
      </c>
      <c r="F1068">
        <v>200</v>
      </c>
      <c r="G1068">
        <v>5</v>
      </c>
      <c r="O1068">
        <v>87.31</v>
      </c>
      <c r="P1068">
        <v>10.32</v>
      </c>
      <c r="Q1068">
        <v>53.88</v>
      </c>
      <c r="R1068">
        <v>7.64</v>
      </c>
      <c r="S1068">
        <v>13.1</v>
      </c>
      <c r="T1068">
        <v>22.33</v>
      </c>
      <c r="U1068">
        <v>0.68</v>
      </c>
      <c r="V1068">
        <v>1.7015590200445432</v>
      </c>
      <c r="W1068">
        <v>0.3108296213808463</v>
      </c>
      <c r="X1068">
        <v>2.37</v>
      </c>
      <c r="Y1068">
        <v>25.32</v>
      </c>
      <c r="Z1068">
        <v>66.099999999999994</v>
      </c>
      <c r="AA1068">
        <v>9.9</v>
      </c>
      <c r="AB1068">
        <v>6.46</v>
      </c>
      <c r="AC1068">
        <v>16.22</v>
      </c>
      <c r="AD1068">
        <v>0.3</v>
      </c>
      <c r="AE1068">
        <v>1.7972768532526477</v>
      </c>
      <c r="AF1068">
        <v>0.1840393343419062</v>
      </c>
      <c r="AG1068">
        <v>1.02</v>
      </c>
      <c r="AH1068">
        <v>32.97</v>
      </c>
      <c r="AI1068">
        <v>4.0999999999999996</v>
      </c>
    </row>
    <row r="1069" spans="1:36" x14ac:dyDescent="0.5">
      <c r="A1069">
        <v>30</v>
      </c>
      <c r="B1069">
        <v>180</v>
      </c>
      <c r="C1069">
        <v>0.1</v>
      </c>
      <c r="D1069">
        <v>40</v>
      </c>
      <c r="E1069">
        <v>500</v>
      </c>
      <c r="F1069">
        <v>200</v>
      </c>
      <c r="G1069">
        <v>5</v>
      </c>
      <c r="O1069">
        <v>86.25</v>
      </c>
      <c r="P1069">
        <v>13.46</v>
      </c>
      <c r="Q1069">
        <v>44.33</v>
      </c>
      <c r="R1069">
        <v>6.49</v>
      </c>
      <c r="S1069">
        <v>1.2</v>
      </c>
      <c r="T1069">
        <v>46.88</v>
      </c>
      <c r="U1069">
        <v>0.81</v>
      </c>
      <c r="V1069">
        <v>1.7568238213399505</v>
      </c>
      <c r="W1069">
        <v>0.79314234152943841</v>
      </c>
      <c r="X1069">
        <v>0.28999999999999998</v>
      </c>
      <c r="Y1069">
        <v>18.329999999999998</v>
      </c>
      <c r="Z1069">
        <v>46.8</v>
      </c>
      <c r="AA1069">
        <v>6.21</v>
      </c>
      <c r="AB1069">
        <v>2.35</v>
      </c>
      <c r="AC1069">
        <v>43.78</v>
      </c>
      <c r="AD1069">
        <v>0.6</v>
      </c>
      <c r="AE1069">
        <v>1.5923076923076924</v>
      </c>
      <c r="AF1069">
        <v>0.70160256410256416</v>
      </c>
      <c r="AG1069">
        <v>15.1</v>
      </c>
      <c r="AH1069">
        <v>15.1</v>
      </c>
      <c r="AI1069">
        <v>19.149999999999999</v>
      </c>
    </row>
    <row r="1070" spans="1:36" x14ac:dyDescent="0.5">
      <c r="A1070">
        <v>30</v>
      </c>
      <c r="B1070">
        <v>200</v>
      </c>
      <c r="C1070">
        <v>0.1</v>
      </c>
      <c r="D1070">
        <v>40</v>
      </c>
      <c r="E1070">
        <v>500</v>
      </c>
      <c r="F1070">
        <v>200</v>
      </c>
      <c r="G1070">
        <v>5</v>
      </c>
      <c r="O1070">
        <v>86.25</v>
      </c>
      <c r="P1070">
        <v>13.46</v>
      </c>
      <c r="Q1070">
        <v>44.33</v>
      </c>
      <c r="R1070">
        <v>6.49</v>
      </c>
      <c r="S1070">
        <v>1.2</v>
      </c>
      <c r="T1070">
        <v>46.88</v>
      </c>
      <c r="U1070">
        <v>0.81</v>
      </c>
      <c r="V1070">
        <v>1.7568238213399505</v>
      </c>
      <c r="W1070">
        <v>0.79314234152943841</v>
      </c>
      <c r="X1070">
        <v>0.28999999999999998</v>
      </c>
      <c r="Y1070">
        <v>18.329999999999998</v>
      </c>
      <c r="Z1070">
        <v>58.6</v>
      </c>
      <c r="AA1070">
        <v>5.72</v>
      </c>
      <c r="AB1070">
        <v>4.2699999999999996</v>
      </c>
      <c r="AC1070">
        <v>30.68</v>
      </c>
      <c r="AD1070">
        <v>0.57999999999999996</v>
      </c>
      <c r="AE1070">
        <v>1.1713310580204777</v>
      </c>
      <c r="AF1070">
        <v>0.39266211604095558</v>
      </c>
      <c r="AG1070">
        <v>11.2</v>
      </c>
      <c r="AH1070">
        <v>11.2</v>
      </c>
      <c r="AI1070">
        <v>24.02</v>
      </c>
    </row>
    <row r="1071" spans="1:36" x14ac:dyDescent="0.5">
      <c r="A1071">
        <v>30</v>
      </c>
      <c r="B1071">
        <v>220</v>
      </c>
      <c r="C1071">
        <v>0.1</v>
      </c>
      <c r="D1071">
        <v>40</v>
      </c>
      <c r="E1071">
        <v>500</v>
      </c>
      <c r="F1071">
        <v>200</v>
      </c>
      <c r="G1071">
        <v>5</v>
      </c>
      <c r="O1071">
        <v>86.25</v>
      </c>
      <c r="P1071">
        <v>13.46</v>
      </c>
      <c r="Q1071">
        <v>44.33</v>
      </c>
      <c r="R1071">
        <v>6.49</v>
      </c>
      <c r="S1071">
        <v>1.2</v>
      </c>
      <c r="T1071">
        <v>46.88</v>
      </c>
      <c r="U1071">
        <v>0.81</v>
      </c>
      <c r="V1071">
        <v>1.7568238213399505</v>
      </c>
      <c r="W1071">
        <v>0.79314234152943841</v>
      </c>
      <c r="X1071">
        <v>0.28999999999999998</v>
      </c>
      <c r="Y1071">
        <v>18.329999999999998</v>
      </c>
      <c r="Z1071">
        <v>65.599999999999994</v>
      </c>
      <c r="AA1071">
        <v>4.9000000000000004</v>
      </c>
      <c r="AB1071">
        <v>2.0299999999999998</v>
      </c>
      <c r="AC1071">
        <v>26.4</v>
      </c>
      <c r="AD1071">
        <v>0.55000000000000004</v>
      </c>
      <c r="AE1071">
        <v>0.89634146341463439</v>
      </c>
      <c r="AF1071">
        <v>0.30182926829268297</v>
      </c>
      <c r="AG1071">
        <v>36.4</v>
      </c>
      <c r="AH1071">
        <v>36.4</v>
      </c>
      <c r="AI1071">
        <v>25.96</v>
      </c>
    </row>
    <row r="1072" spans="1:36" x14ac:dyDescent="0.5">
      <c r="A1072">
        <v>240</v>
      </c>
      <c r="B1072">
        <v>180</v>
      </c>
      <c r="C1072">
        <v>0.1</v>
      </c>
      <c r="D1072">
        <v>20</v>
      </c>
      <c r="E1072">
        <v>600</v>
      </c>
      <c r="F1072">
        <v>160</v>
      </c>
      <c r="G1072">
        <v>8</v>
      </c>
      <c r="K1072">
        <v>38.799999999999997</v>
      </c>
      <c r="L1072">
        <v>23.8</v>
      </c>
      <c r="M1072">
        <v>22.7</v>
      </c>
      <c r="N1072">
        <v>5.2</v>
      </c>
      <c r="O1072">
        <v>86.7</v>
      </c>
      <c r="P1072">
        <v>2.6</v>
      </c>
      <c r="Q1072">
        <v>48.6</v>
      </c>
      <c r="R1072">
        <v>4.9000000000000004</v>
      </c>
      <c r="S1072">
        <v>1.1000000000000001</v>
      </c>
      <c r="T1072">
        <v>39.9</v>
      </c>
      <c r="U1072">
        <v>0</v>
      </c>
      <c r="V1072">
        <v>1.2098765432098766</v>
      </c>
      <c r="W1072">
        <v>0.6157407407407407</v>
      </c>
      <c r="X1072">
        <v>5.6</v>
      </c>
      <c r="Y1072">
        <v>16.301850000000002</v>
      </c>
      <c r="Z1072">
        <v>53.2</v>
      </c>
      <c r="AA1072">
        <v>5.2</v>
      </c>
      <c r="AB1072">
        <v>1.3</v>
      </c>
      <c r="AC1072">
        <v>32.9</v>
      </c>
      <c r="AD1072">
        <v>0</v>
      </c>
      <c r="AE1072">
        <v>1.1729323308270676</v>
      </c>
      <c r="AF1072">
        <v>0.46381578947368418</v>
      </c>
      <c r="AG1072">
        <v>8.1</v>
      </c>
      <c r="AH1072">
        <v>19.534550000000003</v>
      </c>
      <c r="AI1072">
        <v>60.5</v>
      </c>
      <c r="AJ1072" t="s">
        <v>277</v>
      </c>
    </row>
    <row r="1073" spans="1:36" x14ac:dyDescent="0.5">
      <c r="A1073">
        <v>240</v>
      </c>
      <c r="B1073">
        <v>240</v>
      </c>
      <c r="C1073">
        <v>0.1</v>
      </c>
      <c r="D1073">
        <v>20</v>
      </c>
      <c r="E1073">
        <v>600</v>
      </c>
      <c r="F1073">
        <v>160</v>
      </c>
      <c r="G1073">
        <v>8</v>
      </c>
      <c r="K1073">
        <v>38.799999999999997</v>
      </c>
      <c r="L1073">
        <v>23.8</v>
      </c>
      <c r="M1073">
        <v>22.7</v>
      </c>
      <c r="N1073">
        <v>5.2</v>
      </c>
      <c r="O1073">
        <v>86.7</v>
      </c>
      <c r="P1073">
        <v>2.6</v>
      </c>
      <c r="Q1073">
        <v>48.6</v>
      </c>
      <c r="R1073">
        <v>4.9000000000000004</v>
      </c>
      <c r="S1073">
        <v>1.1000000000000001</v>
      </c>
      <c r="T1073">
        <v>39.9</v>
      </c>
      <c r="U1073">
        <v>0</v>
      </c>
      <c r="V1073">
        <v>1.2098765432098766</v>
      </c>
      <c r="W1073">
        <v>0.6157407407407407</v>
      </c>
      <c r="X1073">
        <v>5.6</v>
      </c>
      <c r="Y1073">
        <v>16.301850000000002</v>
      </c>
      <c r="Z1073">
        <v>68.099999999999994</v>
      </c>
      <c r="AA1073">
        <v>5.5</v>
      </c>
      <c r="AB1073">
        <v>2.1</v>
      </c>
      <c r="AC1073">
        <v>18.5</v>
      </c>
      <c r="AD1073">
        <v>0</v>
      </c>
      <c r="AE1073">
        <v>0.96916299559471364</v>
      </c>
      <c r="AF1073">
        <v>0.20374449339207049</v>
      </c>
      <c r="AG1073">
        <v>5.6</v>
      </c>
      <c r="AH1073">
        <v>27.56955</v>
      </c>
      <c r="AI1073">
        <v>42.5</v>
      </c>
    </row>
    <row r="1074" spans="1:36" x14ac:dyDescent="0.5">
      <c r="A1074">
        <v>240</v>
      </c>
      <c r="B1074">
        <v>300</v>
      </c>
      <c r="C1074">
        <v>0.1</v>
      </c>
      <c r="D1074">
        <v>20</v>
      </c>
      <c r="E1074">
        <v>600</v>
      </c>
      <c r="F1074">
        <v>160</v>
      </c>
      <c r="G1074">
        <v>8</v>
      </c>
      <c r="K1074">
        <v>38.799999999999997</v>
      </c>
      <c r="L1074">
        <v>23.8</v>
      </c>
      <c r="M1074">
        <v>22.7</v>
      </c>
      <c r="N1074">
        <v>5.2</v>
      </c>
      <c r="O1074">
        <v>86.7</v>
      </c>
      <c r="P1074">
        <v>2.6</v>
      </c>
      <c r="Q1074">
        <v>48.6</v>
      </c>
      <c r="R1074">
        <v>4.9000000000000004</v>
      </c>
      <c r="S1074">
        <v>1.1000000000000001</v>
      </c>
      <c r="T1074">
        <v>39.9</v>
      </c>
      <c r="U1074">
        <v>0</v>
      </c>
      <c r="V1074">
        <v>1.2098765432098766</v>
      </c>
      <c r="W1074">
        <v>0.6157407407407407</v>
      </c>
      <c r="X1074">
        <v>5.6</v>
      </c>
      <c r="Y1074">
        <v>16.301850000000002</v>
      </c>
      <c r="Z1074">
        <v>72</v>
      </c>
      <c r="AA1074">
        <v>5.0999999999999996</v>
      </c>
      <c r="AB1074">
        <v>2.1</v>
      </c>
      <c r="AC1074">
        <v>13.9</v>
      </c>
      <c r="AD1074">
        <v>0</v>
      </c>
      <c r="AE1074">
        <v>0.85</v>
      </c>
      <c r="AF1074">
        <v>0.14479166666666668</v>
      </c>
      <c r="AG1074">
        <v>7.2</v>
      </c>
      <c r="AH1074">
        <v>29.137650000000001</v>
      </c>
      <c r="AI1074">
        <v>25.5</v>
      </c>
    </row>
    <row r="1075" spans="1:36" x14ac:dyDescent="0.5">
      <c r="A1075">
        <v>240</v>
      </c>
      <c r="B1075">
        <v>180</v>
      </c>
      <c r="C1075">
        <v>0.1</v>
      </c>
      <c r="D1075">
        <v>20</v>
      </c>
      <c r="E1075">
        <v>600</v>
      </c>
      <c r="F1075">
        <v>160</v>
      </c>
      <c r="G1075">
        <v>8</v>
      </c>
      <c r="K1075">
        <v>10.199999999999999</v>
      </c>
      <c r="L1075">
        <v>22.9</v>
      </c>
      <c r="M1075">
        <v>9.4</v>
      </c>
      <c r="N1075">
        <v>4.4000000000000004</v>
      </c>
      <c r="O1075">
        <v>37.799999999999997</v>
      </c>
      <c r="P1075">
        <v>10.8</v>
      </c>
      <c r="Q1075">
        <v>21</v>
      </c>
      <c r="R1075">
        <v>1.8</v>
      </c>
      <c r="S1075">
        <v>1.5</v>
      </c>
      <c r="T1075">
        <v>28.6</v>
      </c>
      <c r="U1075">
        <v>0</v>
      </c>
      <c r="V1075">
        <v>1.0285714285714287</v>
      </c>
      <c r="W1075">
        <v>1.0214285714285716</v>
      </c>
      <c r="X1075">
        <v>47.1</v>
      </c>
      <c r="Y1075">
        <v>4.5633000000000008</v>
      </c>
      <c r="Z1075">
        <v>21.3</v>
      </c>
      <c r="AA1075">
        <v>2.2000000000000002</v>
      </c>
      <c r="AB1075">
        <v>1.5</v>
      </c>
      <c r="AC1075">
        <v>7</v>
      </c>
      <c r="AD1075">
        <v>0</v>
      </c>
      <c r="AE1075">
        <v>1.2394366197183098</v>
      </c>
      <c r="AF1075">
        <v>0.2464788732394366</v>
      </c>
      <c r="AG1075">
        <v>63.8</v>
      </c>
      <c r="AH1075">
        <v>9.0914999999999999</v>
      </c>
      <c r="AI1075">
        <v>67.5</v>
      </c>
    </row>
    <row r="1076" spans="1:36" x14ac:dyDescent="0.5">
      <c r="A1076">
        <v>240</v>
      </c>
      <c r="B1076">
        <v>240</v>
      </c>
      <c r="C1076">
        <v>0.1</v>
      </c>
      <c r="D1076">
        <v>20</v>
      </c>
      <c r="E1076">
        <v>600</v>
      </c>
      <c r="F1076">
        <v>160</v>
      </c>
      <c r="G1076">
        <v>8</v>
      </c>
      <c r="K1076">
        <v>10.199999999999999</v>
      </c>
      <c r="L1076">
        <v>22.9</v>
      </c>
      <c r="M1076">
        <v>9.4</v>
      </c>
      <c r="N1076">
        <v>4.4000000000000004</v>
      </c>
      <c r="O1076">
        <v>37.799999999999997</v>
      </c>
      <c r="P1076">
        <v>10.8</v>
      </c>
      <c r="Q1076">
        <v>21</v>
      </c>
      <c r="R1076">
        <v>1.8</v>
      </c>
      <c r="S1076">
        <v>1.5</v>
      </c>
      <c r="T1076">
        <v>28.6</v>
      </c>
      <c r="U1076">
        <v>0</v>
      </c>
      <c r="V1076">
        <v>1.0285714285714287</v>
      </c>
      <c r="W1076">
        <v>1.0214285714285716</v>
      </c>
      <c r="X1076">
        <v>47.1</v>
      </c>
      <c r="Y1076">
        <v>4.5633000000000008</v>
      </c>
      <c r="Z1076">
        <v>19.8</v>
      </c>
      <c r="AA1076">
        <v>1.6</v>
      </c>
      <c r="AB1076">
        <v>1.7</v>
      </c>
      <c r="AC1076">
        <v>3.9</v>
      </c>
      <c r="AD1076">
        <v>0</v>
      </c>
      <c r="AE1076">
        <v>0.96969696969696972</v>
      </c>
      <c r="AF1076">
        <v>0.14772727272727271</v>
      </c>
      <c r="AG1076">
        <v>73.2</v>
      </c>
      <c r="AH1076">
        <v>8.2810500000000005</v>
      </c>
      <c r="AI1076">
        <v>58.5</v>
      </c>
    </row>
    <row r="1077" spans="1:36" x14ac:dyDescent="0.5">
      <c r="A1077">
        <v>240</v>
      </c>
      <c r="B1077">
        <v>300</v>
      </c>
      <c r="C1077">
        <v>0.1</v>
      </c>
      <c r="D1077">
        <v>20</v>
      </c>
      <c r="E1077">
        <v>600</v>
      </c>
      <c r="F1077">
        <v>160</v>
      </c>
      <c r="G1077">
        <v>8</v>
      </c>
      <c r="K1077">
        <v>10.199999999999999</v>
      </c>
      <c r="L1077">
        <v>22.9</v>
      </c>
      <c r="M1077">
        <v>9.4</v>
      </c>
      <c r="N1077">
        <v>4.4000000000000004</v>
      </c>
      <c r="O1077">
        <v>37.799999999999997</v>
      </c>
      <c r="P1077">
        <v>10.8</v>
      </c>
      <c r="Q1077">
        <v>21</v>
      </c>
      <c r="R1077">
        <v>1.8</v>
      </c>
      <c r="S1077">
        <v>1.5</v>
      </c>
      <c r="T1077">
        <v>28.6</v>
      </c>
      <c r="U1077">
        <v>0</v>
      </c>
      <c r="V1077">
        <v>1.0285714285714287</v>
      </c>
      <c r="W1077">
        <v>1.0214285714285716</v>
      </c>
      <c r="X1077">
        <v>47.1</v>
      </c>
      <c r="Y1077">
        <v>4.5633000000000008</v>
      </c>
      <c r="Z1077">
        <v>17</v>
      </c>
      <c r="AA1077">
        <v>1.4</v>
      </c>
      <c r="AB1077">
        <v>1.3</v>
      </c>
      <c r="AC1077">
        <v>4.2</v>
      </c>
      <c r="AD1077">
        <v>0</v>
      </c>
      <c r="AE1077">
        <v>0.98823529411764699</v>
      </c>
      <c r="AF1077">
        <v>0.18529411764705883</v>
      </c>
      <c r="AG1077">
        <v>77.3</v>
      </c>
      <c r="AH1077">
        <v>6.9954999999999998</v>
      </c>
      <c r="AI1077">
        <v>60</v>
      </c>
    </row>
    <row r="1078" spans="1:36" x14ac:dyDescent="0.5">
      <c r="A1078">
        <v>240</v>
      </c>
      <c r="B1078">
        <v>180</v>
      </c>
      <c r="C1078">
        <v>0.1</v>
      </c>
      <c r="D1078">
        <v>20</v>
      </c>
      <c r="E1078">
        <v>600</v>
      </c>
      <c r="F1078">
        <v>160</v>
      </c>
      <c r="G1078">
        <v>8</v>
      </c>
      <c r="K1078">
        <v>61</v>
      </c>
      <c r="L1078">
        <v>8.1999999999999993</v>
      </c>
      <c r="M1078">
        <v>18.8</v>
      </c>
      <c r="N1078">
        <v>5</v>
      </c>
      <c r="O1078">
        <v>94.1</v>
      </c>
      <c r="P1078">
        <v>0.1</v>
      </c>
      <c r="Q1078">
        <v>53.7</v>
      </c>
      <c r="R1078">
        <v>5.4</v>
      </c>
      <c r="S1078">
        <v>0.2</v>
      </c>
      <c r="T1078">
        <v>40</v>
      </c>
      <c r="U1078">
        <v>0</v>
      </c>
      <c r="V1078">
        <v>1.206703910614525</v>
      </c>
      <c r="W1078">
        <v>0.55865921787709494</v>
      </c>
      <c r="X1078">
        <v>0.8</v>
      </c>
      <c r="Y1078">
        <v>18.721800000000002</v>
      </c>
      <c r="Z1078">
        <v>66.599999999999994</v>
      </c>
      <c r="AA1078">
        <v>4.5999999999999996</v>
      </c>
      <c r="AB1078">
        <v>0.2</v>
      </c>
      <c r="AC1078">
        <v>28.2</v>
      </c>
      <c r="AD1078">
        <v>0</v>
      </c>
      <c r="AE1078">
        <v>0.8288288288288288</v>
      </c>
      <c r="AF1078">
        <v>0.31756756756756754</v>
      </c>
      <c r="AG1078">
        <v>0.4</v>
      </c>
      <c r="AH1078">
        <v>24.0459</v>
      </c>
      <c r="AI1078">
        <v>72</v>
      </c>
    </row>
    <row r="1079" spans="1:36" x14ac:dyDescent="0.5">
      <c r="A1079">
        <v>240</v>
      </c>
      <c r="B1079">
        <v>240</v>
      </c>
      <c r="C1079">
        <v>0.1</v>
      </c>
      <c r="D1079">
        <v>20</v>
      </c>
      <c r="E1079">
        <v>600</v>
      </c>
      <c r="F1079">
        <v>160</v>
      </c>
      <c r="G1079">
        <v>8</v>
      </c>
      <c r="K1079">
        <v>61</v>
      </c>
      <c r="L1079">
        <v>8.1999999999999993</v>
      </c>
      <c r="M1079">
        <v>18.8</v>
      </c>
      <c r="N1079">
        <v>5</v>
      </c>
      <c r="O1079">
        <v>94.1</v>
      </c>
      <c r="P1079">
        <v>0.1</v>
      </c>
      <c r="Q1079">
        <v>53.7</v>
      </c>
      <c r="R1079">
        <v>5.4</v>
      </c>
      <c r="S1079">
        <v>0.2</v>
      </c>
      <c r="T1079">
        <v>40</v>
      </c>
      <c r="U1079">
        <v>0</v>
      </c>
      <c r="V1079">
        <v>1.206703910614525</v>
      </c>
      <c r="W1079">
        <v>0.55865921787709494</v>
      </c>
      <c r="X1079">
        <v>0.8</v>
      </c>
      <c r="Y1079">
        <v>18.721800000000002</v>
      </c>
      <c r="Z1079">
        <v>71.7</v>
      </c>
      <c r="AA1079">
        <v>4.5999999999999996</v>
      </c>
      <c r="AB1079">
        <v>0.1</v>
      </c>
      <c r="AC1079">
        <v>23.5</v>
      </c>
      <c r="AD1079">
        <v>0</v>
      </c>
      <c r="AE1079">
        <v>0.7698744769874476</v>
      </c>
      <c r="AF1079">
        <v>0.24581589958158995</v>
      </c>
      <c r="AG1079">
        <v>0</v>
      </c>
      <c r="AH1079">
        <v>26.608650000000004</v>
      </c>
      <c r="AI1079">
        <v>54.5</v>
      </c>
    </row>
    <row r="1080" spans="1:36" x14ac:dyDescent="0.5">
      <c r="A1080">
        <v>240</v>
      </c>
      <c r="B1080">
        <v>300</v>
      </c>
      <c r="C1080">
        <v>0.1</v>
      </c>
      <c r="D1080">
        <v>20</v>
      </c>
      <c r="E1080">
        <v>600</v>
      </c>
      <c r="F1080">
        <v>160</v>
      </c>
      <c r="G1080">
        <v>8</v>
      </c>
      <c r="K1080">
        <v>61</v>
      </c>
      <c r="L1080">
        <v>8.1999999999999993</v>
      </c>
      <c r="M1080">
        <v>18.8</v>
      </c>
      <c r="N1080">
        <v>5</v>
      </c>
      <c r="O1080">
        <v>94.1</v>
      </c>
      <c r="P1080">
        <v>0.1</v>
      </c>
      <c r="Q1080">
        <v>53.7</v>
      </c>
      <c r="R1080">
        <v>5.4</v>
      </c>
      <c r="S1080">
        <v>0.2</v>
      </c>
      <c r="T1080">
        <v>40</v>
      </c>
      <c r="U1080">
        <v>0</v>
      </c>
      <c r="V1080">
        <v>1.206703910614525</v>
      </c>
      <c r="W1080">
        <v>0.55865921787709494</v>
      </c>
      <c r="X1080">
        <v>0.8</v>
      </c>
      <c r="Y1080">
        <v>18.721800000000002</v>
      </c>
      <c r="Z1080">
        <v>75.400000000000006</v>
      </c>
      <c r="AA1080">
        <v>4.0999999999999996</v>
      </c>
      <c r="AB1080">
        <v>0.2</v>
      </c>
      <c r="AC1080">
        <v>20.100000000000001</v>
      </c>
      <c r="AD1080">
        <v>0</v>
      </c>
      <c r="AE1080">
        <v>0.65251989389920406</v>
      </c>
      <c r="AF1080">
        <v>0.19993368700265252</v>
      </c>
      <c r="AG1080">
        <v>0.2</v>
      </c>
      <c r="AH1080">
        <v>27.75215</v>
      </c>
      <c r="AI1080">
        <v>43</v>
      </c>
    </row>
    <row r="1081" spans="1:36" x14ac:dyDescent="0.5">
      <c r="A1081">
        <v>240</v>
      </c>
      <c r="B1081">
        <v>180</v>
      </c>
      <c r="C1081">
        <v>0.1</v>
      </c>
      <c r="D1081">
        <v>20</v>
      </c>
      <c r="E1081">
        <v>600</v>
      </c>
      <c r="F1081">
        <v>160</v>
      </c>
      <c r="G1081">
        <v>8</v>
      </c>
      <c r="K1081">
        <v>29.7</v>
      </c>
      <c r="L1081">
        <v>34.4</v>
      </c>
      <c r="M1081">
        <v>21.2</v>
      </c>
      <c r="N1081">
        <v>8.6999999999999993</v>
      </c>
      <c r="O1081">
        <v>84.9</v>
      </c>
      <c r="P1081">
        <v>0</v>
      </c>
      <c r="Q1081">
        <v>49.7</v>
      </c>
      <c r="R1081">
        <v>5.0999999999999996</v>
      </c>
      <c r="S1081">
        <v>0.7</v>
      </c>
      <c r="T1081">
        <v>38.1</v>
      </c>
      <c r="U1081">
        <v>0</v>
      </c>
      <c r="V1081">
        <v>1.2313883299798791</v>
      </c>
      <c r="W1081">
        <v>0.57494969818913488</v>
      </c>
      <c r="X1081">
        <v>6.4</v>
      </c>
      <c r="Y1081">
        <v>17.280549999999998</v>
      </c>
      <c r="Z1081">
        <v>61.1</v>
      </c>
      <c r="AA1081">
        <v>4.5999999999999996</v>
      </c>
      <c r="AB1081">
        <v>0.9</v>
      </c>
      <c r="AC1081">
        <v>28</v>
      </c>
      <c r="AD1081">
        <v>0</v>
      </c>
      <c r="AE1081">
        <v>0.9034369885433714</v>
      </c>
      <c r="AF1081">
        <v>0.34369885433715219</v>
      </c>
      <c r="AG1081">
        <v>5.3</v>
      </c>
      <c r="AH1081">
        <v>22.2226</v>
      </c>
      <c r="AI1081">
        <v>69.5</v>
      </c>
    </row>
    <row r="1082" spans="1:36" x14ac:dyDescent="0.5">
      <c r="A1082">
        <v>240</v>
      </c>
      <c r="B1082">
        <v>240</v>
      </c>
      <c r="C1082">
        <v>0.1</v>
      </c>
      <c r="D1082">
        <v>20</v>
      </c>
      <c r="E1082">
        <v>600</v>
      </c>
      <c r="F1082">
        <v>160</v>
      </c>
      <c r="G1082">
        <v>8</v>
      </c>
      <c r="K1082">
        <v>29.7</v>
      </c>
      <c r="L1082">
        <v>34.4</v>
      </c>
      <c r="M1082">
        <v>21.2</v>
      </c>
      <c r="N1082">
        <v>8.6999999999999993</v>
      </c>
      <c r="O1082">
        <v>84.9</v>
      </c>
      <c r="P1082">
        <v>0</v>
      </c>
      <c r="Q1082">
        <v>49.7</v>
      </c>
      <c r="R1082">
        <v>5.0999999999999996</v>
      </c>
      <c r="S1082">
        <v>0.7</v>
      </c>
      <c r="T1082">
        <v>38.1</v>
      </c>
      <c r="U1082">
        <v>0</v>
      </c>
      <c r="V1082">
        <v>1.2313883299798791</v>
      </c>
      <c r="W1082">
        <v>0.57494969818913488</v>
      </c>
      <c r="X1082">
        <v>6.4</v>
      </c>
      <c r="Y1082">
        <v>17.280549999999998</v>
      </c>
      <c r="Z1082">
        <v>66.7</v>
      </c>
      <c r="AA1082">
        <v>4.5</v>
      </c>
      <c r="AB1082">
        <v>0.9</v>
      </c>
      <c r="AC1082">
        <v>21.9</v>
      </c>
      <c r="AD1082">
        <v>0</v>
      </c>
      <c r="AE1082">
        <v>0.80959520239880056</v>
      </c>
      <c r="AF1082">
        <v>0.2462518740629685</v>
      </c>
      <c r="AG1082">
        <v>6</v>
      </c>
      <c r="AH1082">
        <v>25.061450000000004</v>
      </c>
      <c r="AI1082">
        <v>42.5</v>
      </c>
    </row>
    <row r="1083" spans="1:36" x14ac:dyDescent="0.5">
      <c r="A1083">
        <v>240</v>
      </c>
      <c r="B1083">
        <v>300</v>
      </c>
      <c r="C1083">
        <v>0.1</v>
      </c>
      <c r="D1083">
        <v>20</v>
      </c>
      <c r="E1083">
        <v>600</v>
      </c>
      <c r="F1083">
        <v>160</v>
      </c>
      <c r="G1083">
        <v>8</v>
      </c>
      <c r="K1083">
        <v>29.7</v>
      </c>
      <c r="L1083">
        <v>34.4</v>
      </c>
      <c r="M1083">
        <v>21.2</v>
      </c>
      <c r="N1083">
        <v>8.6999999999999993</v>
      </c>
      <c r="O1083">
        <v>84.9</v>
      </c>
      <c r="P1083">
        <v>0</v>
      </c>
      <c r="Q1083">
        <v>49.7</v>
      </c>
      <c r="R1083">
        <v>5.0999999999999996</v>
      </c>
      <c r="S1083">
        <v>0.7</v>
      </c>
      <c r="T1083">
        <v>38.1</v>
      </c>
      <c r="U1083">
        <v>0</v>
      </c>
      <c r="V1083">
        <v>1.2313883299798791</v>
      </c>
      <c r="W1083">
        <v>0.57494969818913488</v>
      </c>
      <c r="X1083">
        <v>6.4</v>
      </c>
      <c r="Y1083">
        <v>17.280549999999998</v>
      </c>
      <c r="Z1083">
        <v>68.900000000000006</v>
      </c>
      <c r="AA1083">
        <v>4</v>
      </c>
      <c r="AB1083">
        <v>1.2</v>
      </c>
      <c r="AC1083">
        <v>18.600000000000001</v>
      </c>
      <c r="AD1083">
        <v>0</v>
      </c>
      <c r="AE1083">
        <v>0.69666182873730043</v>
      </c>
      <c r="AF1083">
        <v>0.20246734397677793</v>
      </c>
      <c r="AG1083">
        <v>7.9</v>
      </c>
      <c r="AH1083">
        <v>25.680100000000003</v>
      </c>
      <c r="AI1083">
        <v>30</v>
      </c>
    </row>
    <row r="1084" spans="1:36" x14ac:dyDescent="0.5">
      <c r="A1084">
        <v>0</v>
      </c>
      <c r="B1084">
        <v>100</v>
      </c>
      <c r="C1084">
        <v>0.1</v>
      </c>
      <c r="D1084">
        <v>50</v>
      </c>
      <c r="E1084">
        <v>200</v>
      </c>
      <c r="F1084">
        <v>100</v>
      </c>
      <c r="G1084">
        <v>2</v>
      </c>
      <c r="O1084">
        <v>56.88</v>
      </c>
      <c r="P1084">
        <v>8</v>
      </c>
      <c r="Q1084">
        <v>34.409999999999997</v>
      </c>
      <c r="R1084">
        <v>5.21</v>
      </c>
      <c r="S1084">
        <v>4.75</v>
      </c>
      <c r="T1084">
        <v>23.28</v>
      </c>
      <c r="U1084">
        <v>1.73</v>
      </c>
      <c r="V1084">
        <v>1.81691368788143</v>
      </c>
      <c r="W1084">
        <v>0.50741063644289464</v>
      </c>
      <c r="X1084">
        <v>30.63</v>
      </c>
      <c r="Y1084">
        <v>15.2</v>
      </c>
      <c r="Z1084">
        <v>34.79</v>
      </c>
      <c r="AA1084">
        <v>4.74</v>
      </c>
      <c r="AB1084">
        <v>4.4400000000000004</v>
      </c>
      <c r="AC1084">
        <v>24.26</v>
      </c>
      <c r="AD1084">
        <v>1.65</v>
      </c>
      <c r="AE1084">
        <v>1.6349525725783274</v>
      </c>
      <c r="AF1084">
        <v>0.52299511353837314</v>
      </c>
      <c r="AG1084">
        <v>30.14</v>
      </c>
      <c r="AH1084">
        <v>14.68</v>
      </c>
      <c r="AI1084">
        <v>81.36</v>
      </c>
      <c r="AJ1084" t="s">
        <v>280</v>
      </c>
    </row>
    <row r="1085" spans="1:36" x14ac:dyDescent="0.5">
      <c r="A1085">
        <v>30</v>
      </c>
      <c r="B1085">
        <v>100</v>
      </c>
      <c r="C1085">
        <v>0.1</v>
      </c>
      <c r="D1085">
        <v>50</v>
      </c>
      <c r="E1085">
        <v>200</v>
      </c>
      <c r="F1085">
        <v>100</v>
      </c>
      <c r="G1085">
        <v>2</v>
      </c>
      <c r="O1085">
        <v>56.88</v>
      </c>
      <c r="P1085">
        <v>8</v>
      </c>
      <c r="Q1085">
        <v>34.409999999999997</v>
      </c>
      <c r="R1085">
        <v>5.21</v>
      </c>
      <c r="S1085">
        <v>4.75</v>
      </c>
      <c r="T1085">
        <v>23.28</v>
      </c>
      <c r="U1085">
        <v>1.73</v>
      </c>
      <c r="V1085">
        <v>1.81691368788143</v>
      </c>
      <c r="W1085">
        <v>0.50741063644289464</v>
      </c>
      <c r="X1085">
        <v>30.63</v>
      </c>
      <c r="Y1085">
        <v>15.2</v>
      </c>
      <c r="Z1085">
        <v>34.53</v>
      </c>
      <c r="AA1085">
        <v>4.7699999999999996</v>
      </c>
      <c r="AB1085">
        <v>4.37</v>
      </c>
      <c r="AC1085">
        <v>26.26</v>
      </c>
      <c r="AD1085">
        <v>1.76</v>
      </c>
      <c r="AE1085">
        <v>1.6576889661164205</v>
      </c>
      <c r="AF1085">
        <v>0.57037358818418771</v>
      </c>
      <c r="AG1085">
        <v>28.32</v>
      </c>
      <c r="AH1085">
        <v>14.48</v>
      </c>
      <c r="AI1085">
        <v>85.31</v>
      </c>
    </row>
    <row r="1086" spans="1:36" x14ac:dyDescent="0.5">
      <c r="A1086">
        <v>60</v>
      </c>
      <c r="B1086">
        <v>100</v>
      </c>
      <c r="C1086">
        <v>0.1</v>
      </c>
      <c r="D1086">
        <v>50</v>
      </c>
      <c r="E1086">
        <v>200</v>
      </c>
      <c r="F1086">
        <v>100</v>
      </c>
      <c r="G1086">
        <v>2</v>
      </c>
      <c r="O1086">
        <v>56.88</v>
      </c>
      <c r="P1086">
        <v>8</v>
      </c>
      <c r="Q1086">
        <v>34.409999999999997</v>
      </c>
      <c r="R1086">
        <v>5.21</v>
      </c>
      <c r="S1086">
        <v>4.75</v>
      </c>
      <c r="T1086">
        <v>23.28</v>
      </c>
      <c r="U1086">
        <v>1.73</v>
      </c>
      <c r="V1086">
        <v>1.81691368788143</v>
      </c>
      <c r="W1086">
        <v>0.50741063644289464</v>
      </c>
      <c r="X1086">
        <v>30.63</v>
      </c>
      <c r="Y1086">
        <v>15.2</v>
      </c>
      <c r="Z1086">
        <v>33.700000000000003</v>
      </c>
      <c r="AA1086">
        <v>4.66</v>
      </c>
      <c r="AB1086">
        <v>4.4800000000000004</v>
      </c>
      <c r="AC1086">
        <v>31.65</v>
      </c>
      <c r="AD1086">
        <v>1.59</v>
      </c>
      <c r="AE1086">
        <v>1.659347181008902</v>
      </c>
      <c r="AF1086">
        <v>0.70437685459940647</v>
      </c>
      <c r="AG1086">
        <v>23.92</v>
      </c>
      <c r="AH1086">
        <v>13.57</v>
      </c>
      <c r="AI1086">
        <v>78.28</v>
      </c>
    </row>
    <row r="1087" spans="1:36" x14ac:dyDescent="0.5">
      <c r="A1087">
        <v>0</v>
      </c>
      <c r="B1087">
        <v>150</v>
      </c>
      <c r="C1087">
        <v>0.1</v>
      </c>
      <c r="D1087">
        <v>50</v>
      </c>
      <c r="E1087">
        <v>200</v>
      </c>
      <c r="F1087">
        <v>100</v>
      </c>
      <c r="G1087">
        <v>2</v>
      </c>
      <c r="O1087">
        <v>56.88</v>
      </c>
      <c r="P1087">
        <v>8</v>
      </c>
      <c r="Q1087">
        <v>34.409999999999997</v>
      </c>
      <c r="R1087">
        <v>5.21</v>
      </c>
      <c r="S1087">
        <v>4.75</v>
      </c>
      <c r="T1087">
        <v>23.28</v>
      </c>
      <c r="U1087">
        <v>1.73</v>
      </c>
      <c r="V1087">
        <v>1.81691368788143</v>
      </c>
      <c r="W1087">
        <v>0.50741063644289464</v>
      </c>
      <c r="X1087">
        <v>30.63</v>
      </c>
      <c r="Y1087">
        <v>15.2</v>
      </c>
      <c r="Z1087">
        <v>33.04</v>
      </c>
      <c r="AA1087">
        <v>4.53</v>
      </c>
      <c r="AB1087">
        <v>4.2300000000000004</v>
      </c>
      <c r="AC1087">
        <v>25.97</v>
      </c>
      <c r="AD1087">
        <v>1.6</v>
      </c>
      <c r="AE1087">
        <v>1.6452784503631961</v>
      </c>
      <c r="AF1087">
        <v>0.58951271186440679</v>
      </c>
      <c r="AG1087">
        <v>30.64</v>
      </c>
      <c r="AH1087">
        <v>13.64</v>
      </c>
      <c r="AI1087">
        <v>77.569999999999993</v>
      </c>
    </row>
    <row r="1088" spans="1:36" x14ac:dyDescent="0.5">
      <c r="A1088">
        <v>30</v>
      </c>
      <c r="B1088">
        <v>150</v>
      </c>
      <c r="C1088">
        <v>0.1</v>
      </c>
      <c r="D1088">
        <v>50</v>
      </c>
      <c r="E1088">
        <v>200</v>
      </c>
      <c r="F1088">
        <v>100</v>
      </c>
      <c r="G1088">
        <v>2</v>
      </c>
      <c r="O1088">
        <v>56.88</v>
      </c>
      <c r="P1088">
        <v>8</v>
      </c>
      <c r="Q1088">
        <v>34.409999999999997</v>
      </c>
      <c r="R1088">
        <v>5.21</v>
      </c>
      <c r="S1088">
        <v>4.75</v>
      </c>
      <c r="T1088">
        <v>23.28</v>
      </c>
      <c r="U1088">
        <v>1.73</v>
      </c>
      <c r="V1088">
        <v>1.81691368788143</v>
      </c>
      <c r="W1088">
        <v>0.50741063644289464</v>
      </c>
      <c r="X1088">
        <v>30.63</v>
      </c>
      <c r="Y1088">
        <v>15.2</v>
      </c>
      <c r="Z1088">
        <v>37.22</v>
      </c>
      <c r="AA1088">
        <v>4.99</v>
      </c>
      <c r="AB1088">
        <v>4.45</v>
      </c>
      <c r="AC1088">
        <v>20.79</v>
      </c>
      <c r="AD1088">
        <v>1.67</v>
      </c>
      <c r="AE1088">
        <v>1.6088124664159056</v>
      </c>
      <c r="AF1088">
        <v>0.4189279957012359</v>
      </c>
      <c r="AG1088">
        <v>30.9</v>
      </c>
      <c r="AH1088">
        <v>16.170000000000002</v>
      </c>
      <c r="AI1088">
        <v>86.26</v>
      </c>
    </row>
    <row r="1089" spans="1:35" x14ac:dyDescent="0.5">
      <c r="A1089">
        <v>60</v>
      </c>
      <c r="B1089">
        <v>150</v>
      </c>
      <c r="C1089">
        <v>0.1</v>
      </c>
      <c r="D1089">
        <v>50</v>
      </c>
      <c r="E1089">
        <v>200</v>
      </c>
      <c r="F1089">
        <v>100</v>
      </c>
      <c r="G1089">
        <v>2</v>
      </c>
      <c r="O1089">
        <v>56.88</v>
      </c>
      <c r="P1089">
        <v>8</v>
      </c>
      <c r="Q1089">
        <v>34.409999999999997</v>
      </c>
      <c r="R1089">
        <v>5.21</v>
      </c>
      <c r="S1089">
        <v>4.75</v>
      </c>
      <c r="T1089">
        <v>23.28</v>
      </c>
      <c r="U1089">
        <v>1.73</v>
      </c>
      <c r="V1089">
        <v>1.81691368788143</v>
      </c>
      <c r="W1089">
        <v>0.50741063644289464</v>
      </c>
      <c r="X1089">
        <v>30.63</v>
      </c>
      <c r="Y1089">
        <v>15.2</v>
      </c>
      <c r="Z1089">
        <v>32.36</v>
      </c>
      <c r="AA1089">
        <v>4.32</v>
      </c>
      <c r="AB1089">
        <v>3.96</v>
      </c>
      <c r="AC1089">
        <v>26.38</v>
      </c>
      <c r="AD1089">
        <v>1.57</v>
      </c>
      <c r="AE1089">
        <v>1.6019777503090236</v>
      </c>
      <c r="AF1089">
        <v>0.61140296662546345</v>
      </c>
      <c r="AG1089">
        <v>31.41</v>
      </c>
      <c r="AH1089">
        <v>13.1</v>
      </c>
      <c r="AI1089">
        <v>81.16</v>
      </c>
    </row>
    <row r="1090" spans="1:35" x14ac:dyDescent="0.5">
      <c r="A1090">
        <v>0</v>
      </c>
      <c r="B1090">
        <v>200</v>
      </c>
      <c r="C1090">
        <v>0.1</v>
      </c>
      <c r="D1090">
        <v>50</v>
      </c>
      <c r="E1090">
        <v>200</v>
      </c>
      <c r="F1090">
        <v>100</v>
      </c>
      <c r="G1090">
        <v>2</v>
      </c>
      <c r="O1090">
        <v>56.88</v>
      </c>
      <c r="P1090">
        <v>8</v>
      </c>
      <c r="Q1090">
        <v>34.409999999999997</v>
      </c>
      <c r="R1090">
        <v>5.21</v>
      </c>
      <c r="S1090">
        <v>4.75</v>
      </c>
      <c r="T1090">
        <v>23.28</v>
      </c>
      <c r="U1090">
        <v>1.73</v>
      </c>
      <c r="V1090">
        <v>1.81691368788143</v>
      </c>
      <c r="W1090">
        <v>0.50741063644289464</v>
      </c>
      <c r="X1090">
        <v>30.63</v>
      </c>
      <c r="Y1090">
        <v>15.2</v>
      </c>
      <c r="Z1090">
        <v>34.85</v>
      </c>
      <c r="AA1090">
        <v>4.45</v>
      </c>
      <c r="AB1090">
        <v>3.93</v>
      </c>
      <c r="AC1090">
        <v>19.96</v>
      </c>
      <c r="AD1090">
        <v>1.61</v>
      </c>
      <c r="AE1090">
        <v>1.5322812051649928</v>
      </c>
      <c r="AF1090">
        <v>0.42955523672883789</v>
      </c>
      <c r="AG1090">
        <v>35.21</v>
      </c>
      <c r="AH1090">
        <v>14.71</v>
      </c>
      <c r="AI1090">
        <v>73.73</v>
      </c>
    </row>
    <row r="1091" spans="1:35" x14ac:dyDescent="0.5">
      <c r="A1091">
        <v>30</v>
      </c>
      <c r="B1091">
        <v>200</v>
      </c>
      <c r="C1091">
        <v>0.1</v>
      </c>
      <c r="D1091">
        <v>50</v>
      </c>
      <c r="E1091">
        <v>200</v>
      </c>
      <c r="F1091">
        <v>100</v>
      </c>
      <c r="G1091">
        <v>2</v>
      </c>
      <c r="O1091">
        <v>56.88</v>
      </c>
      <c r="P1091">
        <v>8</v>
      </c>
      <c r="Q1091">
        <v>34.409999999999997</v>
      </c>
      <c r="R1091">
        <v>5.21</v>
      </c>
      <c r="S1091">
        <v>4.75</v>
      </c>
      <c r="T1091">
        <v>23.28</v>
      </c>
      <c r="U1091">
        <v>1.73</v>
      </c>
      <c r="V1091">
        <v>1.81691368788143</v>
      </c>
      <c r="W1091">
        <v>0.50741063644289464</v>
      </c>
      <c r="X1091">
        <v>30.63</v>
      </c>
      <c r="Y1091">
        <v>15.2</v>
      </c>
      <c r="Z1091">
        <v>35.04</v>
      </c>
      <c r="AA1091">
        <v>4.26</v>
      </c>
      <c r="AB1091">
        <v>3.56</v>
      </c>
      <c r="AC1091">
        <v>19.350000000000001</v>
      </c>
      <c r="AD1091">
        <v>1.59</v>
      </c>
      <c r="AE1091">
        <v>1.4589041095890412</v>
      </c>
      <c r="AF1091">
        <v>0.41416952054794526</v>
      </c>
      <c r="AG1091">
        <v>36.22</v>
      </c>
      <c r="AH1091">
        <v>14.59</v>
      </c>
      <c r="AI1091">
        <v>89.01</v>
      </c>
    </row>
    <row r="1092" spans="1:35" x14ac:dyDescent="0.5">
      <c r="A1092">
        <v>60</v>
      </c>
      <c r="B1092">
        <v>200</v>
      </c>
      <c r="C1092">
        <v>0.1</v>
      </c>
      <c r="D1092">
        <v>50</v>
      </c>
      <c r="E1092">
        <v>200</v>
      </c>
      <c r="F1092">
        <v>100</v>
      </c>
      <c r="G1092">
        <v>2</v>
      </c>
      <c r="O1092">
        <v>56.88</v>
      </c>
      <c r="P1092">
        <v>8</v>
      </c>
      <c r="Q1092">
        <v>34.409999999999997</v>
      </c>
      <c r="R1092">
        <v>5.21</v>
      </c>
      <c r="S1092">
        <v>4.75</v>
      </c>
      <c r="T1092">
        <v>23.28</v>
      </c>
      <c r="U1092">
        <v>1.73</v>
      </c>
      <c r="V1092">
        <v>1.81691368788143</v>
      </c>
      <c r="W1092">
        <v>0.50741063644289464</v>
      </c>
      <c r="X1092">
        <v>30.63</v>
      </c>
      <c r="Y1092">
        <v>15.2</v>
      </c>
      <c r="Z1092">
        <v>34.32</v>
      </c>
      <c r="AA1092">
        <v>4.09</v>
      </c>
      <c r="AB1092">
        <v>3.22</v>
      </c>
      <c r="AC1092">
        <v>18.420000000000002</v>
      </c>
      <c r="AD1092">
        <v>1.65</v>
      </c>
      <c r="AE1092">
        <v>1.43006993006993</v>
      </c>
      <c r="AF1092">
        <v>0.40253496503496511</v>
      </c>
      <c r="AG1092">
        <v>38.31</v>
      </c>
      <c r="AH1092">
        <v>14.21</v>
      </c>
      <c r="AI1092">
        <v>80.78</v>
      </c>
    </row>
  </sheetData>
  <phoneticPr fontId="21" type="noConversion"/>
  <hyperlinks>
    <hyperlink ref="AJ2" r:id="rId1" xr:uid="{A8614AD7-A356-4B6B-9959-BEFBB3D2D5B1}"/>
    <hyperlink ref="AJ8" r:id="rId2" xr:uid="{C0344421-51E1-49AE-9A97-228B137E7A49}"/>
    <hyperlink ref="AJ24" r:id="rId3" xr:uid="{707F8EF1-8C82-49BE-A320-23116A552B24}"/>
    <hyperlink ref="AJ30" r:id="rId4" xr:uid="{53CD425F-E67C-47C2-9B9A-57136D04660C}"/>
    <hyperlink ref="AJ37" r:id="rId5" xr:uid="{D42213DA-4AAC-4191-A4A8-2E9F6BD88CA2}"/>
    <hyperlink ref="AJ66" r:id="rId6" xr:uid="{E01AC96F-AF7C-4A20-BFDE-9EC7B535B337}"/>
    <hyperlink ref="AJ74" r:id="rId7" xr:uid="{10C3E8E4-9E90-406D-9AF3-2FE3A397187E}"/>
    <hyperlink ref="AJ80" r:id="rId8" xr:uid="{DCBF946C-920A-47AC-A619-33CD59572F5A}"/>
    <hyperlink ref="AJ102" r:id="rId9" xr:uid="{F33A8C85-B50B-453C-A56F-15317A6A2BBC}"/>
    <hyperlink ref="AJ96" r:id="rId10" xr:uid="{9D3A4EE6-737A-4FA5-ABC2-E06B5530A5F6}"/>
    <hyperlink ref="AJ114" r:id="rId11" xr:uid="{EE7EAD10-960F-411A-8D0D-2B4AE7165721}"/>
    <hyperlink ref="AJ122" r:id="rId12" xr:uid="{1BFA7BA4-FC92-49E8-869B-0EF44026C31F}"/>
    <hyperlink ref="AJ130" r:id="rId13" xr:uid="{E0E414DF-4AA9-4D6B-B864-822BFAE64427}"/>
    <hyperlink ref="AJ131" r:id="rId14" xr:uid="{17D05729-DCAA-47B1-AC7F-E7242C40E489}"/>
    <hyperlink ref="AJ145" r:id="rId15" xr:uid="{84F6AB38-B54B-4A6C-A8A4-23875D1A5BD0}"/>
    <hyperlink ref="AJ175" r:id="rId16" xr:uid="{834A1234-EE7C-40B3-A191-6795D7A3B2AD}"/>
    <hyperlink ref="AJ226" r:id="rId17" xr:uid="{A34CB13D-D42E-4BC0-87AB-846107C613A7}"/>
    <hyperlink ref="AJ238" r:id="rId18" xr:uid="{D60332E9-6F7A-4574-B08B-96C539AE0575}"/>
    <hyperlink ref="AJ253" r:id="rId19" xr:uid="{E8470DB4-B940-4201-A538-BEB4C2E02A01}"/>
    <hyperlink ref="AJ277" r:id="rId20" xr:uid="{28C1AB99-0DB4-4C7C-A0F4-92C7A899CBC6}"/>
    <hyperlink ref="AJ283" r:id="rId21" xr:uid="{0C28AC79-BB3A-4E87-98BD-B43714F35A15}"/>
    <hyperlink ref="AJ310" r:id="rId22" xr:uid="{F1F0841C-E0C9-4FB5-8947-513C3EA9505E}"/>
  </hyperlinks>
  <pageMargins left="0.7" right="0.7" top="0.75" bottom="0.75" header="0.3" footer="0.3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92"/>
  <sheetViews>
    <sheetView topLeftCell="Z1" zoomScale="85" zoomScaleNormal="66" workbookViewId="0">
      <pane ySplit="1" topLeftCell="A2" activePane="bottomLeft" state="frozen"/>
      <selection activeCell="W1" sqref="W1"/>
      <selection pane="bottomLeft" activeCell="AK1" sqref="AK1:AK1048576"/>
    </sheetView>
  </sheetViews>
  <sheetFormatPr defaultColWidth="11.1875" defaultRowHeight="15.75" x14ac:dyDescent="0.5"/>
  <cols>
    <col min="1" max="1" width="11" customWidth="1"/>
    <col min="2" max="2" width="9" customWidth="1"/>
    <col min="3" max="3" width="15.0625" customWidth="1"/>
    <col min="4" max="4" width="18.3125" customWidth="1"/>
    <col min="5" max="5" width="17.5625" customWidth="1"/>
    <col min="6" max="6" width="10.5625" customWidth="1"/>
    <col min="7" max="7" width="12.125" style="3" bestFit="1" customWidth="1"/>
    <col min="8" max="8" width="11.1875" customWidth="1"/>
    <col min="9" max="9" width="9" customWidth="1"/>
    <col min="10" max="10" width="16.3125" customWidth="1"/>
    <col min="11" max="11" width="5.9375" bestFit="1" customWidth="1"/>
    <col min="12" max="12" width="10.125" customWidth="1"/>
    <col min="13" max="13" width="5.9375" bestFit="1" customWidth="1"/>
    <col min="14" max="14" width="8.3125" customWidth="1"/>
    <col min="15" max="15" width="8" customWidth="1"/>
    <col min="16" max="16" width="7" style="3" customWidth="1"/>
    <col min="17" max="17" width="6.625" customWidth="1"/>
    <col min="18" max="18" width="6.8125" customWidth="1"/>
    <col min="19" max="19" width="6.9375" customWidth="1"/>
    <col min="20" max="20" width="7" bestFit="1" customWidth="1"/>
    <col min="21" max="21" width="6.5625" customWidth="1"/>
    <col min="22" max="23" width="12.125" bestFit="1" customWidth="1"/>
    <col min="24" max="24" width="5.9375" bestFit="1" customWidth="1"/>
    <col min="25" max="25" width="12.875" style="3" customWidth="1"/>
    <col min="26" max="26" width="7.1875" customWidth="1"/>
    <col min="27" max="27" width="7.4375" customWidth="1"/>
    <col min="28" max="29" width="7.5" customWidth="1"/>
    <col min="30" max="30" width="7.125" customWidth="1"/>
    <col min="31" max="32" width="12.125" bestFit="1" customWidth="1"/>
    <col min="33" max="33" width="6.5625" style="3" customWidth="1"/>
    <col min="34" max="34" width="13.4375" customWidth="1"/>
    <col min="35" max="35" width="12.25" style="3" customWidth="1"/>
    <col min="36" max="36" width="46.375" bestFit="1" customWidth="1"/>
    <col min="37" max="37" width="28.75" bestFit="1" customWidth="1"/>
    <col min="38" max="38" width="9.75" customWidth="1"/>
    <col min="40" max="40" width="10" bestFit="1" customWidth="1"/>
  </cols>
  <sheetData>
    <row r="1" spans="1:3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24</v>
      </c>
      <c r="O1" t="s">
        <v>21</v>
      </c>
      <c r="P1" s="3" t="s">
        <v>22</v>
      </c>
      <c r="Q1" t="s">
        <v>10</v>
      </c>
      <c r="R1" t="s">
        <v>11</v>
      </c>
      <c r="S1" t="s">
        <v>12</v>
      </c>
      <c r="T1" t="s">
        <v>13</v>
      </c>
      <c r="U1" t="s">
        <v>23</v>
      </c>
      <c r="V1" t="s">
        <v>14</v>
      </c>
      <c r="W1" t="s">
        <v>15</v>
      </c>
      <c r="X1" t="s">
        <v>32</v>
      </c>
      <c r="Y1" s="3" t="s">
        <v>31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s="3" t="s">
        <v>40</v>
      </c>
      <c r="AH1" t="s">
        <v>16</v>
      </c>
      <c r="AI1" s="3" t="s">
        <v>20</v>
      </c>
      <c r="AJ1" s="1" t="s">
        <v>25</v>
      </c>
      <c r="AK1" s="1" t="s">
        <v>26</v>
      </c>
      <c r="AL1" t="s">
        <v>283</v>
      </c>
    </row>
    <row r="2" spans="1:38" x14ac:dyDescent="0.5">
      <c r="A2">
        <v>60</v>
      </c>
      <c r="B2">
        <v>190</v>
      </c>
      <c r="C2">
        <v>0.1</v>
      </c>
      <c r="D2">
        <v>150</v>
      </c>
      <c r="E2">
        <v>1000</v>
      </c>
      <c r="F2">
        <v>300</v>
      </c>
      <c r="G2" s="3">
        <f>F2/D2</f>
        <v>2</v>
      </c>
      <c r="O2">
        <v>84.8</v>
      </c>
      <c r="P2" s="3">
        <v>13.8</v>
      </c>
      <c r="Q2">
        <v>53.9</v>
      </c>
      <c r="R2">
        <v>8.9</v>
      </c>
      <c r="S2">
        <v>1.7</v>
      </c>
      <c r="T2">
        <v>33.700000000000003</v>
      </c>
      <c r="U2">
        <v>0.4</v>
      </c>
      <c r="V2">
        <f>(R2/1)/(Q2/12)</f>
        <v>1.9814471243042675</v>
      </c>
      <c r="W2">
        <f>(T2/16)/(Q2/12)</f>
        <v>0.46892393320964759</v>
      </c>
      <c r="X2">
        <v>1.4</v>
      </c>
      <c r="Y2" s="3">
        <v>26</v>
      </c>
      <c r="Z2">
        <v>72.7</v>
      </c>
      <c r="AA2">
        <v>10.3</v>
      </c>
      <c r="AB2">
        <v>1.9</v>
      </c>
      <c r="AC2">
        <v>12.6</v>
      </c>
      <c r="AD2">
        <v>0.2</v>
      </c>
      <c r="AE2">
        <f t="shared" ref="AE2:AE7" si="0">(AA2/1)/(Z2/12)</f>
        <v>1.7001375515818433</v>
      </c>
      <c r="AF2">
        <f t="shared" ref="AF2:AF7" si="1">(AC2/16)/(Z2/12)</f>
        <v>0.12998624484181567</v>
      </c>
      <c r="AG2" s="3">
        <v>2.4</v>
      </c>
      <c r="AH2">
        <v>35.200000000000003</v>
      </c>
      <c r="AI2" s="3">
        <v>58</v>
      </c>
      <c r="AJ2" s="2" t="s">
        <v>27</v>
      </c>
      <c r="AK2" t="s">
        <v>28</v>
      </c>
      <c r="AL2">
        <v>1</v>
      </c>
    </row>
    <row r="3" spans="1:38" x14ac:dyDescent="0.5">
      <c r="A3">
        <v>60</v>
      </c>
      <c r="B3">
        <v>220</v>
      </c>
      <c r="C3">
        <v>0.1</v>
      </c>
      <c r="D3">
        <v>150</v>
      </c>
      <c r="E3">
        <v>1000</v>
      </c>
      <c r="F3">
        <v>300</v>
      </c>
      <c r="G3" s="3">
        <f t="shared" ref="G3:G8" si="2">F3/D3</f>
        <v>2</v>
      </c>
      <c r="O3">
        <v>84.8</v>
      </c>
      <c r="P3" s="3">
        <v>13.8</v>
      </c>
      <c r="Q3">
        <v>53.9</v>
      </c>
      <c r="R3">
        <v>8.9</v>
      </c>
      <c r="S3">
        <v>1.7</v>
      </c>
      <c r="T3">
        <v>33.700000000000003</v>
      </c>
      <c r="U3">
        <v>0.4</v>
      </c>
      <c r="V3">
        <f t="shared" ref="V3:V8" si="3">(R3/1)/(Q3/12)</f>
        <v>1.9814471243042675</v>
      </c>
      <c r="W3">
        <f t="shared" ref="W3:W8" si="4">(T3/16)/(Q3/12)</f>
        <v>0.46892393320964759</v>
      </c>
      <c r="X3">
        <v>1.4</v>
      </c>
      <c r="Y3" s="3">
        <v>26</v>
      </c>
      <c r="Z3">
        <v>73.5</v>
      </c>
      <c r="AA3">
        <v>9.6999999999999993</v>
      </c>
      <c r="AB3">
        <v>1.8</v>
      </c>
      <c r="AC3">
        <v>13.2</v>
      </c>
      <c r="AD3">
        <v>0.2</v>
      </c>
      <c r="AE3">
        <f t="shared" si="0"/>
        <v>1.583673469387755</v>
      </c>
      <c r="AF3">
        <f t="shared" si="1"/>
        <v>0.13469387755102041</v>
      </c>
      <c r="AG3" s="3">
        <v>1.5</v>
      </c>
      <c r="AH3">
        <v>35.200000000000003</v>
      </c>
      <c r="AI3" s="3">
        <v>65</v>
      </c>
    </row>
    <row r="4" spans="1:38" x14ac:dyDescent="0.5">
      <c r="A4">
        <v>60</v>
      </c>
      <c r="B4">
        <v>250</v>
      </c>
      <c r="C4">
        <v>0.1</v>
      </c>
      <c r="D4">
        <v>150</v>
      </c>
      <c r="E4">
        <v>1000</v>
      </c>
      <c r="F4">
        <v>300</v>
      </c>
      <c r="G4" s="3">
        <f t="shared" si="2"/>
        <v>2</v>
      </c>
      <c r="O4">
        <v>84.8</v>
      </c>
      <c r="P4" s="3">
        <v>13.8</v>
      </c>
      <c r="Q4">
        <v>53.9</v>
      </c>
      <c r="R4">
        <v>8.9</v>
      </c>
      <c r="S4">
        <v>1.7</v>
      </c>
      <c r="T4">
        <v>33.700000000000003</v>
      </c>
      <c r="U4">
        <v>0.4</v>
      </c>
      <c r="V4">
        <f t="shared" si="3"/>
        <v>1.9814471243042675</v>
      </c>
      <c r="W4">
        <f t="shared" si="4"/>
        <v>0.46892393320964759</v>
      </c>
      <c r="X4">
        <v>1.4</v>
      </c>
      <c r="Y4" s="3">
        <v>26</v>
      </c>
      <c r="Z4">
        <v>74.400000000000006</v>
      </c>
      <c r="AA4">
        <v>9.9</v>
      </c>
      <c r="AB4">
        <v>1.9</v>
      </c>
      <c r="AC4">
        <v>10.8</v>
      </c>
      <c r="AD4">
        <v>0.2</v>
      </c>
      <c r="AE4">
        <f t="shared" si="0"/>
        <v>1.596774193548387</v>
      </c>
      <c r="AF4">
        <f t="shared" si="1"/>
        <v>0.10887096774193548</v>
      </c>
      <c r="AG4" s="3">
        <v>2.9</v>
      </c>
      <c r="AH4">
        <v>35.6</v>
      </c>
      <c r="AI4" s="3">
        <v>65</v>
      </c>
    </row>
    <row r="5" spans="1:38" x14ac:dyDescent="0.5">
      <c r="A5">
        <v>60</v>
      </c>
      <c r="B5">
        <v>280</v>
      </c>
      <c r="C5">
        <v>0.1</v>
      </c>
      <c r="D5">
        <v>150</v>
      </c>
      <c r="E5">
        <v>1000</v>
      </c>
      <c r="F5">
        <v>300</v>
      </c>
      <c r="G5" s="3">
        <f t="shared" si="2"/>
        <v>2</v>
      </c>
      <c r="O5">
        <v>84.8</v>
      </c>
      <c r="P5" s="3">
        <v>13.8</v>
      </c>
      <c r="Q5">
        <v>53.9</v>
      </c>
      <c r="R5">
        <v>8.9</v>
      </c>
      <c r="S5">
        <v>1.7</v>
      </c>
      <c r="T5">
        <v>33.700000000000003</v>
      </c>
      <c r="U5">
        <v>0.4</v>
      </c>
      <c r="V5">
        <f t="shared" si="3"/>
        <v>1.9814471243042675</v>
      </c>
      <c r="W5">
        <f t="shared" si="4"/>
        <v>0.46892393320964759</v>
      </c>
      <c r="X5">
        <v>1.4</v>
      </c>
      <c r="Y5" s="3">
        <v>26</v>
      </c>
      <c r="Z5">
        <v>76.099999999999994</v>
      </c>
      <c r="AA5">
        <v>9.9</v>
      </c>
      <c r="AB5">
        <v>2</v>
      </c>
      <c r="AC5">
        <v>9.6999999999999993</v>
      </c>
      <c r="AD5">
        <v>0.1</v>
      </c>
      <c r="AE5">
        <f t="shared" si="0"/>
        <v>1.5611038107752959</v>
      </c>
      <c r="AF5">
        <f t="shared" si="1"/>
        <v>9.5597897503285151E-2</v>
      </c>
      <c r="AG5" s="3">
        <v>2.1</v>
      </c>
      <c r="AH5">
        <v>36.1</v>
      </c>
      <c r="AI5" s="3">
        <v>63</v>
      </c>
    </row>
    <row r="6" spans="1:38" x14ac:dyDescent="0.5">
      <c r="A6">
        <v>60</v>
      </c>
      <c r="B6">
        <v>310</v>
      </c>
      <c r="C6">
        <v>0.1</v>
      </c>
      <c r="D6">
        <v>150</v>
      </c>
      <c r="E6">
        <v>1000</v>
      </c>
      <c r="F6">
        <v>300</v>
      </c>
      <c r="G6" s="3">
        <f t="shared" si="2"/>
        <v>2</v>
      </c>
      <c r="O6">
        <v>84.8</v>
      </c>
      <c r="P6" s="3">
        <v>13.8</v>
      </c>
      <c r="Q6">
        <v>53.9</v>
      </c>
      <c r="R6">
        <v>8.9</v>
      </c>
      <c r="S6">
        <v>1.7</v>
      </c>
      <c r="T6">
        <v>33.700000000000003</v>
      </c>
      <c r="U6">
        <v>0.4</v>
      </c>
      <c r="V6">
        <f t="shared" si="3"/>
        <v>1.9814471243042675</v>
      </c>
      <c r="W6">
        <f t="shared" si="4"/>
        <v>0.46892393320964759</v>
      </c>
      <c r="X6">
        <v>1.4</v>
      </c>
      <c r="Y6" s="3">
        <v>26</v>
      </c>
      <c r="Z6">
        <v>77.400000000000006</v>
      </c>
      <c r="AA6">
        <v>10.199999999999999</v>
      </c>
      <c r="AB6">
        <v>2</v>
      </c>
      <c r="AC6">
        <v>7.1</v>
      </c>
      <c r="AD6">
        <v>0.1</v>
      </c>
      <c r="AE6">
        <f t="shared" si="0"/>
        <v>1.5813953488372092</v>
      </c>
      <c r="AF6">
        <f t="shared" si="1"/>
        <v>6.8798449612403098E-2</v>
      </c>
      <c r="AG6" s="3">
        <v>3.3</v>
      </c>
      <c r="AH6">
        <v>36.700000000000003</v>
      </c>
      <c r="AI6" s="3">
        <v>60</v>
      </c>
    </row>
    <row r="7" spans="1:38" x14ac:dyDescent="0.5">
      <c r="A7">
        <v>60</v>
      </c>
      <c r="B7">
        <v>340</v>
      </c>
      <c r="C7">
        <v>0.1</v>
      </c>
      <c r="D7">
        <v>150</v>
      </c>
      <c r="E7">
        <v>1000</v>
      </c>
      <c r="F7">
        <v>300</v>
      </c>
      <c r="G7" s="3">
        <f t="shared" si="2"/>
        <v>2</v>
      </c>
      <c r="O7">
        <v>84.8</v>
      </c>
      <c r="P7" s="3">
        <v>13.8</v>
      </c>
      <c r="Q7">
        <v>53.9</v>
      </c>
      <c r="R7">
        <v>8.9</v>
      </c>
      <c r="S7">
        <v>1.7</v>
      </c>
      <c r="T7">
        <v>33.700000000000003</v>
      </c>
      <c r="U7">
        <v>0.4</v>
      </c>
      <c r="V7">
        <f t="shared" si="3"/>
        <v>1.9814471243042675</v>
      </c>
      <c r="W7">
        <f t="shared" si="4"/>
        <v>0.46892393320964759</v>
      </c>
      <c r="X7">
        <v>1.4</v>
      </c>
      <c r="Y7" s="3">
        <v>26</v>
      </c>
      <c r="Z7">
        <v>77.599999999999994</v>
      </c>
      <c r="AA7">
        <v>10.199999999999999</v>
      </c>
      <c r="AB7">
        <v>2</v>
      </c>
      <c r="AC7">
        <v>8.5</v>
      </c>
      <c r="AD7">
        <v>0.1</v>
      </c>
      <c r="AE7">
        <f t="shared" si="0"/>
        <v>1.5773195876288661</v>
      </c>
      <c r="AF7">
        <f t="shared" si="1"/>
        <v>8.2152061855670117E-2</v>
      </c>
      <c r="AG7" s="3">
        <v>1.5</v>
      </c>
      <c r="AH7">
        <v>37.1</v>
      </c>
      <c r="AI7" s="3">
        <v>61</v>
      </c>
    </row>
    <row r="8" spans="1:38" x14ac:dyDescent="0.5">
      <c r="A8">
        <v>120</v>
      </c>
      <c r="B8">
        <v>150</v>
      </c>
      <c r="C8">
        <v>0.1</v>
      </c>
      <c r="D8">
        <v>10</v>
      </c>
      <c r="E8">
        <v>150</v>
      </c>
      <c r="F8">
        <v>90</v>
      </c>
      <c r="G8" s="3">
        <f t="shared" si="2"/>
        <v>9</v>
      </c>
      <c r="K8">
        <v>22.65</v>
      </c>
      <c r="L8">
        <v>49.35</v>
      </c>
      <c r="M8">
        <v>15.37</v>
      </c>
      <c r="N8">
        <v>14.54</v>
      </c>
      <c r="Q8">
        <v>43.67</v>
      </c>
      <c r="R8">
        <v>6.17</v>
      </c>
      <c r="S8">
        <v>1.4</v>
      </c>
      <c r="T8">
        <v>47.26</v>
      </c>
      <c r="U8">
        <v>0.09</v>
      </c>
      <c r="V8">
        <f t="shared" si="3"/>
        <v>1.6954430959468743</v>
      </c>
      <c r="W8">
        <f t="shared" si="4"/>
        <v>0.8116555988092512</v>
      </c>
      <c r="X8">
        <v>2.8</v>
      </c>
      <c r="Y8" s="3">
        <f>(0.338*Q8)+1.428*(R8-(T8/8))</f>
        <v>15.135310000000002</v>
      </c>
      <c r="Z8">
        <v>50.36</v>
      </c>
      <c r="AA8">
        <v>4.97</v>
      </c>
      <c r="AB8">
        <v>2.71</v>
      </c>
      <c r="AC8">
        <v>41.04</v>
      </c>
      <c r="AD8">
        <v>0.12</v>
      </c>
      <c r="AE8">
        <f>(AA8/1)/(Z8/12)</f>
        <v>1.1842732327243846</v>
      </c>
      <c r="AF8">
        <f>(AC8/16)/(Z8/12)</f>
        <v>0.61119936457505963</v>
      </c>
      <c r="AG8" s="3">
        <v>0.8</v>
      </c>
      <c r="AH8">
        <v>19.14</v>
      </c>
      <c r="AI8" s="3">
        <v>13.22</v>
      </c>
      <c r="AJ8" s="2" t="s">
        <v>29</v>
      </c>
      <c r="AK8" t="s">
        <v>30</v>
      </c>
      <c r="AL8">
        <v>2</v>
      </c>
    </row>
    <row r="9" spans="1:38" x14ac:dyDescent="0.5">
      <c r="A9">
        <v>240</v>
      </c>
      <c r="B9">
        <v>150</v>
      </c>
      <c r="C9">
        <v>0.1</v>
      </c>
      <c r="D9">
        <v>10</v>
      </c>
      <c r="E9">
        <v>150</v>
      </c>
      <c r="F9">
        <v>90</v>
      </c>
      <c r="G9" s="3">
        <f t="shared" ref="G9:G17" si="5">F9/D9</f>
        <v>9</v>
      </c>
      <c r="K9">
        <v>22.65</v>
      </c>
      <c r="L9">
        <v>49.35</v>
      </c>
      <c r="M9">
        <v>15.37</v>
      </c>
      <c r="N9">
        <v>14.54</v>
      </c>
      <c r="Q9">
        <v>43.67</v>
      </c>
      <c r="R9">
        <v>6.17</v>
      </c>
      <c r="S9">
        <v>1.4</v>
      </c>
      <c r="T9">
        <v>47.26</v>
      </c>
      <c r="U9">
        <v>0.09</v>
      </c>
      <c r="V9">
        <f t="shared" ref="V9:V17" si="6">(R9/1)/(Q9/12)</f>
        <v>1.6954430959468743</v>
      </c>
      <c r="W9">
        <f t="shared" ref="W9:W17" si="7">(T9/16)/(Q9/12)</f>
        <v>0.8116555988092512</v>
      </c>
      <c r="X9">
        <v>2.8</v>
      </c>
      <c r="Y9" s="3">
        <f t="shared" ref="Y9:Y16" si="8">(0.338*Q9)+1.428*(R9-(T9/8))</f>
        <v>15.135310000000002</v>
      </c>
      <c r="Z9">
        <v>54.25</v>
      </c>
      <c r="AA9">
        <v>4.97</v>
      </c>
      <c r="AB9">
        <v>2.54</v>
      </c>
      <c r="AC9">
        <v>37.36</v>
      </c>
      <c r="AD9">
        <v>0.1</v>
      </c>
      <c r="AE9">
        <f t="shared" ref="AE9:AE73" si="9">(AA9/1)/(Z9/12)</f>
        <v>1.0993548387096774</v>
      </c>
      <c r="AF9">
        <f t="shared" ref="AF9:AF73" si="10">(AC9/16)/(Z9/12)</f>
        <v>0.51649769585253458</v>
      </c>
      <c r="AG9" s="3">
        <v>0.78</v>
      </c>
      <c r="AH9">
        <v>20.88</v>
      </c>
      <c r="AI9" s="3">
        <v>14.98</v>
      </c>
    </row>
    <row r="10" spans="1:38" x14ac:dyDescent="0.5">
      <c r="A10">
        <v>360</v>
      </c>
      <c r="B10">
        <v>150</v>
      </c>
      <c r="C10">
        <v>0.1</v>
      </c>
      <c r="D10">
        <v>10</v>
      </c>
      <c r="E10">
        <v>150</v>
      </c>
      <c r="F10">
        <v>90</v>
      </c>
      <c r="G10" s="3">
        <f t="shared" si="5"/>
        <v>9</v>
      </c>
      <c r="K10">
        <v>22.65</v>
      </c>
      <c r="L10">
        <v>49.35</v>
      </c>
      <c r="M10">
        <v>15.37</v>
      </c>
      <c r="N10">
        <v>14.54</v>
      </c>
      <c r="Q10">
        <v>43.67</v>
      </c>
      <c r="R10">
        <v>6.17</v>
      </c>
      <c r="S10">
        <v>1.4</v>
      </c>
      <c r="T10">
        <v>47.26</v>
      </c>
      <c r="U10">
        <v>0.09</v>
      </c>
      <c r="V10">
        <f t="shared" si="6"/>
        <v>1.6954430959468743</v>
      </c>
      <c r="W10">
        <f t="shared" si="7"/>
        <v>0.8116555988092512</v>
      </c>
      <c r="X10">
        <v>2.8</v>
      </c>
      <c r="Y10" s="3">
        <f t="shared" si="8"/>
        <v>15.135310000000002</v>
      </c>
      <c r="Z10">
        <v>57.52</v>
      </c>
      <c r="AA10">
        <v>4.97</v>
      </c>
      <c r="AB10">
        <v>2.42</v>
      </c>
      <c r="AC10">
        <v>34.4</v>
      </c>
      <c r="AD10">
        <v>0.09</v>
      </c>
      <c r="AE10">
        <f t="shared" si="9"/>
        <v>1.036856745479833</v>
      </c>
      <c r="AF10">
        <f t="shared" si="10"/>
        <v>0.44853963838664807</v>
      </c>
      <c r="AG10" s="3">
        <v>0.6</v>
      </c>
      <c r="AH10">
        <v>22.33</v>
      </c>
      <c r="AI10" s="3">
        <v>17.61</v>
      </c>
    </row>
    <row r="11" spans="1:38" x14ac:dyDescent="0.5">
      <c r="A11">
        <v>120</v>
      </c>
      <c r="B11">
        <v>200</v>
      </c>
      <c r="C11">
        <v>0.1</v>
      </c>
      <c r="D11">
        <v>10</v>
      </c>
      <c r="E11">
        <v>150</v>
      </c>
      <c r="F11">
        <v>90</v>
      </c>
      <c r="G11" s="3">
        <f t="shared" si="5"/>
        <v>9</v>
      </c>
      <c r="K11">
        <v>22.65</v>
      </c>
      <c r="L11">
        <v>49.35</v>
      </c>
      <c r="M11">
        <v>15.37</v>
      </c>
      <c r="N11">
        <v>14.54</v>
      </c>
      <c r="Q11">
        <v>43.67</v>
      </c>
      <c r="R11">
        <v>6.17</v>
      </c>
      <c r="S11">
        <v>1.4</v>
      </c>
      <c r="T11">
        <v>47.26</v>
      </c>
      <c r="U11">
        <v>0.09</v>
      </c>
      <c r="V11">
        <f t="shared" si="6"/>
        <v>1.6954430959468743</v>
      </c>
      <c r="W11">
        <f t="shared" si="7"/>
        <v>0.8116555988092512</v>
      </c>
      <c r="X11">
        <v>2.8</v>
      </c>
      <c r="Y11" s="3">
        <f t="shared" si="8"/>
        <v>15.135310000000002</v>
      </c>
      <c r="Z11">
        <v>61.49</v>
      </c>
      <c r="AA11">
        <v>4.51</v>
      </c>
      <c r="AB11">
        <v>1.75</v>
      </c>
      <c r="AC11">
        <v>30.5</v>
      </c>
      <c r="AD11">
        <v>0</v>
      </c>
      <c r="AE11">
        <f t="shared" si="9"/>
        <v>0.88014311270125223</v>
      </c>
      <c r="AF11">
        <f t="shared" si="10"/>
        <v>0.37201170922101157</v>
      </c>
      <c r="AG11" s="3">
        <v>1.75</v>
      </c>
      <c r="AH11">
        <v>23.56</v>
      </c>
      <c r="AI11" s="3">
        <v>26.89</v>
      </c>
    </row>
    <row r="12" spans="1:38" x14ac:dyDescent="0.5">
      <c r="A12">
        <v>240</v>
      </c>
      <c r="B12">
        <v>200</v>
      </c>
      <c r="C12">
        <v>0.1</v>
      </c>
      <c r="D12">
        <v>10</v>
      </c>
      <c r="E12">
        <v>150</v>
      </c>
      <c r="F12">
        <v>90</v>
      </c>
      <c r="G12" s="3">
        <f t="shared" si="5"/>
        <v>9</v>
      </c>
      <c r="K12">
        <v>22.65</v>
      </c>
      <c r="L12">
        <v>49.35</v>
      </c>
      <c r="M12">
        <v>15.37</v>
      </c>
      <c r="N12">
        <v>14.54</v>
      </c>
      <c r="Q12">
        <v>43.67</v>
      </c>
      <c r="R12">
        <v>6.17</v>
      </c>
      <c r="S12">
        <v>1.4</v>
      </c>
      <c r="T12">
        <v>47.26</v>
      </c>
      <c r="U12">
        <v>0.09</v>
      </c>
      <c r="V12">
        <f t="shared" si="6"/>
        <v>1.6954430959468743</v>
      </c>
      <c r="W12">
        <f t="shared" si="7"/>
        <v>0.8116555988092512</v>
      </c>
      <c r="X12">
        <v>2.8</v>
      </c>
      <c r="Y12" s="3">
        <f t="shared" si="8"/>
        <v>15.135310000000002</v>
      </c>
      <c r="Z12">
        <v>64.760000000000005</v>
      </c>
      <c r="AA12">
        <v>4.6500000000000004</v>
      </c>
      <c r="AB12">
        <v>1.81</v>
      </c>
      <c r="AC12">
        <v>26.99</v>
      </c>
      <c r="AD12">
        <v>0</v>
      </c>
      <c r="AE12">
        <f t="shared" si="9"/>
        <v>0.86164298949969109</v>
      </c>
      <c r="AF12">
        <f t="shared" si="10"/>
        <v>0.31257720815318091</v>
      </c>
      <c r="AG12" s="3">
        <v>1.79</v>
      </c>
      <c r="AH12">
        <v>25.23</v>
      </c>
      <c r="AI12" s="3">
        <v>29.97</v>
      </c>
    </row>
    <row r="13" spans="1:38" x14ac:dyDescent="0.5">
      <c r="A13">
        <v>360</v>
      </c>
      <c r="B13">
        <v>200</v>
      </c>
      <c r="C13">
        <v>0.1</v>
      </c>
      <c r="D13">
        <v>10</v>
      </c>
      <c r="E13">
        <v>150</v>
      </c>
      <c r="F13">
        <v>90</v>
      </c>
      <c r="G13" s="3">
        <f t="shared" si="5"/>
        <v>9</v>
      </c>
      <c r="K13">
        <v>22.65</v>
      </c>
      <c r="L13">
        <v>49.35</v>
      </c>
      <c r="M13">
        <v>15.37</v>
      </c>
      <c r="N13">
        <v>14.54</v>
      </c>
      <c r="Q13">
        <v>43.67</v>
      </c>
      <c r="R13">
        <v>6.17</v>
      </c>
      <c r="S13">
        <v>1.4</v>
      </c>
      <c r="T13">
        <v>47.26</v>
      </c>
      <c r="U13">
        <v>0.09</v>
      </c>
      <c r="V13">
        <f t="shared" si="6"/>
        <v>1.6954430959468743</v>
      </c>
      <c r="W13">
        <f t="shared" si="7"/>
        <v>0.8116555988092512</v>
      </c>
      <c r="X13">
        <v>2.8</v>
      </c>
      <c r="Y13" s="3">
        <f t="shared" si="8"/>
        <v>15.135310000000002</v>
      </c>
      <c r="Z13">
        <v>66.87</v>
      </c>
      <c r="AA13">
        <v>4.7300000000000004</v>
      </c>
      <c r="AB13">
        <v>1.9</v>
      </c>
      <c r="AC13">
        <v>24.82</v>
      </c>
      <c r="AD13">
        <v>0</v>
      </c>
      <c r="AE13">
        <f t="shared" si="9"/>
        <v>0.84881112606550024</v>
      </c>
      <c r="AF13">
        <f t="shared" si="10"/>
        <v>0.27837595334230592</v>
      </c>
      <c r="AG13" s="3">
        <v>1.68</v>
      </c>
      <c r="AH13">
        <v>26.28</v>
      </c>
      <c r="AI13" s="3">
        <v>31.6</v>
      </c>
    </row>
    <row r="14" spans="1:38" x14ac:dyDescent="0.5">
      <c r="A14">
        <v>120</v>
      </c>
      <c r="B14">
        <v>250</v>
      </c>
      <c r="C14">
        <v>0.1</v>
      </c>
      <c r="D14">
        <v>10</v>
      </c>
      <c r="E14">
        <v>150</v>
      </c>
      <c r="F14">
        <v>90</v>
      </c>
      <c r="G14" s="3">
        <f t="shared" si="5"/>
        <v>9</v>
      </c>
      <c r="K14">
        <v>22.65</v>
      </c>
      <c r="L14">
        <v>49.35</v>
      </c>
      <c r="M14">
        <v>15.37</v>
      </c>
      <c r="N14">
        <v>14.54</v>
      </c>
      <c r="Q14">
        <v>43.67</v>
      </c>
      <c r="R14">
        <v>6.17</v>
      </c>
      <c r="S14">
        <v>1.4</v>
      </c>
      <c r="T14">
        <v>47.26</v>
      </c>
      <c r="U14">
        <v>0.09</v>
      </c>
      <c r="V14">
        <f t="shared" si="6"/>
        <v>1.6954430959468743</v>
      </c>
      <c r="W14">
        <f t="shared" si="7"/>
        <v>0.8116555988092512</v>
      </c>
      <c r="X14">
        <v>2.8</v>
      </c>
      <c r="Y14" s="3">
        <f t="shared" si="8"/>
        <v>15.135310000000002</v>
      </c>
      <c r="Z14">
        <v>67.55</v>
      </c>
      <c r="AA14">
        <v>4.4000000000000004</v>
      </c>
      <c r="AB14">
        <v>1.98</v>
      </c>
      <c r="AC14">
        <v>24.1</v>
      </c>
      <c r="AD14">
        <v>0</v>
      </c>
      <c r="AE14">
        <f t="shared" si="9"/>
        <v>0.78164322723908231</v>
      </c>
      <c r="AF14">
        <f t="shared" si="10"/>
        <v>0.26757957068837901</v>
      </c>
      <c r="AG14" s="3">
        <v>1.97</v>
      </c>
      <c r="AH14">
        <v>26.21</v>
      </c>
      <c r="AI14" s="3">
        <v>24.85</v>
      </c>
    </row>
    <row r="15" spans="1:38" x14ac:dyDescent="0.5">
      <c r="A15">
        <v>240</v>
      </c>
      <c r="B15">
        <v>250</v>
      </c>
      <c r="C15">
        <v>0.1</v>
      </c>
      <c r="D15">
        <v>10</v>
      </c>
      <c r="E15">
        <v>150</v>
      </c>
      <c r="F15">
        <v>90</v>
      </c>
      <c r="G15" s="3">
        <f t="shared" si="5"/>
        <v>9</v>
      </c>
      <c r="K15">
        <v>22.65</v>
      </c>
      <c r="L15">
        <v>49.35</v>
      </c>
      <c r="M15">
        <v>15.37</v>
      </c>
      <c r="N15">
        <v>14.54</v>
      </c>
      <c r="Q15">
        <v>43.67</v>
      </c>
      <c r="R15">
        <v>6.17</v>
      </c>
      <c r="S15">
        <v>1.4</v>
      </c>
      <c r="T15">
        <v>47.26</v>
      </c>
      <c r="U15">
        <v>0.09</v>
      </c>
      <c r="V15">
        <f t="shared" si="6"/>
        <v>1.6954430959468743</v>
      </c>
      <c r="W15">
        <f t="shared" si="7"/>
        <v>0.8116555988092512</v>
      </c>
      <c r="X15">
        <v>2.8</v>
      </c>
      <c r="Y15" s="3">
        <f t="shared" si="8"/>
        <v>15.135310000000002</v>
      </c>
      <c r="Z15">
        <v>70.16</v>
      </c>
      <c r="AA15">
        <v>4.78</v>
      </c>
      <c r="AB15">
        <v>2</v>
      </c>
      <c r="AC15">
        <v>20.77</v>
      </c>
      <c r="AD15">
        <v>0</v>
      </c>
      <c r="AE15">
        <f t="shared" si="9"/>
        <v>0.81755986316989737</v>
      </c>
      <c r="AF15">
        <f t="shared" si="10"/>
        <v>0.22202822120866589</v>
      </c>
      <c r="AG15" s="3">
        <v>2.29</v>
      </c>
      <c r="AH15">
        <v>27.89</v>
      </c>
      <c r="AI15" s="3">
        <v>24.51</v>
      </c>
    </row>
    <row r="16" spans="1:38" x14ac:dyDescent="0.5">
      <c r="A16">
        <v>360</v>
      </c>
      <c r="B16">
        <v>250</v>
      </c>
      <c r="C16">
        <v>0.1</v>
      </c>
      <c r="D16">
        <v>10</v>
      </c>
      <c r="E16">
        <v>150</v>
      </c>
      <c r="F16">
        <v>90</v>
      </c>
      <c r="G16" s="3">
        <f t="shared" si="5"/>
        <v>9</v>
      </c>
      <c r="K16">
        <v>22.65</v>
      </c>
      <c r="L16">
        <v>49.35</v>
      </c>
      <c r="M16">
        <v>15.37</v>
      </c>
      <c r="N16">
        <v>14.54</v>
      </c>
      <c r="Q16">
        <v>43.67</v>
      </c>
      <c r="R16">
        <v>6.17</v>
      </c>
      <c r="S16">
        <v>1.4</v>
      </c>
      <c r="T16">
        <v>47.26</v>
      </c>
      <c r="U16">
        <v>0.09</v>
      </c>
      <c r="V16">
        <f t="shared" si="6"/>
        <v>1.6954430959468743</v>
      </c>
      <c r="W16">
        <f t="shared" si="7"/>
        <v>0.8116555988092512</v>
      </c>
      <c r="X16">
        <v>2.8</v>
      </c>
      <c r="Y16" s="3">
        <f t="shared" si="8"/>
        <v>15.135310000000002</v>
      </c>
      <c r="Z16">
        <v>75.62</v>
      </c>
      <c r="AA16">
        <v>5</v>
      </c>
      <c r="AB16">
        <v>2.19</v>
      </c>
      <c r="AC16">
        <v>15.2</v>
      </c>
      <c r="AD16">
        <v>0</v>
      </c>
      <c r="AE16">
        <f t="shared" si="9"/>
        <v>0.79344088865379525</v>
      </c>
      <c r="AF16">
        <f t="shared" si="10"/>
        <v>0.15075376884422109</v>
      </c>
      <c r="AG16" s="3">
        <v>1.99</v>
      </c>
      <c r="AH16">
        <v>30.64</v>
      </c>
      <c r="AI16" s="3">
        <v>24.28</v>
      </c>
    </row>
    <row r="17" spans="1:38" x14ac:dyDescent="0.5">
      <c r="A17">
        <v>30</v>
      </c>
      <c r="B17">
        <v>220</v>
      </c>
      <c r="C17">
        <v>0.1</v>
      </c>
      <c r="D17">
        <v>4</v>
      </c>
      <c r="E17">
        <v>100</v>
      </c>
      <c r="F17">
        <v>80</v>
      </c>
      <c r="G17" s="3">
        <f t="shared" si="5"/>
        <v>20</v>
      </c>
      <c r="K17">
        <v>39.700000000000003</v>
      </c>
      <c r="L17">
        <v>28.1</v>
      </c>
      <c r="M17">
        <v>13.4</v>
      </c>
      <c r="N17">
        <v>5.13</v>
      </c>
      <c r="O17">
        <v>92</v>
      </c>
      <c r="P17" s="3">
        <v>5.78</v>
      </c>
      <c r="Q17">
        <v>45.86</v>
      </c>
      <c r="R17">
        <v>5.88</v>
      </c>
      <c r="S17">
        <v>0.35</v>
      </c>
      <c r="T17">
        <v>47.92</v>
      </c>
      <c r="U17">
        <v>0</v>
      </c>
      <c r="V17">
        <f t="shared" si="6"/>
        <v>1.538595726122983</v>
      </c>
      <c r="W17">
        <f t="shared" si="7"/>
        <v>0.78368948975141739</v>
      </c>
      <c r="X17">
        <v>2.2200000000000002</v>
      </c>
      <c r="Y17" s="3">
        <v>17.93</v>
      </c>
      <c r="Z17">
        <v>49.39</v>
      </c>
      <c r="AA17">
        <v>6</v>
      </c>
      <c r="AB17">
        <v>0.3</v>
      </c>
      <c r="AC17">
        <v>44.31</v>
      </c>
      <c r="AD17">
        <v>0</v>
      </c>
      <c r="AE17">
        <f t="shared" si="9"/>
        <v>1.4577849767159343</v>
      </c>
      <c r="AF17">
        <f t="shared" si="10"/>
        <v>0.67285887831544844</v>
      </c>
      <c r="AG17" s="3">
        <v>1.51</v>
      </c>
      <c r="AH17">
        <v>19.690000000000001</v>
      </c>
      <c r="AI17" s="3">
        <v>77</v>
      </c>
      <c r="AJ17" s="2" t="s">
        <v>41</v>
      </c>
      <c r="AK17" t="s">
        <v>42</v>
      </c>
      <c r="AL17">
        <v>3</v>
      </c>
    </row>
    <row r="18" spans="1:38" x14ac:dyDescent="0.5">
      <c r="A18">
        <v>120</v>
      </c>
      <c r="B18">
        <v>220</v>
      </c>
      <c r="C18">
        <v>0.1</v>
      </c>
      <c r="D18">
        <v>4</v>
      </c>
      <c r="E18">
        <v>100</v>
      </c>
      <c r="F18">
        <v>80</v>
      </c>
      <c r="G18" s="3">
        <f t="shared" ref="G18:G21" si="11">F18/D18</f>
        <v>20</v>
      </c>
      <c r="K18">
        <v>39.700000000000003</v>
      </c>
      <c r="L18">
        <v>28.1</v>
      </c>
      <c r="M18">
        <v>13.4</v>
      </c>
      <c r="N18">
        <v>5.13</v>
      </c>
      <c r="O18">
        <v>92</v>
      </c>
      <c r="P18" s="3">
        <v>5.78</v>
      </c>
      <c r="Q18">
        <v>45.86</v>
      </c>
      <c r="R18">
        <v>5.88</v>
      </c>
      <c r="S18">
        <v>0.35</v>
      </c>
      <c r="T18">
        <v>47.92</v>
      </c>
      <c r="U18">
        <v>0</v>
      </c>
      <c r="V18">
        <f t="shared" ref="V18:V21" si="12">(R18/1)/(Q18/12)</f>
        <v>1.538595726122983</v>
      </c>
      <c r="W18">
        <f t="shared" ref="W18:W21" si="13">(T18/16)/(Q18/12)</f>
        <v>0.78368948975141739</v>
      </c>
      <c r="X18">
        <v>2.2200000000000002</v>
      </c>
      <c r="Y18" s="3">
        <v>17.93</v>
      </c>
      <c r="Z18">
        <v>50.73</v>
      </c>
      <c r="AA18">
        <v>5.96</v>
      </c>
      <c r="AB18">
        <v>0.35</v>
      </c>
      <c r="AC18">
        <v>42.96</v>
      </c>
      <c r="AD18">
        <v>0</v>
      </c>
      <c r="AE18">
        <f t="shared" si="9"/>
        <v>1.4098166765227675</v>
      </c>
      <c r="AF18">
        <f t="shared" si="10"/>
        <v>0.63512714370195156</v>
      </c>
      <c r="AG18" s="3">
        <v>1.44</v>
      </c>
      <c r="AH18">
        <v>20.25</v>
      </c>
      <c r="AI18" s="3">
        <v>62</v>
      </c>
    </row>
    <row r="19" spans="1:38" x14ac:dyDescent="0.5">
      <c r="A19">
        <v>240</v>
      </c>
      <c r="B19">
        <v>220</v>
      </c>
      <c r="C19">
        <v>0.1</v>
      </c>
      <c r="D19">
        <v>4</v>
      </c>
      <c r="E19">
        <v>100</v>
      </c>
      <c r="F19">
        <v>80</v>
      </c>
      <c r="G19" s="3">
        <f t="shared" si="11"/>
        <v>20</v>
      </c>
      <c r="K19">
        <v>39.700000000000003</v>
      </c>
      <c r="L19">
        <v>28.1</v>
      </c>
      <c r="M19">
        <v>13.4</v>
      </c>
      <c r="N19">
        <v>5.13</v>
      </c>
      <c r="O19">
        <v>92</v>
      </c>
      <c r="P19" s="3">
        <v>5.78</v>
      </c>
      <c r="Q19">
        <v>45.86</v>
      </c>
      <c r="R19">
        <v>5.88</v>
      </c>
      <c r="S19">
        <v>0.35</v>
      </c>
      <c r="T19">
        <v>47.92</v>
      </c>
      <c r="U19">
        <v>0</v>
      </c>
      <c r="V19">
        <f t="shared" si="12"/>
        <v>1.538595726122983</v>
      </c>
      <c r="W19">
        <f t="shared" si="13"/>
        <v>0.78368948975141739</v>
      </c>
      <c r="X19">
        <v>2.2200000000000002</v>
      </c>
      <c r="Y19" s="3">
        <v>17.93</v>
      </c>
      <c r="Z19">
        <v>56.83</v>
      </c>
      <c r="AA19">
        <v>5.54</v>
      </c>
      <c r="AB19">
        <v>0.43</v>
      </c>
      <c r="AC19">
        <v>37.21</v>
      </c>
      <c r="AD19">
        <v>0</v>
      </c>
      <c r="AE19">
        <f t="shared" si="9"/>
        <v>1.1698046806264297</v>
      </c>
      <c r="AF19">
        <f t="shared" si="10"/>
        <v>0.49106985746964638</v>
      </c>
      <c r="AG19" s="3">
        <v>1.33</v>
      </c>
      <c r="AH19">
        <v>22.49</v>
      </c>
      <c r="AI19" s="3">
        <v>51</v>
      </c>
    </row>
    <row r="20" spans="1:38" x14ac:dyDescent="0.5">
      <c r="A20">
        <v>480</v>
      </c>
      <c r="B20">
        <v>220</v>
      </c>
      <c r="C20">
        <v>0.1</v>
      </c>
      <c r="D20">
        <v>4</v>
      </c>
      <c r="E20">
        <v>100</v>
      </c>
      <c r="F20">
        <v>80</v>
      </c>
      <c r="G20" s="3">
        <f t="shared" si="11"/>
        <v>20</v>
      </c>
      <c r="K20">
        <v>39.700000000000003</v>
      </c>
      <c r="L20">
        <v>28.1</v>
      </c>
      <c r="M20">
        <v>13.4</v>
      </c>
      <c r="N20">
        <v>5.13</v>
      </c>
      <c r="O20">
        <v>92</v>
      </c>
      <c r="P20" s="3">
        <v>5.78</v>
      </c>
      <c r="Q20">
        <v>45.86</v>
      </c>
      <c r="R20">
        <v>5.88</v>
      </c>
      <c r="S20">
        <v>0.35</v>
      </c>
      <c r="T20">
        <v>47.92</v>
      </c>
      <c r="U20">
        <v>0</v>
      </c>
      <c r="V20">
        <f t="shared" si="12"/>
        <v>1.538595726122983</v>
      </c>
      <c r="W20">
        <f t="shared" si="13"/>
        <v>0.78368948975141739</v>
      </c>
      <c r="X20">
        <v>2.2200000000000002</v>
      </c>
      <c r="Y20" s="3">
        <v>17.93</v>
      </c>
      <c r="Z20">
        <v>58.35</v>
      </c>
      <c r="AA20">
        <v>5.41</v>
      </c>
      <c r="AB20">
        <v>0.38</v>
      </c>
      <c r="AC20">
        <v>35.85</v>
      </c>
      <c r="AD20">
        <v>0</v>
      </c>
      <c r="AE20">
        <f t="shared" si="9"/>
        <v>1.1125964010282776</v>
      </c>
      <c r="AF20">
        <f t="shared" si="10"/>
        <v>0.46079691516709514</v>
      </c>
      <c r="AG20" s="3">
        <v>0.85</v>
      </c>
      <c r="AH20">
        <v>23.01</v>
      </c>
      <c r="AI20" s="3">
        <v>50</v>
      </c>
    </row>
    <row r="21" spans="1:38" x14ac:dyDescent="0.5">
      <c r="A21">
        <v>720</v>
      </c>
      <c r="B21">
        <v>220</v>
      </c>
      <c r="C21">
        <v>0.1</v>
      </c>
      <c r="D21">
        <v>4</v>
      </c>
      <c r="E21">
        <v>100</v>
      </c>
      <c r="F21">
        <v>80</v>
      </c>
      <c r="G21" s="3">
        <f t="shared" si="11"/>
        <v>20</v>
      </c>
      <c r="K21">
        <v>39.700000000000003</v>
      </c>
      <c r="L21">
        <v>28.1</v>
      </c>
      <c r="M21">
        <v>13.4</v>
      </c>
      <c r="N21">
        <v>5.13</v>
      </c>
      <c r="O21">
        <v>92</v>
      </c>
      <c r="P21" s="3">
        <v>5.78</v>
      </c>
      <c r="Q21">
        <v>45.86</v>
      </c>
      <c r="R21">
        <v>5.88</v>
      </c>
      <c r="S21">
        <v>0.35</v>
      </c>
      <c r="T21">
        <v>47.92</v>
      </c>
      <c r="U21">
        <v>0</v>
      </c>
      <c r="V21">
        <f t="shared" si="12"/>
        <v>1.538595726122983</v>
      </c>
      <c r="W21">
        <f t="shared" si="13"/>
        <v>0.78368948975141739</v>
      </c>
      <c r="X21">
        <v>2.2200000000000002</v>
      </c>
      <c r="Y21" s="3">
        <v>17.93</v>
      </c>
      <c r="Z21">
        <v>62.53</v>
      </c>
      <c r="AA21">
        <v>5.19</v>
      </c>
      <c r="AB21">
        <v>0.51</v>
      </c>
      <c r="AC21">
        <v>31.77</v>
      </c>
      <c r="AD21">
        <v>0</v>
      </c>
      <c r="AE21">
        <f t="shared" si="9"/>
        <v>0.99600191907884217</v>
      </c>
      <c r="AF21">
        <f t="shared" si="10"/>
        <v>0.38105709259555415</v>
      </c>
      <c r="AG21" s="3">
        <v>1.58</v>
      </c>
      <c r="AH21">
        <v>24.62</v>
      </c>
      <c r="AI21" s="3">
        <v>48</v>
      </c>
    </row>
    <row r="22" spans="1:38" x14ac:dyDescent="0.5">
      <c r="A22">
        <v>480</v>
      </c>
      <c r="B22">
        <v>200</v>
      </c>
      <c r="C22">
        <v>0.1</v>
      </c>
      <c r="D22">
        <v>4</v>
      </c>
      <c r="E22">
        <v>100</v>
      </c>
      <c r="F22">
        <v>80</v>
      </c>
      <c r="G22" s="3">
        <f t="shared" ref="G22:G24" si="14">F22/D22</f>
        <v>20</v>
      </c>
      <c r="K22">
        <v>39.700000000000003</v>
      </c>
      <c r="L22">
        <v>28.1</v>
      </c>
      <c r="M22">
        <v>13.4</v>
      </c>
      <c r="N22">
        <v>5.13</v>
      </c>
      <c r="O22">
        <v>92</v>
      </c>
      <c r="P22" s="3">
        <v>5.78</v>
      </c>
      <c r="Q22">
        <v>45.86</v>
      </c>
      <c r="R22">
        <v>5.88</v>
      </c>
      <c r="S22">
        <v>0.35</v>
      </c>
      <c r="T22">
        <v>47.92</v>
      </c>
      <c r="U22">
        <v>0</v>
      </c>
      <c r="V22">
        <f t="shared" ref="V22:V24" si="15">(R22/1)/(Q22/12)</f>
        <v>1.538595726122983</v>
      </c>
      <c r="W22">
        <f t="shared" ref="W22:W24" si="16">(T22/16)/(Q22/12)</f>
        <v>0.78368948975141739</v>
      </c>
      <c r="X22">
        <v>2.2200000000000002</v>
      </c>
      <c r="Y22" s="3">
        <v>17.93</v>
      </c>
      <c r="Z22">
        <v>52.68</v>
      </c>
      <c r="AA22">
        <v>5.09</v>
      </c>
      <c r="AB22">
        <v>0.33</v>
      </c>
      <c r="AC22">
        <v>41.95</v>
      </c>
      <c r="AD22">
        <v>0</v>
      </c>
      <c r="AE22">
        <f t="shared" si="9"/>
        <v>1.1594533029612757</v>
      </c>
      <c r="AF22">
        <f t="shared" si="10"/>
        <v>0.59723804100227795</v>
      </c>
      <c r="AG22" s="3">
        <v>1.88</v>
      </c>
      <c r="AH22">
        <v>19.989999999999998</v>
      </c>
      <c r="AI22" s="3">
        <v>52</v>
      </c>
    </row>
    <row r="23" spans="1:38" x14ac:dyDescent="0.5">
      <c r="A23">
        <v>480</v>
      </c>
      <c r="B23">
        <v>240</v>
      </c>
      <c r="C23">
        <v>0.1</v>
      </c>
      <c r="D23">
        <v>4</v>
      </c>
      <c r="E23">
        <v>100</v>
      </c>
      <c r="F23">
        <v>80</v>
      </c>
      <c r="G23" s="3">
        <f t="shared" si="14"/>
        <v>20</v>
      </c>
      <c r="K23">
        <v>39.700000000000003</v>
      </c>
      <c r="L23">
        <v>28.1</v>
      </c>
      <c r="M23">
        <v>13.4</v>
      </c>
      <c r="N23">
        <v>5.13</v>
      </c>
      <c r="O23">
        <v>92</v>
      </c>
      <c r="P23" s="3">
        <v>5.78</v>
      </c>
      <c r="Q23">
        <v>45.86</v>
      </c>
      <c r="R23">
        <v>5.88</v>
      </c>
      <c r="S23">
        <v>0.35</v>
      </c>
      <c r="T23">
        <v>47.92</v>
      </c>
      <c r="U23">
        <v>0</v>
      </c>
      <c r="V23">
        <f t="shared" si="15"/>
        <v>1.538595726122983</v>
      </c>
      <c r="W23">
        <f t="shared" si="16"/>
        <v>0.78368948975141739</v>
      </c>
      <c r="X23">
        <v>2.2200000000000002</v>
      </c>
      <c r="Y23" s="3">
        <v>17.93</v>
      </c>
      <c r="Z23">
        <v>64.819999999999993</v>
      </c>
      <c r="AA23">
        <v>6.26</v>
      </c>
      <c r="AB23">
        <v>0.41</v>
      </c>
      <c r="AC23">
        <v>28.51</v>
      </c>
      <c r="AD23">
        <v>0</v>
      </c>
      <c r="AE23">
        <f t="shared" si="9"/>
        <v>1.1589015735883987</v>
      </c>
      <c r="AF23">
        <f t="shared" si="10"/>
        <v>0.32987503856834316</v>
      </c>
      <c r="AG23" s="3">
        <v>2.0299999999999998</v>
      </c>
      <c r="AH23">
        <v>27.01</v>
      </c>
      <c r="AI23" s="3">
        <v>51</v>
      </c>
    </row>
    <row r="24" spans="1:38" x14ac:dyDescent="0.5">
      <c r="A24">
        <v>120</v>
      </c>
      <c r="B24">
        <v>180</v>
      </c>
      <c r="C24">
        <v>0.1</v>
      </c>
      <c r="D24">
        <v>66</v>
      </c>
      <c r="E24">
        <v>1000</v>
      </c>
      <c r="F24">
        <v>534</v>
      </c>
      <c r="G24" s="3">
        <f t="shared" si="14"/>
        <v>8.0909090909090917</v>
      </c>
      <c r="N24">
        <v>72</v>
      </c>
      <c r="O24">
        <v>51.2</v>
      </c>
      <c r="P24" s="3">
        <v>8.36</v>
      </c>
      <c r="Q24">
        <v>29</v>
      </c>
      <c r="R24">
        <v>4.37</v>
      </c>
      <c r="S24">
        <v>4.72</v>
      </c>
      <c r="T24">
        <v>21.4</v>
      </c>
      <c r="U24">
        <v>0.12</v>
      </c>
      <c r="V24">
        <f t="shared" si="15"/>
        <v>1.8082758620689656</v>
      </c>
      <c r="W24">
        <f t="shared" si="16"/>
        <v>0.55344827586206902</v>
      </c>
      <c r="X24">
        <v>40.4</v>
      </c>
      <c r="Y24" s="3">
        <f>(0.338*Q24)+1.428*(R24-(T24/8))</f>
        <v>12.222460000000002</v>
      </c>
      <c r="Z24">
        <v>25.7</v>
      </c>
      <c r="AA24">
        <v>3.27</v>
      </c>
      <c r="AB24">
        <v>2.37</v>
      </c>
      <c r="AC24">
        <v>16</v>
      </c>
      <c r="AD24">
        <v>0</v>
      </c>
      <c r="AE24">
        <f t="shared" si="9"/>
        <v>1.5268482490272375</v>
      </c>
      <c r="AF24">
        <f t="shared" si="10"/>
        <v>0.46692607003891051</v>
      </c>
      <c r="AG24" s="3">
        <v>52.7</v>
      </c>
      <c r="AH24" s="3">
        <f t="shared" ref="AH24:AH29" si="17">(0.338*Z24)+1.428*(AA24-(AC24/8))</f>
        <v>10.500160000000001</v>
      </c>
      <c r="AI24" s="3">
        <v>70.400000000000006</v>
      </c>
      <c r="AJ24" s="2" t="s">
        <v>45</v>
      </c>
      <c r="AK24" t="s">
        <v>43</v>
      </c>
      <c r="AL24">
        <v>4</v>
      </c>
    </row>
    <row r="25" spans="1:38" x14ac:dyDescent="0.5">
      <c r="A25">
        <v>120</v>
      </c>
      <c r="B25">
        <v>215</v>
      </c>
      <c r="C25">
        <v>0.1</v>
      </c>
      <c r="D25">
        <v>66</v>
      </c>
      <c r="E25">
        <v>1000</v>
      </c>
      <c r="F25">
        <v>534</v>
      </c>
      <c r="G25" s="3">
        <f t="shared" ref="G25:G30" si="18">F25/D25</f>
        <v>8.0909090909090917</v>
      </c>
      <c r="N25">
        <v>72</v>
      </c>
      <c r="O25">
        <v>51.2</v>
      </c>
      <c r="P25" s="3">
        <v>8.36</v>
      </c>
      <c r="Q25">
        <v>29</v>
      </c>
      <c r="R25">
        <v>4.37</v>
      </c>
      <c r="S25">
        <v>4.72</v>
      </c>
      <c r="T25">
        <v>21.4</v>
      </c>
      <c r="U25">
        <v>0.12</v>
      </c>
      <c r="V25">
        <f t="shared" ref="V25:V27" si="19">(R25/1)/(Q25/12)</f>
        <v>1.8082758620689656</v>
      </c>
      <c r="W25">
        <f t="shared" ref="W25:W27" si="20">(T25/16)/(Q25/12)</f>
        <v>0.55344827586206902</v>
      </c>
      <c r="X25">
        <v>40.4</v>
      </c>
      <c r="Y25" s="3">
        <f t="shared" ref="Y25:Y29" si="21">(0.338*Q25)+1.428*(R25-(T25/8))</f>
        <v>12.222460000000002</v>
      </c>
      <c r="Z25">
        <v>27</v>
      </c>
      <c r="AA25">
        <v>3.31</v>
      </c>
      <c r="AB25">
        <v>2.19</v>
      </c>
      <c r="AC25">
        <v>7.55</v>
      </c>
      <c r="AD25">
        <v>0.15</v>
      </c>
      <c r="AE25">
        <f t="shared" si="9"/>
        <v>1.471111111111111</v>
      </c>
      <c r="AF25">
        <f t="shared" si="10"/>
        <v>0.20972222222222223</v>
      </c>
      <c r="AG25" s="3">
        <v>58.3</v>
      </c>
      <c r="AH25" s="3">
        <f t="shared" si="17"/>
        <v>12.505005000000001</v>
      </c>
      <c r="AI25" s="3">
        <v>66.400000000000006</v>
      </c>
      <c r="AK25" t="s">
        <v>44</v>
      </c>
    </row>
    <row r="26" spans="1:38" x14ac:dyDescent="0.5">
      <c r="A26">
        <v>120</v>
      </c>
      <c r="B26">
        <v>250</v>
      </c>
      <c r="C26">
        <v>0.1</v>
      </c>
      <c r="D26">
        <v>66</v>
      </c>
      <c r="E26">
        <v>1000</v>
      </c>
      <c r="F26">
        <v>534</v>
      </c>
      <c r="G26" s="3">
        <f t="shared" si="18"/>
        <v>8.0909090909090917</v>
      </c>
      <c r="N26">
        <v>72</v>
      </c>
      <c r="O26">
        <v>51.2</v>
      </c>
      <c r="P26" s="3">
        <v>8.36</v>
      </c>
      <c r="Q26">
        <v>29</v>
      </c>
      <c r="R26">
        <v>4.37</v>
      </c>
      <c r="S26">
        <v>4.72</v>
      </c>
      <c r="T26">
        <v>21.4</v>
      </c>
      <c r="U26">
        <v>0.12</v>
      </c>
      <c r="V26">
        <f t="shared" si="19"/>
        <v>1.8082758620689656</v>
      </c>
      <c r="W26">
        <f t="shared" si="20"/>
        <v>0.55344827586206902</v>
      </c>
      <c r="X26">
        <v>40.4</v>
      </c>
      <c r="Y26" s="3">
        <f t="shared" si="21"/>
        <v>12.222460000000002</v>
      </c>
      <c r="Z26">
        <v>28.3</v>
      </c>
      <c r="AA26">
        <v>3.3</v>
      </c>
      <c r="AB26">
        <v>2.2999999999999998</v>
      </c>
      <c r="AC26">
        <v>7.46</v>
      </c>
      <c r="AD26">
        <v>0.38</v>
      </c>
      <c r="AE26">
        <f t="shared" si="9"/>
        <v>1.3992932862190812</v>
      </c>
      <c r="AF26">
        <f t="shared" si="10"/>
        <v>0.19770318021201413</v>
      </c>
      <c r="AG26" s="3">
        <v>58.3</v>
      </c>
      <c r="AH26" s="3">
        <f t="shared" si="17"/>
        <v>12.94619</v>
      </c>
      <c r="AI26" s="3">
        <v>64.400000000000006</v>
      </c>
    </row>
    <row r="27" spans="1:38" x14ac:dyDescent="0.5">
      <c r="A27">
        <v>120</v>
      </c>
      <c r="B27">
        <v>180</v>
      </c>
      <c r="C27">
        <v>0.1</v>
      </c>
      <c r="D27">
        <v>66</v>
      </c>
      <c r="E27">
        <v>1000</v>
      </c>
      <c r="F27">
        <v>534</v>
      </c>
      <c r="G27" s="3">
        <f t="shared" si="18"/>
        <v>8.0909090909090917</v>
      </c>
      <c r="N27">
        <v>72</v>
      </c>
      <c r="O27">
        <v>68.900000000000006</v>
      </c>
      <c r="P27" s="3">
        <v>15.5</v>
      </c>
      <c r="Q27">
        <v>43.6</v>
      </c>
      <c r="R27">
        <v>6.1</v>
      </c>
      <c r="S27">
        <v>7.46</v>
      </c>
      <c r="T27">
        <v>27.2</v>
      </c>
      <c r="U27">
        <v>0</v>
      </c>
      <c r="V27">
        <f t="shared" si="19"/>
        <v>1.6788990825688073</v>
      </c>
      <c r="W27">
        <f t="shared" si="20"/>
        <v>0.4678899082568807</v>
      </c>
      <c r="X27">
        <v>15.7</v>
      </c>
      <c r="Y27" s="3">
        <f t="shared" si="21"/>
        <v>18.592400000000001</v>
      </c>
      <c r="Z27">
        <v>46.3</v>
      </c>
      <c r="AA27">
        <v>5.49</v>
      </c>
      <c r="AB27">
        <v>5.03</v>
      </c>
      <c r="AC27">
        <v>18.5</v>
      </c>
      <c r="AD27">
        <v>0</v>
      </c>
      <c r="AE27">
        <f t="shared" si="9"/>
        <v>1.4228941684665228</v>
      </c>
      <c r="AF27">
        <f t="shared" si="10"/>
        <v>0.29967602591792658</v>
      </c>
      <c r="AG27" s="3">
        <v>24.8</v>
      </c>
      <c r="AH27" s="3">
        <f t="shared" si="17"/>
        <v>20.186869999999999</v>
      </c>
      <c r="AI27" s="3">
        <v>49</v>
      </c>
    </row>
    <row r="28" spans="1:38" x14ac:dyDescent="0.5">
      <c r="A28">
        <v>120</v>
      </c>
      <c r="B28">
        <v>215</v>
      </c>
      <c r="C28">
        <v>0.1</v>
      </c>
      <c r="D28">
        <v>66</v>
      </c>
      <c r="E28">
        <v>1000</v>
      </c>
      <c r="F28">
        <v>534</v>
      </c>
      <c r="G28" s="3">
        <f t="shared" si="18"/>
        <v>8.0909090909090917</v>
      </c>
      <c r="N28">
        <v>72</v>
      </c>
      <c r="O28">
        <v>68.900000000000006</v>
      </c>
      <c r="P28" s="3">
        <v>15.5</v>
      </c>
      <c r="Q28">
        <v>43.6</v>
      </c>
      <c r="R28">
        <v>6.1</v>
      </c>
      <c r="S28">
        <v>7.46</v>
      </c>
      <c r="T28">
        <v>27.2</v>
      </c>
      <c r="U28">
        <v>0</v>
      </c>
      <c r="V28">
        <f t="shared" ref="V28:V30" si="22">(R28/1)/(Q28/12)</f>
        <v>1.6788990825688073</v>
      </c>
      <c r="W28">
        <f t="shared" ref="W28:W30" si="23">(T28/16)/(Q28/12)</f>
        <v>0.4678899082568807</v>
      </c>
      <c r="X28">
        <v>15.7</v>
      </c>
      <c r="Y28" s="3">
        <f t="shared" si="21"/>
        <v>18.592400000000001</v>
      </c>
      <c r="Z28">
        <v>46.7</v>
      </c>
      <c r="AA28">
        <v>5.68</v>
      </c>
      <c r="AB28">
        <v>3.59</v>
      </c>
      <c r="AC28">
        <v>15.2</v>
      </c>
      <c r="AD28">
        <v>0</v>
      </c>
      <c r="AE28">
        <f t="shared" si="9"/>
        <v>1.4595289079229119</v>
      </c>
      <c r="AF28">
        <f t="shared" si="10"/>
        <v>0.24411134903640253</v>
      </c>
      <c r="AG28" s="3">
        <v>28.8</v>
      </c>
      <c r="AH28" s="3">
        <f t="shared" si="17"/>
        <v>21.182440000000003</v>
      </c>
      <c r="AI28" s="3">
        <v>44.1</v>
      </c>
    </row>
    <row r="29" spans="1:38" x14ac:dyDescent="0.5">
      <c r="A29">
        <v>120</v>
      </c>
      <c r="B29">
        <v>250</v>
      </c>
      <c r="C29">
        <v>0.1</v>
      </c>
      <c r="D29">
        <v>66</v>
      </c>
      <c r="E29">
        <v>1000</v>
      </c>
      <c r="F29">
        <v>534</v>
      </c>
      <c r="G29" s="3">
        <f t="shared" si="18"/>
        <v>8.0909090909090917</v>
      </c>
      <c r="N29">
        <v>72</v>
      </c>
      <c r="O29">
        <v>68.900000000000006</v>
      </c>
      <c r="P29" s="3">
        <v>15.5</v>
      </c>
      <c r="Q29">
        <v>43.6</v>
      </c>
      <c r="R29">
        <v>6.1</v>
      </c>
      <c r="S29">
        <v>7.46</v>
      </c>
      <c r="T29">
        <v>27.2</v>
      </c>
      <c r="U29">
        <v>0</v>
      </c>
      <c r="V29">
        <f t="shared" si="22"/>
        <v>1.6788990825688073</v>
      </c>
      <c r="W29">
        <f t="shared" si="23"/>
        <v>0.4678899082568807</v>
      </c>
      <c r="X29">
        <v>15.7</v>
      </c>
      <c r="Y29" s="3">
        <f t="shared" si="21"/>
        <v>18.592400000000001</v>
      </c>
      <c r="Z29">
        <v>49.7</v>
      </c>
      <c r="AA29">
        <v>5.69</v>
      </c>
      <c r="AB29">
        <v>3.93</v>
      </c>
      <c r="AC29">
        <v>10.5</v>
      </c>
      <c r="AD29">
        <v>0</v>
      </c>
      <c r="AE29">
        <f t="shared" si="9"/>
        <v>1.3738430583501007</v>
      </c>
      <c r="AF29">
        <f t="shared" si="10"/>
        <v>0.15845070422535212</v>
      </c>
      <c r="AG29" s="3">
        <v>30.2</v>
      </c>
      <c r="AH29" s="3">
        <f t="shared" si="17"/>
        <v>23.049669999999999</v>
      </c>
      <c r="AI29" s="3">
        <v>42.9</v>
      </c>
    </row>
    <row r="30" spans="1:38" x14ac:dyDescent="0.5">
      <c r="A30">
        <v>60</v>
      </c>
      <c r="B30">
        <v>180</v>
      </c>
      <c r="C30">
        <v>0.1</v>
      </c>
      <c r="D30">
        <v>3</v>
      </c>
      <c r="E30">
        <v>50</v>
      </c>
      <c r="F30">
        <v>8.5</v>
      </c>
      <c r="G30" s="3">
        <f t="shared" si="18"/>
        <v>2.8333333333333335</v>
      </c>
      <c r="N30">
        <v>74</v>
      </c>
      <c r="O30">
        <v>72.599999999999994</v>
      </c>
      <c r="P30" s="3">
        <v>24.3</v>
      </c>
      <c r="Q30">
        <v>40.4</v>
      </c>
      <c r="R30">
        <v>7.1</v>
      </c>
      <c r="S30">
        <v>1.5</v>
      </c>
      <c r="T30">
        <v>47.8</v>
      </c>
      <c r="U30">
        <v>0</v>
      </c>
      <c r="V30">
        <f t="shared" si="22"/>
        <v>2.108910891089109</v>
      </c>
      <c r="W30">
        <f t="shared" si="23"/>
        <v>0.88737623762376228</v>
      </c>
      <c r="X30">
        <v>3.1</v>
      </c>
      <c r="Y30" s="3">
        <v>17.8</v>
      </c>
      <c r="Z30">
        <v>49.7</v>
      </c>
      <c r="AA30">
        <v>6.7</v>
      </c>
      <c r="AB30">
        <v>0.6</v>
      </c>
      <c r="AC30">
        <v>41.1</v>
      </c>
      <c r="AD30">
        <v>0</v>
      </c>
      <c r="AE30">
        <f t="shared" si="9"/>
        <v>1.6177062374245474</v>
      </c>
      <c r="AF30">
        <f t="shared" si="10"/>
        <v>0.62022132796780682</v>
      </c>
      <c r="AG30" s="3">
        <v>1.6</v>
      </c>
      <c r="AH30" s="3">
        <v>20.8</v>
      </c>
      <c r="AI30" s="3">
        <v>34.1</v>
      </c>
      <c r="AJ30" s="2" t="s">
        <v>46</v>
      </c>
      <c r="AK30" t="s">
        <v>47</v>
      </c>
      <c r="AL30">
        <v>5</v>
      </c>
    </row>
    <row r="31" spans="1:38" x14ac:dyDescent="0.5">
      <c r="A31">
        <v>60</v>
      </c>
      <c r="B31">
        <v>200</v>
      </c>
      <c r="C31">
        <v>0.1</v>
      </c>
      <c r="D31">
        <v>3</v>
      </c>
      <c r="E31">
        <v>50</v>
      </c>
      <c r="F31">
        <v>8.5</v>
      </c>
      <c r="G31" s="3">
        <f t="shared" ref="G31:G33" si="24">F31/D31</f>
        <v>2.8333333333333335</v>
      </c>
      <c r="N31">
        <v>74</v>
      </c>
      <c r="O31">
        <v>72.599999999999994</v>
      </c>
      <c r="P31" s="3">
        <v>24.3</v>
      </c>
      <c r="Q31">
        <v>40.4</v>
      </c>
      <c r="R31">
        <v>7.1</v>
      </c>
      <c r="S31">
        <v>1.5</v>
      </c>
      <c r="T31">
        <v>47.8</v>
      </c>
      <c r="U31">
        <v>0</v>
      </c>
      <c r="V31">
        <f t="shared" ref="V31:V33" si="25">(R31/1)/(Q31/12)</f>
        <v>2.108910891089109</v>
      </c>
      <c r="W31">
        <f t="shared" ref="W31:W33" si="26">(T31/16)/(Q31/12)</f>
        <v>0.88737623762376228</v>
      </c>
      <c r="X31">
        <v>3.1</v>
      </c>
      <c r="Y31" s="3">
        <v>17.8</v>
      </c>
      <c r="Z31">
        <v>58.5</v>
      </c>
      <c r="AA31">
        <v>5.9</v>
      </c>
      <c r="AB31">
        <v>0.9</v>
      </c>
      <c r="AC31">
        <v>32.9</v>
      </c>
      <c r="AD31">
        <v>0</v>
      </c>
      <c r="AE31">
        <f t="shared" si="9"/>
        <v>1.2102564102564104</v>
      </c>
      <c r="AF31">
        <f t="shared" si="10"/>
        <v>0.4217948717948718</v>
      </c>
      <c r="AG31" s="3">
        <v>1.8</v>
      </c>
      <c r="AH31">
        <v>23.7</v>
      </c>
      <c r="AI31" s="3">
        <v>40.6</v>
      </c>
    </row>
    <row r="32" spans="1:38" x14ac:dyDescent="0.5">
      <c r="A32">
        <v>60</v>
      </c>
      <c r="B32">
        <v>230</v>
      </c>
      <c r="C32">
        <v>0.1</v>
      </c>
      <c r="D32">
        <v>3</v>
      </c>
      <c r="E32">
        <v>50</v>
      </c>
      <c r="F32">
        <v>8.5</v>
      </c>
      <c r="G32" s="3">
        <f t="shared" si="24"/>
        <v>2.8333333333333335</v>
      </c>
      <c r="N32">
        <v>74</v>
      </c>
      <c r="O32">
        <v>72.599999999999994</v>
      </c>
      <c r="P32" s="3">
        <v>24.3</v>
      </c>
      <c r="Q32">
        <v>40.4</v>
      </c>
      <c r="R32">
        <v>7.1</v>
      </c>
      <c r="S32">
        <v>1.5</v>
      </c>
      <c r="T32">
        <v>47.8</v>
      </c>
      <c r="U32">
        <v>0</v>
      </c>
      <c r="V32">
        <f t="shared" si="25"/>
        <v>2.108910891089109</v>
      </c>
      <c r="W32">
        <f t="shared" si="26"/>
        <v>0.88737623762376228</v>
      </c>
      <c r="X32">
        <v>3.1</v>
      </c>
      <c r="Y32" s="3">
        <v>17.8</v>
      </c>
      <c r="Z32">
        <v>58.3</v>
      </c>
      <c r="AA32">
        <v>6.5</v>
      </c>
      <c r="AB32">
        <v>0.8</v>
      </c>
      <c r="AC32">
        <v>33.1</v>
      </c>
      <c r="AD32">
        <v>0</v>
      </c>
      <c r="AE32">
        <f t="shared" si="9"/>
        <v>1.3379073756432247</v>
      </c>
      <c r="AF32">
        <f t="shared" si="10"/>
        <v>0.42581475128644941</v>
      </c>
      <c r="AG32" s="3">
        <v>1.3</v>
      </c>
      <c r="AH32">
        <v>24.4</v>
      </c>
      <c r="AI32" s="3">
        <v>38.799999999999997</v>
      </c>
    </row>
    <row r="33" spans="1:38" x14ac:dyDescent="0.5">
      <c r="A33">
        <v>60</v>
      </c>
      <c r="B33">
        <v>260</v>
      </c>
      <c r="C33">
        <v>0.1</v>
      </c>
      <c r="D33">
        <v>3</v>
      </c>
      <c r="E33">
        <v>50</v>
      </c>
      <c r="F33">
        <v>8.5</v>
      </c>
      <c r="G33" s="3">
        <f t="shared" si="24"/>
        <v>2.8333333333333335</v>
      </c>
      <c r="N33">
        <v>74</v>
      </c>
      <c r="O33">
        <v>72.599999999999994</v>
      </c>
      <c r="P33" s="3">
        <v>24.3</v>
      </c>
      <c r="Q33">
        <v>40.4</v>
      </c>
      <c r="R33">
        <v>7.1</v>
      </c>
      <c r="S33">
        <v>1.5</v>
      </c>
      <c r="T33">
        <v>47.8</v>
      </c>
      <c r="U33">
        <v>0</v>
      </c>
      <c r="V33">
        <f t="shared" si="25"/>
        <v>2.108910891089109</v>
      </c>
      <c r="W33">
        <f t="shared" si="26"/>
        <v>0.88737623762376228</v>
      </c>
      <c r="X33">
        <v>3.1</v>
      </c>
      <c r="Y33" s="3">
        <v>17.8</v>
      </c>
      <c r="Z33">
        <v>61.1</v>
      </c>
      <c r="AA33">
        <v>5.8</v>
      </c>
      <c r="AB33">
        <v>0.9</v>
      </c>
      <c r="AC33">
        <v>30.6</v>
      </c>
      <c r="AD33">
        <v>0</v>
      </c>
      <c r="AE33">
        <f t="shared" si="9"/>
        <v>1.13911620294599</v>
      </c>
      <c r="AF33">
        <f t="shared" si="10"/>
        <v>0.37561374795417352</v>
      </c>
      <c r="AG33" s="3">
        <v>1.6</v>
      </c>
      <c r="AH33">
        <v>25.7</v>
      </c>
      <c r="AI33" s="3">
        <v>33.6</v>
      </c>
    </row>
    <row r="34" spans="1:38" x14ac:dyDescent="0.5">
      <c r="A34">
        <v>20</v>
      </c>
      <c r="B34">
        <v>180</v>
      </c>
      <c r="C34">
        <v>0.1</v>
      </c>
      <c r="D34">
        <v>3</v>
      </c>
      <c r="E34">
        <v>50</v>
      </c>
      <c r="F34">
        <v>8.5</v>
      </c>
      <c r="G34" s="3">
        <f t="shared" ref="G34:G37" si="27">F34/D34</f>
        <v>2.8333333333333335</v>
      </c>
      <c r="N34">
        <v>74</v>
      </c>
      <c r="O34">
        <v>72.599999999999994</v>
      </c>
      <c r="P34" s="3">
        <v>24.3</v>
      </c>
      <c r="Q34">
        <v>40.4</v>
      </c>
      <c r="R34">
        <v>7.1</v>
      </c>
      <c r="S34">
        <v>1.5</v>
      </c>
      <c r="T34">
        <v>47.8</v>
      </c>
      <c r="U34">
        <v>0</v>
      </c>
      <c r="V34">
        <f t="shared" ref="V34:V37" si="28">(R34/1)/(Q34/12)</f>
        <v>2.108910891089109</v>
      </c>
      <c r="W34">
        <f t="shared" ref="W34:W37" si="29">(T34/16)/(Q34/12)</f>
        <v>0.88737623762376228</v>
      </c>
      <c r="X34">
        <v>3.1</v>
      </c>
      <c r="Y34" s="3">
        <v>17.8</v>
      </c>
      <c r="Z34">
        <v>46.7</v>
      </c>
      <c r="AA34">
        <v>6.2</v>
      </c>
      <c r="AB34">
        <v>1.2</v>
      </c>
      <c r="AC34">
        <v>43.8</v>
      </c>
      <c r="AD34">
        <v>0</v>
      </c>
      <c r="AE34">
        <f t="shared" si="9"/>
        <v>1.5931477516059955</v>
      </c>
      <c r="AF34">
        <f t="shared" si="10"/>
        <v>0.70342612419700201</v>
      </c>
      <c r="AG34" s="3">
        <v>2.1</v>
      </c>
      <c r="AH34">
        <v>19.899999999999999</v>
      </c>
      <c r="AI34" s="3">
        <v>31.6</v>
      </c>
    </row>
    <row r="35" spans="1:38" x14ac:dyDescent="0.5">
      <c r="A35">
        <v>120</v>
      </c>
      <c r="B35">
        <v>180</v>
      </c>
      <c r="C35">
        <v>0.1</v>
      </c>
      <c r="D35">
        <v>3</v>
      </c>
      <c r="E35">
        <v>50</v>
      </c>
      <c r="F35">
        <v>8.5</v>
      </c>
      <c r="G35" s="3">
        <f t="shared" si="27"/>
        <v>2.8333333333333335</v>
      </c>
      <c r="N35">
        <v>74</v>
      </c>
      <c r="O35">
        <v>72.599999999999994</v>
      </c>
      <c r="P35" s="3">
        <v>24.3</v>
      </c>
      <c r="Q35">
        <v>40.4</v>
      </c>
      <c r="R35">
        <v>7.1</v>
      </c>
      <c r="S35">
        <v>1.5</v>
      </c>
      <c r="T35">
        <v>47.8</v>
      </c>
      <c r="U35">
        <v>0</v>
      </c>
      <c r="V35">
        <f t="shared" si="28"/>
        <v>2.108910891089109</v>
      </c>
      <c r="W35">
        <f t="shared" si="29"/>
        <v>0.88737623762376228</v>
      </c>
      <c r="X35">
        <v>3.1</v>
      </c>
      <c r="Y35" s="3">
        <v>17.8</v>
      </c>
      <c r="Z35">
        <v>55.4</v>
      </c>
      <c r="AA35">
        <v>5.6</v>
      </c>
      <c r="AB35">
        <v>0.9</v>
      </c>
      <c r="AC35">
        <v>36.6</v>
      </c>
      <c r="AD35">
        <v>0</v>
      </c>
      <c r="AE35">
        <f t="shared" si="9"/>
        <v>1.2129963898916969</v>
      </c>
      <c r="AF35">
        <f t="shared" si="10"/>
        <v>0.49548736462093868</v>
      </c>
      <c r="AG35" s="3">
        <v>1.5</v>
      </c>
      <c r="AH35">
        <v>21.9</v>
      </c>
      <c r="AI35" s="3">
        <v>35.799999999999997</v>
      </c>
    </row>
    <row r="36" spans="1:38" x14ac:dyDescent="0.5">
      <c r="A36">
        <v>240</v>
      </c>
      <c r="B36">
        <v>180</v>
      </c>
      <c r="C36">
        <v>0.1</v>
      </c>
      <c r="D36">
        <v>3</v>
      </c>
      <c r="E36">
        <v>50</v>
      </c>
      <c r="F36">
        <v>8.5</v>
      </c>
      <c r="G36" s="3">
        <f t="shared" si="27"/>
        <v>2.8333333333333335</v>
      </c>
      <c r="N36">
        <v>74</v>
      </c>
      <c r="O36">
        <v>72.599999999999994</v>
      </c>
      <c r="P36" s="3">
        <v>24.3</v>
      </c>
      <c r="Q36">
        <v>40.4</v>
      </c>
      <c r="R36">
        <v>7.1</v>
      </c>
      <c r="S36">
        <v>1.5</v>
      </c>
      <c r="T36">
        <v>47.8</v>
      </c>
      <c r="U36">
        <v>0</v>
      </c>
      <c r="V36">
        <f t="shared" si="28"/>
        <v>2.108910891089109</v>
      </c>
      <c r="W36">
        <f t="shared" si="29"/>
        <v>0.88737623762376228</v>
      </c>
      <c r="X36">
        <v>3.1</v>
      </c>
      <c r="Y36" s="3">
        <v>17.8</v>
      </c>
      <c r="Z36">
        <v>58.7</v>
      </c>
      <c r="AA36">
        <v>6</v>
      </c>
      <c r="AB36">
        <v>1.1000000000000001</v>
      </c>
      <c r="AC36">
        <v>32.5</v>
      </c>
      <c r="AD36">
        <v>0</v>
      </c>
      <c r="AE36">
        <f t="shared" si="9"/>
        <v>1.2265758091993186</v>
      </c>
      <c r="AF36">
        <f t="shared" si="10"/>
        <v>0.41524701873935266</v>
      </c>
      <c r="AG36" s="3">
        <v>1.7</v>
      </c>
      <c r="AH36">
        <v>22.5</v>
      </c>
      <c r="AI36" s="3">
        <v>39.700000000000003</v>
      </c>
    </row>
    <row r="37" spans="1:38" x14ac:dyDescent="0.5">
      <c r="A37">
        <v>0</v>
      </c>
      <c r="B37">
        <v>180</v>
      </c>
      <c r="C37">
        <v>0.1</v>
      </c>
      <c r="D37">
        <v>30</v>
      </c>
      <c r="E37">
        <v>500</v>
      </c>
      <c r="F37">
        <v>150</v>
      </c>
      <c r="G37" s="3">
        <f t="shared" si="27"/>
        <v>5</v>
      </c>
      <c r="N37">
        <v>80.94</v>
      </c>
      <c r="O37">
        <v>78.849999999999994</v>
      </c>
      <c r="P37" s="3">
        <v>20.76</v>
      </c>
      <c r="Q37">
        <v>48.28</v>
      </c>
      <c r="R37">
        <v>7.17</v>
      </c>
      <c r="S37">
        <v>0.5</v>
      </c>
      <c r="T37">
        <v>43.99</v>
      </c>
      <c r="U37">
        <v>0.06</v>
      </c>
      <c r="V37">
        <f t="shared" si="28"/>
        <v>1.7821043910521954</v>
      </c>
      <c r="W37">
        <f t="shared" si="29"/>
        <v>0.683357497928749</v>
      </c>
      <c r="X37">
        <v>0.39</v>
      </c>
      <c r="Y37" s="3">
        <f>(0.338*Q37)+1.428*(R37-(T37/8))</f>
        <v>18.705185</v>
      </c>
      <c r="Z37">
        <v>53.06</v>
      </c>
      <c r="AA37">
        <v>7.18</v>
      </c>
      <c r="AB37">
        <v>0.47</v>
      </c>
      <c r="AC37">
        <v>39.24</v>
      </c>
      <c r="AD37">
        <v>0.05</v>
      </c>
      <c r="AE37">
        <f t="shared" si="9"/>
        <v>1.6238220882020353</v>
      </c>
      <c r="AF37">
        <f t="shared" si="10"/>
        <v>0.55465510742555602</v>
      </c>
      <c r="AG37" s="3">
        <v>0.09</v>
      </c>
      <c r="AH37">
        <v>22.92</v>
      </c>
      <c r="AI37" s="3">
        <v>75.67</v>
      </c>
      <c r="AJ37" s="2" t="s">
        <v>48</v>
      </c>
      <c r="AK37" t="s">
        <v>49</v>
      </c>
      <c r="AL37">
        <v>6</v>
      </c>
    </row>
    <row r="38" spans="1:38" x14ac:dyDescent="0.5">
      <c r="A38">
        <v>30</v>
      </c>
      <c r="B38">
        <v>180</v>
      </c>
      <c r="C38">
        <v>0.1</v>
      </c>
      <c r="D38">
        <v>30</v>
      </c>
      <c r="E38">
        <v>500</v>
      </c>
      <c r="F38">
        <v>150</v>
      </c>
      <c r="G38" s="3">
        <f t="shared" ref="G38:G66" si="30">F38/D38</f>
        <v>5</v>
      </c>
      <c r="N38">
        <v>80.94</v>
      </c>
      <c r="O38">
        <v>78.849999999999994</v>
      </c>
      <c r="P38" s="3">
        <v>20.76</v>
      </c>
      <c r="Q38">
        <v>48.28</v>
      </c>
      <c r="R38">
        <v>7.17</v>
      </c>
      <c r="S38">
        <v>0.5</v>
      </c>
      <c r="T38">
        <v>43.99</v>
      </c>
      <c r="U38">
        <v>0.06</v>
      </c>
      <c r="V38">
        <f t="shared" ref="V38:V46" si="31">(R38/1)/(Q38/12)</f>
        <v>1.7821043910521954</v>
      </c>
      <c r="W38">
        <f t="shared" ref="W38:W46" si="32">(T38/16)/(Q38/12)</f>
        <v>0.683357497928749</v>
      </c>
      <c r="X38">
        <v>0.39</v>
      </c>
      <c r="Y38" s="3">
        <f t="shared" ref="Y38:Y45" si="33">(0.338*Q38)+1.428*(R38-(T38/8))</f>
        <v>18.705185</v>
      </c>
      <c r="Z38">
        <v>54.42</v>
      </c>
      <c r="AA38">
        <v>6.8</v>
      </c>
      <c r="AB38">
        <v>0.27</v>
      </c>
      <c r="AC38">
        <v>38.450000000000003</v>
      </c>
      <c r="AD38">
        <v>0.06</v>
      </c>
      <c r="AE38">
        <f t="shared" si="9"/>
        <v>1.4994487320837926</v>
      </c>
      <c r="AF38">
        <f t="shared" si="10"/>
        <v>0.52990628445424481</v>
      </c>
      <c r="AG38" s="3">
        <v>0.09</v>
      </c>
      <c r="AH38">
        <v>23.04</v>
      </c>
      <c r="AI38" s="3">
        <v>73.3</v>
      </c>
    </row>
    <row r="39" spans="1:38" x14ac:dyDescent="0.5">
      <c r="A39">
        <v>60</v>
      </c>
      <c r="B39">
        <v>180</v>
      </c>
      <c r="C39">
        <v>0.1</v>
      </c>
      <c r="D39">
        <v>30</v>
      </c>
      <c r="E39">
        <v>500</v>
      </c>
      <c r="F39">
        <v>150</v>
      </c>
      <c r="G39" s="3">
        <f t="shared" si="30"/>
        <v>5</v>
      </c>
      <c r="N39">
        <v>80.94</v>
      </c>
      <c r="O39">
        <v>78.849999999999994</v>
      </c>
      <c r="P39" s="3">
        <v>20.76</v>
      </c>
      <c r="Q39">
        <v>48.28</v>
      </c>
      <c r="R39">
        <v>7.17</v>
      </c>
      <c r="S39">
        <v>0.5</v>
      </c>
      <c r="T39">
        <v>43.99</v>
      </c>
      <c r="U39">
        <v>0.06</v>
      </c>
      <c r="V39">
        <f t="shared" si="31"/>
        <v>1.7821043910521954</v>
      </c>
      <c r="W39">
        <f t="shared" si="32"/>
        <v>0.683357497928749</v>
      </c>
      <c r="X39">
        <v>0.39</v>
      </c>
      <c r="Y39" s="3">
        <f t="shared" si="33"/>
        <v>18.705185</v>
      </c>
      <c r="Z39">
        <v>60.24</v>
      </c>
      <c r="AA39">
        <v>6.92</v>
      </c>
      <c r="AB39">
        <v>0.48</v>
      </c>
      <c r="AC39">
        <v>32.35</v>
      </c>
      <c r="AD39">
        <v>0</v>
      </c>
      <c r="AE39">
        <f t="shared" si="9"/>
        <v>1.3784860557768923</v>
      </c>
      <c r="AF39">
        <f t="shared" si="10"/>
        <v>0.40276394422310757</v>
      </c>
      <c r="AG39" s="3">
        <v>0.02</v>
      </c>
      <c r="AH39">
        <v>25.83</v>
      </c>
      <c r="AI39" s="3">
        <v>70.430000000000007</v>
      </c>
    </row>
    <row r="40" spans="1:38" x14ac:dyDescent="0.5">
      <c r="A40">
        <v>0</v>
      </c>
      <c r="B40">
        <v>200</v>
      </c>
      <c r="C40">
        <v>0.1</v>
      </c>
      <c r="D40">
        <v>30</v>
      </c>
      <c r="E40">
        <v>500</v>
      </c>
      <c r="F40">
        <v>150</v>
      </c>
      <c r="G40" s="3">
        <f t="shared" si="30"/>
        <v>5</v>
      </c>
      <c r="N40">
        <v>80.94</v>
      </c>
      <c r="O40">
        <v>78.849999999999994</v>
      </c>
      <c r="P40" s="3">
        <v>20.76</v>
      </c>
      <c r="Q40">
        <v>48.28</v>
      </c>
      <c r="R40">
        <v>7.17</v>
      </c>
      <c r="S40">
        <v>0.5</v>
      </c>
      <c r="T40">
        <v>43.99</v>
      </c>
      <c r="U40">
        <v>0.06</v>
      </c>
      <c r="V40">
        <f t="shared" si="31"/>
        <v>1.7821043910521954</v>
      </c>
      <c r="W40">
        <f t="shared" si="32"/>
        <v>0.683357497928749</v>
      </c>
      <c r="X40">
        <v>0.39</v>
      </c>
      <c r="Y40" s="3">
        <f t="shared" si="33"/>
        <v>18.705185</v>
      </c>
      <c r="Z40">
        <v>62.55</v>
      </c>
      <c r="AA40">
        <v>7.04</v>
      </c>
      <c r="AB40">
        <v>0.45</v>
      </c>
      <c r="AC40">
        <v>29.96</v>
      </c>
      <c r="AD40">
        <v>0</v>
      </c>
      <c r="AE40">
        <f t="shared" si="9"/>
        <v>1.3505995203836931</v>
      </c>
      <c r="AF40">
        <f t="shared" si="10"/>
        <v>0.35923261390887296</v>
      </c>
      <c r="AG40" s="3">
        <v>0.05</v>
      </c>
      <c r="AH40">
        <v>27.03</v>
      </c>
      <c r="AI40" s="3">
        <v>69.72</v>
      </c>
    </row>
    <row r="41" spans="1:38" x14ac:dyDescent="0.5">
      <c r="A41">
        <v>30</v>
      </c>
      <c r="B41">
        <v>200</v>
      </c>
      <c r="C41">
        <v>0.1</v>
      </c>
      <c r="D41">
        <v>30</v>
      </c>
      <c r="E41">
        <v>500</v>
      </c>
      <c r="F41">
        <v>150</v>
      </c>
      <c r="G41" s="3">
        <f t="shared" si="30"/>
        <v>5</v>
      </c>
      <c r="N41">
        <v>80.94</v>
      </c>
      <c r="O41">
        <v>78.849999999999994</v>
      </c>
      <c r="P41" s="3">
        <v>20.76</v>
      </c>
      <c r="Q41">
        <v>48.28</v>
      </c>
      <c r="R41">
        <v>7.17</v>
      </c>
      <c r="S41">
        <v>0.5</v>
      </c>
      <c r="T41">
        <v>43.99</v>
      </c>
      <c r="U41">
        <v>0.06</v>
      </c>
      <c r="V41">
        <f t="shared" si="31"/>
        <v>1.7821043910521954</v>
      </c>
      <c r="W41">
        <f t="shared" si="32"/>
        <v>0.683357497928749</v>
      </c>
      <c r="X41">
        <v>0.39</v>
      </c>
      <c r="Y41" s="3">
        <f t="shared" si="33"/>
        <v>18.705185</v>
      </c>
      <c r="Z41">
        <v>61.39</v>
      </c>
      <c r="AA41">
        <v>6.75</v>
      </c>
      <c r="AB41">
        <v>0.33</v>
      </c>
      <c r="AC41">
        <v>31.53</v>
      </c>
      <c r="AD41">
        <v>0</v>
      </c>
      <c r="AE41">
        <f t="shared" si="9"/>
        <v>1.3194331324319921</v>
      </c>
      <c r="AF41">
        <f t="shared" si="10"/>
        <v>0.38520117282945104</v>
      </c>
      <c r="AG41" s="3">
        <v>0.06</v>
      </c>
      <c r="AH41">
        <v>26.43</v>
      </c>
      <c r="AI41" s="3">
        <v>66.94</v>
      </c>
    </row>
    <row r="42" spans="1:38" x14ac:dyDescent="0.5">
      <c r="A42">
        <v>60</v>
      </c>
      <c r="B42">
        <v>200</v>
      </c>
      <c r="C42">
        <v>0.1</v>
      </c>
      <c r="D42">
        <v>30</v>
      </c>
      <c r="E42">
        <v>500</v>
      </c>
      <c r="F42">
        <v>150</v>
      </c>
      <c r="G42" s="3">
        <f t="shared" si="30"/>
        <v>5</v>
      </c>
      <c r="N42">
        <v>80.94</v>
      </c>
      <c r="O42">
        <v>78.849999999999994</v>
      </c>
      <c r="P42" s="3">
        <v>20.76</v>
      </c>
      <c r="Q42">
        <v>48.28</v>
      </c>
      <c r="R42">
        <v>7.17</v>
      </c>
      <c r="S42">
        <v>0.5</v>
      </c>
      <c r="T42">
        <v>43.99</v>
      </c>
      <c r="U42">
        <v>0.06</v>
      </c>
      <c r="V42">
        <f t="shared" si="31"/>
        <v>1.7821043910521954</v>
      </c>
      <c r="W42">
        <f t="shared" si="32"/>
        <v>0.683357497928749</v>
      </c>
      <c r="X42">
        <v>0.39</v>
      </c>
      <c r="Y42" s="3">
        <f t="shared" si="33"/>
        <v>18.705185</v>
      </c>
      <c r="Z42">
        <v>64.430000000000007</v>
      </c>
      <c r="AA42">
        <v>7.04</v>
      </c>
      <c r="AB42">
        <v>0.45</v>
      </c>
      <c r="AC42">
        <v>28.09</v>
      </c>
      <c r="AD42">
        <v>0</v>
      </c>
      <c r="AE42">
        <f t="shared" si="9"/>
        <v>1.3111904392363805</v>
      </c>
      <c r="AF42">
        <f t="shared" si="10"/>
        <v>0.32698277200062076</v>
      </c>
      <c r="AG42" s="3">
        <v>0.05</v>
      </c>
      <c r="AH42">
        <v>27.88</v>
      </c>
      <c r="AI42" s="3">
        <v>66.12</v>
      </c>
    </row>
    <row r="43" spans="1:38" x14ac:dyDescent="0.5">
      <c r="A43">
        <v>0</v>
      </c>
      <c r="B43">
        <v>220</v>
      </c>
      <c r="C43">
        <v>0.1</v>
      </c>
      <c r="D43">
        <v>30</v>
      </c>
      <c r="E43">
        <v>500</v>
      </c>
      <c r="F43">
        <v>150</v>
      </c>
      <c r="G43" s="3">
        <f t="shared" si="30"/>
        <v>5</v>
      </c>
      <c r="N43">
        <v>80.94</v>
      </c>
      <c r="O43">
        <v>78.849999999999994</v>
      </c>
      <c r="P43" s="3">
        <v>20.76</v>
      </c>
      <c r="Q43">
        <v>48.28</v>
      </c>
      <c r="R43">
        <v>7.17</v>
      </c>
      <c r="S43">
        <v>0.5</v>
      </c>
      <c r="T43">
        <v>43.99</v>
      </c>
      <c r="U43">
        <v>0.06</v>
      </c>
      <c r="V43">
        <f t="shared" si="31"/>
        <v>1.7821043910521954</v>
      </c>
      <c r="W43">
        <f t="shared" si="32"/>
        <v>0.683357497928749</v>
      </c>
      <c r="X43">
        <v>0.39</v>
      </c>
      <c r="Y43" s="3">
        <f t="shared" si="33"/>
        <v>18.705185</v>
      </c>
      <c r="Z43">
        <v>65.819999999999993</v>
      </c>
      <c r="AA43">
        <v>6.87</v>
      </c>
      <c r="AB43">
        <v>0.44</v>
      </c>
      <c r="AC43">
        <v>26.87</v>
      </c>
      <c r="AD43">
        <v>0</v>
      </c>
      <c r="AE43">
        <f t="shared" si="9"/>
        <v>1.2525068368277121</v>
      </c>
      <c r="AF43">
        <f t="shared" si="10"/>
        <v>0.30617593436645402</v>
      </c>
      <c r="AG43" s="3">
        <v>0</v>
      </c>
      <c r="AH43">
        <v>28.29</v>
      </c>
      <c r="AI43" s="3">
        <v>66.45</v>
      </c>
    </row>
    <row r="44" spans="1:38" x14ac:dyDescent="0.5">
      <c r="A44">
        <v>30</v>
      </c>
      <c r="B44">
        <v>220</v>
      </c>
      <c r="C44">
        <v>0.1</v>
      </c>
      <c r="D44">
        <v>30</v>
      </c>
      <c r="E44">
        <v>500</v>
      </c>
      <c r="F44">
        <v>150</v>
      </c>
      <c r="G44" s="3">
        <f t="shared" si="30"/>
        <v>5</v>
      </c>
      <c r="N44">
        <v>80.94</v>
      </c>
      <c r="O44">
        <v>78.849999999999994</v>
      </c>
      <c r="P44" s="3">
        <v>20.76</v>
      </c>
      <c r="Q44">
        <v>48.28</v>
      </c>
      <c r="R44">
        <v>7.17</v>
      </c>
      <c r="S44">
        <v>0.5</v>
      </c>
      <c r="T44">
        <v>43.99</v>
      </c>
      <c r="U44">
        <v>0.06</v>
      </c>
      <c r="V44">
        <f t="shared" si="31"/>
        <v>1.7821043910521954</v>
      </c>
      <c r="W44">
        <f t="shared" si="32"/>
        <v>0.683357497928749</v>
      </c>
      <c r="X44">
        <v>0.39</v>
      </c>
      <c r="Y44" s="3">
        <f t="shared" si="33"/>
        <v>18.705185</v>
      </c>
      <c r="Z44">
        <v>65.73</v>
      </c>
      <c r="AA44">
        <v>6.34</v>
      </c>
      <c r="AB44">
        <v>0.33</v>
      </c>
      <c r="AC44">
        <v>27.6</v>
      </c>
      <c r="AD44">
        <v>0</v>
      </c>
      <c r="AE44">
        <f t="shared" si="9"/>
        <v>1.1574623459607485</v>
      </c>
      <c r="AF44">
        <f t="shared" si="10"/>
        <v>0.31492469192149702</v>
      </c>
      <c r="AG44" s="3">
        <v>0.05</v>
      </c>
      <c r="AH44">
        <v>27.56</v>
      </c>
      <c r="AI44" s="3">
        <v>63.13</v>
      </c>
    </row>
    <row r="45" spans="1:38" x14ac:dyDescent="0.5">
      <c r="A45">
        <v>60</v>
      </c>
      <c r="B45">
        <v>220</v>
      </c>
      <c r="C45">
        <v>0.1</v>
      </c>
      <c r="D45">
        <v>30</v>
      </c>
      <c r="E45">
        <v>500</v>
      </c>
      <c r="F45">
        <v>150</v>
      </c>
      <c r="G45" s="3">
        <f t="shared" si="30"/>
        <v>5</v>
      </c>
      <c r="N45">
        <v>80.94</v>
      </c>
      <c r="O45">
        <v>78.849999999999994</v>
      </c>
      <c r="P45" s="3">
        <v>20.76</v>
      </c>
      <c r="Q45">
        <v>48.28</v>
      </c>
      <c r="R45">
        <v>7.17</v>
      </c>
      <c r="S45">
        <v>0.5</v>
      </c>
      <c r="T45">
        <v>43.99</v>
      </c>
      <c r="U45">
        <v>0.06</v>
      </c>
      <c r="V45">
        <f t="shared" si="31"/>
        <v>1.7821043910521954</v>
      </c>
      <c r="W45">
        <f t="shared" si="32"/>
        <v>0.683357497928749</v>
      </c>
      <c r="X45">
        <v>0.39</v>
      </c>
      <c r="Y45" s="3">
        <f t="shared" si="33"/>
        <v>18.705185</v>
      </c>
      <c r="Z45">
        <v>68.83</v>
      </c>
      <c r="AA45">
        <v>6.66</v>
      </c>
      <c r="AB45">
        <v>0.46</v>
      </c>
      <c r="AC45">
        <v>24.05</v>
      </c>
      <c r="AD45">
        <v>0</v>
      </c>
      <c r="AE45">
        <f t="shared" si="9"/>
        <v>1.1611216039517653</v>
      </c>
      <c r="AF45">
        <f t="shared" si="10"/>
        <v>0.26205869533633591</v>
      </c>
      <c r="AG45" s="3">
        <v>0</v>
      </c>
      <c r="AH45">
        <v>29.39</v>
      </c>
      <c r="AI45" s="3">
        <v>59.19</v>
      </c>
    </row>
    <row r="46" spans="1:38" x14ac:dyDescent="0.5">
      <c r="A46">
        <v>120</v>
      </c>
      <c r="B46">
        <v>180</v>
      </c>
      <c r="C46">
        <v>0.1</v>
      </c>
      <c r="D46">
        <v>20</v>
      </c>
      <c r="E46">
        <v>500</v>
      </c>
      <c r="F46">
        <v>100</v>
      </c>
      <c r="G46" s="3">
        <f t="shared" si="30"/>
        <v>5</v>
      </c>
      <c r="O46">
        <v>82.6</v>
      </c>
      <c r="P46" s="3">
        <v>8.3000000000000007</v>
      </c>
      <c r="Q46">
        <v>38.25</v>
      </c>
      <c r="R46">
        <v>5.47</v>
      </c>
      <c r="S46">
        <v>3.66</v>
      </c>
      <c r="T46">
        <v>43.82</v>
      </c>
      <c r="U46">
        <v>0.5</v>
      </c>
      <c r="V46">
        <f t="shared" si="31"/>
        <v>1.716078431372549</v>
      </c>
      <c r="W46">
        <f t="shared" si="32"/>
        <v>0.85921568627450984</v>
      </c>
      <c r="X46">
        <v>9.1</v>
      </c>
      <c r="Y46" s="3">
        <v>16.13</v>
      </c>
      <c r="Z46">
        <v>42.27</v>
      </c>
      <c r="AA46">
        <v>6.47</v>
      </c>
      <c r="AB46">
        <v>2.19</v>
      </c>
      <c r="AC46">
        <v>42.79</v>
      </c>
      <c r="AD46">
        <v>0.47</v>
      </c>
      <c r="AE46">
        <f t="shared" si="9"/>
        <v>1.8367636621717527</v>
      </c>
      <c r="AF46">
        <f t="shared" si="10"/>
        <v>0.75922640170333555</v>
      </c>
      <c r="AG46" s="3">
        <v>5.81</v>
      </c>
      <c r="AH46">
        <v>18.61</v>
      </c>
      <c r="AI46" s="3">
        <v>70.75</v>
      </c>
      <c r="AJ46" s="2" t="s">
        <v>50</v>
      </c>
      <c r="AK46" t="s">
        <v>28</v>
      </c>
      <c r="AL46">
        <v>7</v>
      </c>
    </row>
    <row r="47" spans="1:38" x14ac:dyDescent="0.5">
      <c r="A47">
        <v>120</v>
      </c>
      <c r="B47">
        <v>180</v>
      </c>
      <c r="C47">
        <v>0.1</v>
      </c>
      <c r="D47">
        <v>20</v>
      </c>
      <c r="E47">
        <v>500</v>
      </c>
      <c r="F47">
        <v>300</v>
      </c>
      <c r="G47" s="3">
        <f t="shared" si="30"/>
        <v>15</v>
      </c>
      <c r="O47">
        <v>82.6</v>
      </c>
      <c r="P47" s="3">
        <v>8.3000000000000007</v>
      </c>
      <c r="Q47">
        <v>38.25</v>
      </c>
      <c r="R47">
        <v>5.47</v>
      </c>
      <c r="S47">
        <v>3.66</v>
      </c>
      <c r="T47">
        <v>43.82</v>
      </c>
      <c r="U47">
        <v>0.5</v>
      </c>
      <c r="V47">
        <f t="shared" ref="V47:V74" si="34">(R47/1)/(Q47/12)</f>
        <v>1.716078431372549</v>
      </c>
      <c r="W47">
        <f t="shared" ref="W47:W74" si="35">(T47/16)/(Q47/12)</f>
        <v>0.85921568627450984</v>
      </c>
      <c r="X47">
        <v>9.1</v>
      </c>
      <c r="Y47" s="3">
        <v>16.13</v>
      </c>
      <c r="Z47">
        <v>41.01</v>
      </c>
      <c r="AA47">
        <v>6.22</v>
      </c>
      <c r="AB47">
        <v>2.0699999999999998</v>
      </c>
      <c r="AC47">
        <v>43.93</v>
      </c>
      <c r="AD47">
        <v>0.52</v>
      </c>
      <c r="AE47">
        <f t="shared" si="9"/>
        <v>1.8200438917337234</v>
      </c>
      <c r="AF47">
        <f t="shared" si="10"/>
        <v>0.80340160936356986</v>
      </c>
      <c r="AG47" s="3">
        <v>6.25</v>
      </c>
      <c r="AH47">
        <v>18.14</v>
      </c>
      <c r="AI47" s="3">
        <v>55.13</v>
      </c>
    </row>
    <row r="48" spans="1:38" x14ac:dyDescent="0.5">
      <c r="A48">
        <v>360</v>
      </c>
      <c r="B48">
        <v>180</v>
      </c>
      <c r="C48">
        <v>0.1</v>
      </c>
      <c r="D48">
        <v>20</v>
      </c>
      <c r="E48">
        <v>500</v>
      </c>
      <c r="F48">
        <v>100</v>
      </c>
      <c r="G48" s="3">
        <f t="shared" si="30"/>
        <v>5</v>
      </c>
      <c r="O48">
        <v>82.6</v>
      </c>
      <c r="P48" s="3">
        <v>8.3000000000000007</v>
      </c>
      <c r="Q48">
        <v>38.25</v>
      </c>
      <c r="R48">
        <v>5.47</v>
      </c>
      <c r="S48">
        <v>3.66</v>
      </c>
      <c r="T48">
        <v>43.82</v>
      </c>
      <c r="U48">
        <v>0.5</v>
      </c>
      <c r="V48">
        <f t="shared" si="34"/>
        <v>1.716078431372549</v>
      </c>
      <c r="W48">
        <f t="shared" si="35"/>
        <v>0.85921568627450984</v>
      </c>
      <c r="X48">
        <v>9.1</v>
      </c>
      <c r="Y48" s="3">
        <v>16.13</v>
      </c>
      <c r="Z48">
        <v>49.16</v>
      </c>
      <c r="AA48">
        <v>7.26</v>
      </c>
      <c r="AB48">
        <v>2.85</v>
      </c>
      <c r="AC48">
        <v>34.51</v>
      </c>
      <c r="AD48">
        <v>0.49</v>
      </c>
      <c r="AE48">
        <f t="shared" si="9"/>
        <v>1.7721724979658258</v>
      </c>
      <c r="AF48">
        <f t="shared" si="10"/>
        <v>0.52649511798209925</v>
      </c>
      <c r="AG48" s="3">
        <v>5.73</v>
      </c>
      <c r="AH48">
        <v>18.14</v>
      </c>
      <c r="AI48" s="3">
        <v>49.02</v>
      </c>
    </row>
    <row r="49" spans="1:35" x14ac:dyDescent="0.5">
      <c r="A49">
        <v>360</v>
      </c>
      <c r="B49">
        <v>180</v>
      </c>
      <c r="C49">
        <v>0.1</v>
      </c>
      <c r="D49">
        <v>20</v>
      </c>
      <c r="E49">
        <v>500</v>
      </c>
      <c r="F49">
        <v>300</v>
      </c>
      <c r="G49" s="3">
        <f t="shared" si="30"/>
        <v>15</v>
      </c>
      <c r="O49">
        <v>82.6</v>
      </c>
      <c r="P49" s="3">
        <v>8.3000000000000007</v>
      </c>
      <c r="Q49">
        <v>38.25</v>
      </c>
      <c r="R49">
        <v>5.47</v>
      </c>
      <c r="S49">
        <v>3.66</v>
      </c>
      <c r="T49">
        <v>43.82</v>
      </c>
      <c r="U49">
        <v>0.5</v>
      </c>
      <c r="V49">
        <f t="shared" si="34"/>
        <v>1.716078431372549</v>
      </c>
      <c r="W49">
        <f t="shared" si="35"/>
        <v>0.85921568627450984</v>
      </c>
      <c r="X49">
        <v>9.1</v>
      </c>
      <c r="Y49" s="3">
        <v>16.13</v>
      </c>
      <c r="Z49">
        <v>52.94</v>
      </c>
      <c r="AA49">
        <v>7.37</v>
      </c>
      <c r="AB49">
        <v>2.42</v>
      </c>
      <c r="AC49">
        <v>30.78</v>
      </c>
      <c r="AD49">
        <v>0.41</v>
      </c>
      <c r="AE49">
        <f t="shared" si="9"/>
        <v>1.6705704571212696</v>
      </c>
      <c r="AF49">
        <f t="shared" si="10"/>
        <v>0.43605969021533819</v>
      </c>
      <c r="AG49" s="3">
        <v>6.08</v>
      </c>
      <c r="AH49">
        <v>22.75</v>
      </c>
      <c r="AI49" s="3">
        <v>40.020000000000003</v>
      </c>
    </row>
    <row r="50" spans="1:35" x14ac:dyDescent="0.5">
      <c r="A50">
        <v>240</v>
      </c>
      <c r="B50">
        <v>160</v>
      </c>
      <c r="C50">
        <v>0.1</v>
      </c>
      <c r="D50">
        <v>20</v>
      </c>
      <c r="E50">
        <v>500</v>
      </c>
      <c r="F50">
        <v>150</v>
      </c>
      <c r="G50" s="3">
        <f t="shared" si="30"/>
        <v>7.5</v>
      </c>
      <c r="O50">
        <v>82.6</v>
      </c>
      <c r="P50" s="3">
        <v>8.3000000000000007</v>
      </c>
      <c r="Q50">
        <v>38.25</v>
      </c>
      <c r="R50">
        <v>5.47</v>
      </c>
      <c r="S50">
        <v>3.66</v>
      </c>
      <c r="T50">
        <v>43.82</v>
      </c>
      <c r="U50">
        <v>0.5</v>
      </c>
      <c r="V50">
        <f t="shared" si="34"/>
        <v>1.716078431372549</v>
      </c>
      <c r="W50">
        <f t="shared" si="35"/>
        <v>0.85921568627450984</v>
      </c>
      <c r="X50">
        <v>9.1</v>
      </c>
      <c r="Y50" s="3">
        <v>16.13</v>
      </c>
      <c r="Z50">
        <v>45.82</v>
      </c>
      <c r="AA50">
        <v>5.61</v>
      </c>
      <c r="AB50">
        <v>2.77</v>
      </c>
      <c r="AC50">
        <v>39.21</v>
      </c>
      <c r="AD50">
        <v>0.25</v>
      </c>
      <c r="AE50">
        <f t="shared" si="9"/>
        <v>1.4692274116106505</v>
      </c>
      <c r="AF50">
        <f t="shared" si="10"/>
        <v>0.64180488869489305</v>
      </c>
      <c r="AG50" s="3">
        <v>6.34</v>
      </c>
      <c r="AH50">
        <v>19.420000000000002</v>
      </c>
      <c r="AI50" s="3">
        <v>57.38</v>
      </c>
    </row>
    <row r="51" spans="1:35" x14ac:dyDescent="0.5">
      <c r="A51">
        <v>240</v>
      </c>
      <c r="B51">
        <v>210</v>
      </c>
      <c r="C51">
        <v>0.1</v>
      </c>
      <c r="D51">
        <v>20</v>
      </c>
      <c r="E51">
        <v>500</v>
      </c>
      <c r="F51">
        <v>80</v>
      </c>
      <c r="G51" s="3">
        <f t="shared" si="30"/>
        <v>4</v>
      </c>
      <c r="O51">
        <v>82.6</v>
      </c>
      <c r="P51" s="3">
        <v>8.3000000000000007</v>
      </c>
      <c r="Q51">
        <v>38.25</v>
      </c>
      <c r="R51">
        <v>5.47</v>
      </c>
      <c r="S51">
        <v>3.66</v>
      </c>
      <c r="T51">
        <v>43.82</v>
      </c>
      <c r="U51">
        <v>0.5</v>
      </c>
      <c r="V51">
        <f t="shared" si="34"/>
        <v>1.716078431372549</v>
      </c>
      <c r="W51">
        <f t="shared" si="35"/>
        <v>0.85921568627450984</v>
      </c>
      <c r="X51">
        <v>9.1</v>
      </c>
      <c r="Y51" s="3">
        <v>16.13</v>
      </c>
      <c r="Z51">
        <v>50.37</v>
      </c>
      <c r="AA51">
        <v>7.72</v>
      </c>
      <c r="AB51">
        <v>2.96</v>
      </c>
      <c r="AC51">
        <v>32.68</v>
      </c>
      <c r="AD51">
        <v>0.49</v>
      </c>
      <c r="AE51">
        <f t="shared" si="9"/>
        <v>1.8391899940440739</v>
      </c>
      <c r="AF51">
        <f t="shared" si="10"/>
        <v>0.48659916617033949</v>
      </c>
      <c r="AG51" s="3">
        <v>5.78</v>
      </c>
      <c r="AH51">
        <v>24.29</v>
      </c>
      <c r="AI51" s="3">
        <v>53.11</v>
      </c>
    </row>
    <row r="52" spans="1:35" x14ac:dyDescent="0.5">
      <c r="A52">
        <v>240</v>
      </c>
      <c r="B52">
        <v>210</v>
      </c>
      <c r="C52">
        <v>0.1</v>
      </c>
      <c r="D52">
        <v>20</v>
      </c>
      <c r="E52">
        <v>500</v>
      </c>
      <c r="F52">
        <v>115</v>
      </c>
      <c r="G52" s="3">
        <f t="shared" si="30"/>
        <v>5.75</v>
      </c>
      <c r="O52">
        <v>82.6</v>
      </c>
      <c r="P52" s="3">
        <v>8.3000000000000007</v>
      </c>
      <c r="Q52">
        <v>38.25</v>
      </c>
      <c r="R52">
        <v>5.47</v>
      </c>
      <c r="S52">
        <v>3.66</v>
      </c>
      <c r="T52">
        <v>43.82</v>
      </c>
      <c r="U52">
        <v>0.5</v>
      </c>
      <c r="V52">
        <f t="shared" si="34"/>
        <v>1.716078431372549</v>
      </c>
      <c r="W52">
        <f t="shared" si="35"/>
        <v>0.85921568627450984</v>
      </c>
      <c r="X52">
        <v>9.1</v>
      </c>
      <c r="Y52" s="3">
        <v>16.13</v>
      </c>
      <c r="Z52">
        <v>51.94</v>
      </c>
      <c r="AA52">
        <v>7.1</v>
      </c>
      <c r="AB52">
        <v>3.01</v>
      </c>
      <c r="AC52">
        <v>31.52</v>
      </c>
      <c r="AD52">
        <v>0.4</v>
      </c>
      <c r="AE52">
        <f t="shared" si="9"/>
        <v>1.6403542549095109</v>
      </c>
      <c r="AF52">
        <f t="shared" si="10"/>
        <v>0.45514054678475163</v>
      </c>
      <c r="AG52" s="3">
        <v>6.03</v>
      </c>
      <c r="AH52">
        <v>24.81</v>
      </c>
      <c r="AI52" s="3">
        <v>53.02</v>
      </c>
    </row>
    <row r="53" spans="1:35" x14ac:dyDescent="0.5">
      <c r="A53">
        <v>40</v>
      </c>
      <c r="B53">
        <v>210</v>
      </c>
      <c r="C53">
        <v>0.1</v>
      </c>
      <c r="D53">
        <v>20</v>
      </c>
      <c r="E53">
        <v>500</v>
      </c>
      <c r="F53">
        <v>150</v>
      </c>
      <c r="G53" s="3">
        <f t="shared" si="30"/>
        <v>7.5</v>
      </c>
      <c r="O53">
        <v>82.6</v>
      </c>
      <c r="P53" s="3">
        <v>8.3000000000000007</v>
      </c>
      <c r="Q53">
        <v>38.25</v>
      </c>
      <c r="R53">
        <v>5.47</v>
      </c>
      <c r="S53">
        <v>3.66</v>
      </c>
      <c r="T53">
        <v>43.82</v>
      </c>
      <c r="U53">
        <v>0.5</v>
      </c>
      <c r="V53">
        <f t="shared" si="34"/>
        <v>1.716078431372549</v>
      </c>
      <c r="W53">
        <f t="shared" si="35"/>
        <v>0.85921568627450984</v>
      </c>
      <c r="X53">
        <v>9.1</v>
      </c>
      <c r="Y53" s="3">
        <v>16.13</v>
      </c>
      <c r="Z53">
        <v>40.36</v>
      </c>
      <c r="AA53">
        <v>7.15</v>
      </c>
      <c r="AB53">
        <v>2.62</v>
      </c>
      <c r="AC53">
        <v>43.47</v>
      </c>
      <c r="AD53">
        <v>0.48</v>
      </c>
      <c r="AE53">
        <f t="shared" si="9"/>
        <v>2.1258671952428148</v>
      </c>
      <c r="AF53">
        <f t="shared" si="10"/>
        <v>0.80779236868186322</v>
      </c>
      <c r="AG53" s="3">
        <v>5.92</v>
      </c>
      <c r="AH53">
        <v>18.579999999999998</v>
      </c>
      <c r="AI53" s="3">
        <v>66.010000000000005</v>
      </c>
    </row>
    <row r="54" spans="1:35" x14ac:dyDescent="0.5">
      <c r="A54">
        <v>240</v>
      </c>
      <c r="B54">
        <v>210</v>
      </c>
      <c r="C54">
        <v>0.1</v>
      </c>
      <c r="D54">
        <v>20</v>
      </c>
      <c r="E54">
        <v>500</v>
      </c>
      <c r="F54">
        <v>150</v>
      </c>
      <c r="G54" s="3">
        <f t="shared" si="30"/>
        <v>7.5</v>
      </c>
      <c r="O54">
        <v>82.6</v>
      </c>
      <c r="P54" s="3">
        <v>8.3000000000000007</v>
      </c>
      <c r="Q54">
        <v>38.25</v>
      </c>
      <c r="R54">
        <v>5.47</v>
      </c>
      <c r="S54">
        <v>3.66</v>
      </c>
      <c r="T54">
        <v>43.82</v>
      </c>
      <c r="U54">
        <v>0.5</v>
      </c>
      <c r="V54">
        <f t="shared" si="34"/>
        <v>1.716078431372549</v>
      </c>
      <c r="W54">
        <f t="shared" si="35"/>
        <v>0.85921568627450984</v>
      </c>
      <c r="X54">
        <v>9.1</v>
      </c>
      <c r="Y54" s="3">
        <v>16.13</v>
      </c>
      <c r="Z54">
        <v>51.19</v>
      </c>
      <c r="AA54">
        <v>8.5299999999999994</v>
      </c>
      <c r="AB54">
        <v>3.16</v>
      </c>
      <c r="AC54">
        <v>30.8</v>
      </c>
      <c r="AD54">
        <v>0.33</v>
      </c>
      <c r="AE54">
        <f t="shared" si="9"/>
        <v>1.9996092986911504</v>
      </c>
      <c r="AF54">
        <f t="shared" si="10"/>
        <v>0.4512600117210393</v>
      </c>
      <c r="AG54" s="3">
        <v>5.99</v>
      </c>
      <c r="AH54">
        <v>24.62</v>
      </c>
      <c r="AI54" s="3">
        <v>52.16</v>
      </c>
    </row>
    <row r="55" spans="1:35" x14ac:dyDescent="0.5">
      <c r="A55">
        <v>240</v>
      </c>
      <c r="B55">
        <v>210</v>
      </c>
      <c r="C55">
        <v>0.1</v>
      </c>
      <c r="D55">
        <v>20</v>
      </c>
      <c r="E55">
        <v>500</v>
      </c>
      <c r="F55">
        <v>150</v>
      </c>
      <c r="G55" s="3">
        <f t="shared" si="30"/>
        <v>7.5</v>
      </c>
      <c r="O55">
        <v>82.6</v>
      </c>
      <c r="P55" s="3">
        <v>8.3000000000000007</v>
      </c>
      <c r="Q55">
        <v>38.25</v>
      </c>
      <c r="R55">
        <v>5.47</v>
      </c>
      <c r="S55">
        <v>3.66</v>
      </c>
      <c r="T55">
        <v>43.82</v>
      </c>
      <c r="U55">
        <v>0.5</v>
      </c>
      <c r="V55">
        <f t="shared" si="34"/>
        <v>1.716078431372549</v>
      </c>
      <c r="W55">
        <f t="shared" si="35"/>
        <v>0.85921568627450984</v>
      </c>
      <c r="X55">
        <v>9.1</v>
      </c>
      <c r="Y55" s="3">
        <v>16.13</v>
      </c>
      <c r="Z55">
        <v>52.03</v>
      </c>
      <c r="AA55">
        <v>8.08</v>
      </c>
      <c r="AB55">
        <v>3.06</v>
      </c>
      <c r="AC55">
        <v>30.4</v>
      </c>
      <c r="AD55">
        <v>0.27</v>
      </c>
      <c r="AE55">
        <f t="shared" si="9"/>
        <v>1.8635402652315971</v>
      </c>
      <c r="AF55">
        <f t="shared" si="10"/>
        <v>0.43820872573515279</v>
      </c>
      <c r="AG55" s="3">
        <v>6.16</v>
      </c>
      <c r="AH55">
        <v>24.91</v>
      </c>
      <c r="AI55" s="3">
        <v>52.37</v>
      </c>
    </row>
    <row r="56" spans="1:35" x14ac:dyDescent="0.5">
      <c r="A56">
        <v>240</v>
      </c>
      <c r="B56">
        <v>210</v>
      </c>
      <c r="C56">
        <v>0.1</v>
      </c>
      <c r="D56">
        <v>20</v>
      </c>
      <c r="E56">
        <v>500</v>
      </c>
      <c r="F56">
        <v>150</v>
      </c>
      <c r="G56" s="3">
        <f t="shared" si="30"/>
        <v>7.5</v>
      </c>
      <c r="O56">
        <v>82.6</v>
      </c>
      <c r="P56" s="3">
        <v>8.3000000000000007</v>
      </c>
      <c r="Q56">
        <v>38.25</v>
      </c>
      <c r="R56">
        <v>5.47</v>
      </c>
      <c r="S56">
        <v>3.66</v>
      </c>
      <c r="T56">
        <v>43.82</v>
      </c>
      <c r="U56">
        <v>0.5</v>
      </c>
      <c r="V56">
        <f t="shared" si="34"/>
        <v>1.716078431372549</v>
      </c>
      <c r="W56">
        <f t="shared" si="35"/>
        <v>0.85921568627450984</v>
      </c>
      <c r="X56">
        <v>9.1</v>
      </c>
      <c r="Y56" s="3">
        <v>16.13</v>
      </c>
      <c r="Z56">
        <v>52.81</v>
      </c>
      <c r="AA56">
        <v>7.83</v>
      </c>
      <c r="AB56">
        <v>3.93</v>
      </c>
      <c r="AC56">
        <v>29.52</v>
      </c>
      <c r="AD56">
        <v>0.33</v>
      </c>
      <c r="AE56">
        <f t="shared" si="9"/>
        <v>1.77920848324181</v>
      </c>
      <c r="AF56">
        <f t="shared" si="10"/>
        <v>0.41923878053398972</v>
      </c>
      <c r="AG56" s="3">
        <v>6.58</v>
      </c>
      <c r="AH56">
        <v>25.01</v>
      </c>
      <c r="AI56" s="3">
        <v>51.64</v>
      </c>
    </row>
    <row r="57" spans="1:35" x14ac:dyDescent="0.5">
      <c r="A57">
        <v>240</v>
      </c>
      <c r="B57">
        <v>210</v>
      </c>
      <c r="C57">
        <v>0.1</v>
      </c>
      <c r="D57">
        <v>20</v>
      </c>
      <c r="E57">
        <v>500</v>
      </c>
      <c r="F57">
        <v>150</v>
      </c>
      <c r="G57" s="3">
        <f t="shared" si="30"/>
        <v>7.5</v>
      </c>
      <c r="O57">
        <v>82.6</v>
      </c>
      <c r="P57" s="3">
        <v>8.3000000000000007</v>
      </c>
      <c r="Q57">
        <v>38.25</v>
      </c>
      <c r="R57">
        <v>5.47</v>
      </c>
      <c r="S57">
        <v>3.66</v>
      </c>
      <c r="T57">
        <v>43.82</v>
      </c>
      <c r="U57">
        <v>0.5</v>
      </c>
      <c r="V57">
        <f t="shared" si="34"/>
        <v>1.716078431372549</v>
      </c>
      <c r="W57">
        <f t="shared" si="35"/>
        <v>0.85921568627450984</v>
      </c>
      <c r="X57">
        <v>9.1</v>
      </c>
      <c r="Y57" s="3">
        <v>16.13</v>
      </c>
      <c r="Z57">
        <v>50.49</v>
      </c>
      <c r="AA57">
        <v>7.59</v>
      </c>
      <c r="AB57">
        <v>3.37</v>
      </c>
      <c r="AC57">
        <v>32.020000000000003</v>
      </c>
      <c r="AD57">
        <v>0.34</v>
      </c>
      <c r="AE57">
        <f t="shared" si="9"/>
        <v>1.8039215686274508</v>
      </c>
      <c r="AF57">
        <f t="shared" si="10"/>
        <v>0.47563874034462267</v>
      </c>
      <c r="AG57" s="3">
        <v>6.19</v>
      </c>
      <c r="AH57">
        <v>24.84</v>
      </c>
      <c r="AI57" s="3">
        <v>50.68</v>
      </c>
    </row>
    <row r="58" spans="1:35" x14ac:dyDescent="0.5">
      <c r="A58">
        <v>240</v>
      </c>
      <c r="B58">
        <v>210</v>
      </c>
      <c r="C58">
        <v>0.1</v>
      </c>
      <c r="D58">
        <v>20</v>
      </c>
      <c r="E58">
        <v>500</v>
      </c>
      <c r="F58">
        <v>150</v>
      </c>
      <c r="G58" s="3">
        <f t="shared" si="30"/>
        <v>7.5</v>
      </c>
      <c r="O58">
        <v>82.6</v>
      </c>
      <c r="P58" s="3">
        <v>8.3000000000000007</v>
      </c>
      <c r="Q58">
        <v>38.25</v>
      </c>
      <c r="R58">
        <v>5.47</v>
      </c>
      <c r="S58">
        <v>3.66</v>
      </c>
      <c r="T58">
        <v>43.82</v>
      </c>
      <c r="U58">
        <v>0.5</v>
      </c>
      <c r="V58">
        <f t="shared" si="34"/>
        <v>1.716078431372549</v>
      </c>
      <c r="W58">
        <f t="shared" si="35"/>
        <v>0.85921568627450984</v>
      </c>
      <c r="X58">
        <v>9.1</v>
      </c>
      <c r="Y58" s="3">
        <v>16.13</v>
      </c>
      <c r="Z58">
        <v>49.76</v>
      </c>
      <c r="AA58">
        <v>8.11</v>
      </c>
      <c r="AB58">
        <v>2.87</v>
      </c>
      <c r="AC58">
        <v>32.14</v>
      </c>
      <c r="AD58">
        <v>0.28999999999999998</v>
      </c>
      <c r="AE58">
        <f t="shared" si="9"/>
        <v>1.9557877813504823</v>
      </c>
      <c r="AF58">
        <f t="shared" si="10"/>
        <v>0.48442524115755631</v>
      </c>
      <c r="AG58" s="3">
        <v>6.83</v>
      </c>
      <c r="AH58">
        <v>24.16</v>
      </c>
      <c r="AI58" s="3">
        <v>51.92</v>
      </c>
    </row>
    <row r="59" spans="1:35" x14ac:dyDescent="0.5">
      <c r="A59">
        <v>240</v>
      </c>
      <c r="B59">
        <v>210</v>
      </c>
      <c r="C59">
        <v>0.1</v>
      </c>
      <c r="D59">
        <v>20</v>
      </c>
      <c r="E59">
        <v>500</v>
      </c>
      <c r="F59">
        <v>150</v>
      </c>
      <c r="G59" s="3">
        <f t="shared" si="30"/>
        <v>7.5</v>
      </c>
      <c r="O59">
        <v>82.6</v>
      </c>
      <c r="P59" s="3">
        <v>8.3000000000000007</v>
      </c>
      <c r="Q59">
        <v>38.25</v>
      </c>
      <c r="R59">
        <v>5.47</v>
      </c>
      <c r="S59">
        <v>3.66</v>
      </c>
      <c r="T59">
        <v>43.82</v>
      </c>
      <c r="U59">
        <v>0.5</v>
      </c>
      <c r="V59">
        <f t="shared" si="34"/>
        <v>1.716078431372549</v>
      </c>
      <c r="W59">
        <f t="shared" si="35"/>
        <v>0.85921568627450984</v>
      </c>
      <c r="X59">
        <v>9.1</v>
      </c>
      <c r="Y59" s="3">
        <v>16.13</v>
      </c>
      <c r="Z59">
        <v>50.83</v>
      </c>
      <c r="AA59">
        <v>7.86</v>
      </c>
      <c r="AB59">
        <v>3.08</v>
      </c>
      <c r="AC59">
        <v>31.36</v>
      </c>
      <c r="AD59">
        <v>0.26</v>
      </c>
      <c r="AE59">
        <f t="shared" si="9"/>
        <v>1.8555970883336614</v>
      </c>
      <c r="AF59">
        <f t="shared" si="10"/>
        <v>0.46271886681093843</v>
      </c>
      <c r="AG59" s="3">
        <v>6.61</v>
      </c>
      <c r="AH59">
        <v>25.18</v>
      </c>
      <c r="AI59" s="3">
        <v>50.83</v>
      </c>
    </row>
    <row r="60" spans="1:35" x14ac:dyDescent="0.5">
      <c r="A60">
        <v>440</v>
      </c>
      <c r="B60">
        <v>210</v>
      </c>
      <c r="C60">
        <v>0.1</v>
      </c>
      <c r="D60">
        <v>20</v>
      </c>
      <c r="E60">
        <v>500</v>
      </c>
      <c r="F60">
        <v>150</v>
      </c>
      <c r="G60" s="3">
        <f t="shared" si="30"/>
        <v>7.5</v>
      </c>
      <c r="O60">
        <v>82.6</v>
      </c>
      <c r="P60" s="3">
        <v>8.3000000000000007</v>
      </c>
      <c r="Q60">
        <v>38.25</v>
      </c>
      <c r="R60">
        <v>5.47</v>
      </c>
      <c r="S60">
        <v>3.66</v>
      </c>
      <c r="T60">
        <v>43.82</v>
      </c>
      <c r="U60">
        <v>0.5</v>
      </c>
      <c r="V60">
        <f t="shared" si="34"/>
        <v>1.716078431372549</v>
      </c>
      <c r="W60">
        <f t="shared" si="35"/>
        <v>0.85921568627450984</v>
      </c>
      <c r="X60">
        <v>9.1</v>
      </c>
      <c r="Y60" s="3">
        <v>16.13</v>
      </c>
      <c r="Z60">
        <v>58.68</v>
      </c>
      <c r="AA60">
        <v>6.52</v>
      </c>
      <c r="AB60">
        <v>2.68</v>
      </c>
      <c r="AC60">
        <v>24.46</v>
      </c>
      <c r="AD60">
        <v>0.35</v>
      </c>
      <c r="AE60">
        <f t="shared" si="9"/>
        <v>1.3333333333333333</v>
      </c>
      <c r="AF60">
        <f t="shared" si="10"/>
        <v>0.31262781186094074</v>
      </c>
      <c r="AG60" s="3">
        <v>7.31</v>
      </c>
      <c r="AH60">
        <v>26.01</v>
      </c>
      <c r="AI60" s="3">
        <v>46.74</v>
      </c>
    </row>
    <row r="61" spans="1:35" x14ac:dyDescent="0.5">
      <c r="A61">
        <v>120</v>
      </c>
      <c r="B61">
        <v>240</v>
      </c>
      <c r="C61">
        <v>0.1</v>
      </c>
      <c r="D61">
        <v>20</v>
      </c>
      <c r="E61">
        <v>500</v>
      </c>
      <c r="F61">
        <v>100</v>
      </c>
      <c r="G61" s="3">
        <f t="shared" si="30"/>
        <v>5</v>
      </c>
      <c r="O61">
        <v>82.6</v>
      </c>
      <c r="P61" s="3">
        <v>8.3000000000000007</v>
      </c>
      <c r="Q61">
        <v>38.25</v>
      </c>
      <c r="R61">
        <v>5.47</v>
      </c>
      <c r="S61">
        <v>3.66</v>
      </c>
      <c r="T61">
        <v>43.82</v>
      </c>
      <c r="U61">
        <v>0.5</v>
      </c>
      <c r="V61">
        <f t="shared" si="34"/>
        <v>1.716078431372549</v>
      </c>
      <c r="W61">
        <f t="shared" si="35"/>
        <v>0.85921568627450984</v>
      </c>
      <c r="X61">
        <v>9.1</v>
      </c>
      <c r="Y61" s="3">
        <v>16.13</v>
      </c>
      <c r="Z61">
        <v>48.67</v>
      </c>
      <c r="AA61">
        <v>7.84</v>
      </c>
      <c r="AB61">
        <v>3.15</v>
      </c>
      <c r="AC61">
        <v>33.39</v>
      </c>
      <c r="AD61">
        <v>0.23</v>
      </c>
      <c r="AE61">
        <f t="shared" si="9"/>
        <v>1.9330182864187384</v>
      </c>
      <c r="AF61">
        <f t="shared" si="10"/>
        <v>0.51453667557016647</v>
      </c>
      <c r="AG61" s="3">
        <v>6.72</v>
      </c>
      <c r="AH61">
        <v>24.15</v>
      </c>
      <c r="AI61" s="3">
        <v>56.81</v>
      </c>
    </row>
    <row r="62" spans="1:35" x14ac:dyDescent="0.5">
      <c r="A62">
        <v>120</v>
      </c>
      <c r="B62">
        <v>240</v>
      </c>
      <c r="C62">
        <v>0.1</v>
      </c>
      <c r="D62">
        <v>20</v>
      </c>
      <c r="E62">
        <v>500</v>
      </c>
      <c r="F62">
        <v>300</v>
      </c>
      <c r="G62" s="3">
        <f t="shared" si="30"/>
        <v>15</v>
      </c>
      <c r="O62">
        <v>82.6</v>
      </c>
      <c r="P62" s="3">
        <v>8.3000000000000007</v>
      </c>
      <c r="Q62">
        <v>38.25</v>
      </c>
      <c r="R62">
        <v>5.47</v>
      </c>
      <c r="S62">
        <v>3.66</v>
      </c>
      <c r="T62">
        <v>43.82</v>
      </c>
      <c r="U62">
        <v>0.5</v>
      </c>
      <c r="V62">
        <f t="shared" si="34"/>
        <v>1.716078431372549</v>
      </c>
      <c r="W62">
        <f t="shared" si="35"/>
        <v>0.85921568627450984</v>
      </c>
      <c r="X62">
        <v>9.1</v>
      </c>
      <c r="Y62" s="3">
        <v>16.13</v>
      </c>
      <c r="Z62">
        <v>50.52</v>
      </c>
      <c r="AA62">
        <v>7.61</v>
      </c>
      <c r="AB62">
        <v>2.61</v>
      </c>
      <c r="AC62">
        <v>32.630000000000003</v>
      </c>
      <c r="AD62">
        <v>0.36</v>
      </c>
      <c r="AE62">
        <f t="shared" si="9"/>
        <v>1.8076009501187649</v>
      </c>
      <c r="AF62">
        <f t="shared" si="10"/>
        <v>0.48441211401425183</v>
      </c>
      <c r="AG62" s="3">
        <v>6.27</v>
      </c>
      <c r="AH62">
        <v>24.01</v>
      </c>
      <c r="AI62" s="3">
        <v>44.85</v>
      </c>
    </row>
    <row r="63" spans="1:35" x14ac:dyDescent="0.5">
      <c r="A63">
        <v>360</v>
      </c>
      <c r="B63">
        <v>240</v>
      </c>
      <c r="C63">
        <v>0.1</v>
      </c>
      <c r="D63">
        <v>20</v>
      </c>
      <c r="E63">
        <v>500</v>
      </c>
      <c r="F63">
        <v>100</v>
      </c>
      <c r="G63" s="3">
        <f t="shared" si="30"/>
        <v>5</v>
      </c>
      <c r="O63">
        <v>82.6</v>
      </c>
      <c r="P63" s="3">
        <v>8.3000000000000007</v>
      </c>
      <c r="Q63">
        <v>38.25</v>
      </c>
      <c r="R63">
        <v>5.47</v>
      </c>
      <c r="S63">
        <v>3.66</v>
      </c>
      <c r="T63">
        <v>43.82</v>
      </c>
      <c r="U63">
        <v>0.5</v>
      </c>
      <c r="V63">
        <f t="shared" si="34"/>
        <v>1.716078431372549</v>
      </c>
      <c r="W63">
        <f t="shared" si="35"/>
        <v>0.85921568627450984</v>
      </c>
      <c r="X63">
        <v>9.1</v>
      </c>
      <c r="Y63" s="3">
        <v>16.13</v>
      </c>
      <c r="Z63">
        <v>61.23</v>
      </c>
      <c r="AA63">
        <v>7.08</v>
      </c>
      <c r="AB63">
        <v>3.54</v>
      </c>
      <c r="AC63">
        <v>20.100000000000001</v>
      </c>
      <c r="AD63">
        <v>0.47</v>
      </c>
      <c r="AE63">
        <f t="shared" si="9"/>
        <v>1.3875551200391965</v>
      </c>
      <c r="AF63">
        <f t="shared" si="10"/>
        <v>0.24620284174424303</v>
      </c>
      <c r="AG63" s="3">
        <v>7.58</v>
      </c>
      <c r="AH63">
        <v>27.97</v>
      </c>
      <c r="AI63" s="3">
        <v>48.11</v>
      </c>
    </row>
    <row r="64" spans="1:35" x14ac:dyDescent="0.5">
      <c r="A64">
        <v>360</v>
      </c>
      <c r="B64">
        <v>240</v>
      </c>
      <c r="C64">
        <v>0.1</v>
      </c>
      <c r="D64">
        <v>20</v>
      </c>
      <c r="E64">
        <v>500</v>
      </c>
      <c r="F64">
        <v>300</v>
      </c>
      <c r="G64" s="3">
        <f t="shared" si="30"/>
        <v>15</v>
      </c>
      <c r="O64">
        <v>82.6</v>
      </c>
      <c r="P64" s="3">
        <v>8.3000000000000007</v>
      </c>
      <c r="Q64">
        <v>38.25</v>
      </c>
      <c r="R64">
        <v>5.47</v>
      </c>
      <c r="S64">
        <v>3.66</v>
      </c>
      <c r="T64">
        <v>43.82</v>
      </c>
      <c r="U64">
        <v>0.5</v>
      </c>
      <c r="V64">
        <f t="shared" si="34"/>
        <v>1.716078431372549</v>
      </c>
      <c r="W64">
        <f t="shared" si="35"/>
        <v>0.85921568627450984</v>
      </c>
      <c r="X64">
        <v>9.1</v>
      </c>
      <c r="Y64" s="3">
        <v>16.13</v>
      </c>
      <c r="Z64">
        <v>65.819999999999993</v>
      </c>
      <c r="AA64">
        <v>6.36</v>
      </c>
      <c r="AB64">
        <v>2.76</v>
      </c>
      <c r="AC64">
        <v>17.3</v>
      </c>
      <c r="AD64">
        <v>0.4</v>
      </c>
      <c r="AE64">
        <f t="shared" si="9"/>
        <v>1.1595259799453055</v>
      </c>
      <c r="AF64">
        <f t="shared" si="10"/>
        <v>0.19712853236098454</v>
      </c>
      <c r="AG64" s="3">
        <v>7.36</v>
      </c>
      <c r="AH64">
        <v>29.03</v>
      </c>
      <c r="AI64" s="3">
        <v>37.81</v>
      </c>
    </row>
    <row r="65" spans="1:38" x14ac:dyDescent="0.5">
      <c r="A65">
        <v>240</v>
      </c>
      <c r="B65">
        <v>260</v>
      </c>
      <c r="C65">
        <v>0.1</v>
      </c>
      <c r="D65">
        <v>20</v>
      </c>
      <c r="E65">
        <v>500</v>
      </c>
      <c r="F65">
        <v>150</v>
      </c>
      <c r="G65" s="3">
        <f t="shared" si="30"/>
        <v>7.5</v>
      </c>
      <c r="O65">
        <v>82.6</v>
      </c>
      <c r="P65" s="3">
        <v>8.3000000000000007</v>
      </c>
      <c r="Q65">
        <v>38.25</v>
      </c>
      <c r="R65">
        <v>5.47</v>
      </c>
      <c r="S65">
        <v>3.66</v>
      </c>
      <c r="T65">
        <v>43.82</v>
      </c>
      <c r="U65">
        <v>0.5</v>
      </c>
      <c r="V65">
        <f t="shared" si="34"/>
        <v>1.716078431372549</v>
      </c>
      <c r="W65">
        <f t="shared" si="35"/>
        <v>0.85921568627450984</v>
      </c>
      <c r="X65">
        <v>9.1</v>
      </c>
      <c r="Y65" s="3">
        <v>16.13</v>
      </c>
      <c r="Z65">
        <v>64.290000000000006</v>
      </c>
      <c r="AA65">
        <v>6.14</v>
      </c>
      <c r="AB65">
        <v>3.48</v>
      </c>
      <c r="AC65">
        <v>18.48</v>
      </c>
      <c r="AD65">
        <v>0.47</v>
      </c>
      <c r="AE65">
        <f t="shared" si="9"/>
        <v>1.1460569295380305</v>
      </c>
      <c r="AF65">
        <f t="shared" si="10"/>
        <v>0.21558562762482497</v>
      </c>
      <c r="AG65" s="3">
        <v>7.14</v>
      </c>
      <c r="AH65">
        <v>28.54</v>
      </c>
      <c r="AI65" s="3">
        <v>47.68</v>
      </c>
    </row>
    <row r="66" spans="1:38" x14ac:dyDescent="0.5">
      <c r="A66">
        <v>250</v>
      </c>
      <c r="B66">
        <v>180</v>
      </c>
      <c r="C66">
        <v>1</v>
      </c>
      <c r="D66">
        <v>8</v>
      </c>
      <c r="E66">
        <v>100</v>
      </c>
      <c r="F66">
        <v>80</v>
      </c>
      <c r="G66" s="3">
        <f t="shared" si="30"/>
        <v>10</v>
      </c>
      <c r="K66">
        <v>38.130000000000003</v>
      </c>
      <c r="L66">
        <v>18.87</v>
      </c>
      <c r="M66">
        <v>16.079999999999998</v>
      </c>
      <c r="Q66">
        <v>39.880000000000003</v>
      </c>
      <c r="R66">
        <v>5.54</v>
      </c>
      <c r="S66">
        <v>0.67</v>
      </c>
      <c r="T66">
        <v>53.92</v>
      </c>
      <c r="U66">
        <v>0</v>
      </c>
      <c r="V66">
        <f t="shared" si="34"/>
        <v>1.667001003009027</v>
      </c>
      <c r="W66">
        <f t="shared" si="35"/>
        <v>1.0140421263791373</v>
      </c>
      <c r="Y66" s="3">
        <f>(0.338*Q66)+1.428*(R66-(T66/8))</f>
        <v>11.765840000000003</v>
      </c>
      <c r="Z66">
        <v>49.41</v>
      </c>
      <c r="AA66">
        <v>4.59</v>
      </c>
      <c r="AB66">
        <v>4.38</v>
      </c>
      <c r="AC66">
        <v>41.62</v>
      </c>
      <c r="AD66">
        <v>0</v>
      </c>
      <c r="AE66">
        <f t="shared" si="9"/>
        <v>1.1147540983606559</v>
      </c>
      <c r="AF66">
        <f t="shared" si="10"/>
        <v>0.6317547055251973</v>
      </c>
      <c r="AH66">
        <f>(0.338*Z66)+1.428*(AA66-(AC66/8))</f>
        <v>15.82593</v>
      </c>
      <c r="AI66" s="3">
        <v>45.86</v>
      </c>
      <c r="AJ66" s="2" t="s">
        <v>51</v>
      </c>
      <c r="AK66" t="s">
        <v>52</v>
      </c>
      <c r="AL66">
        <v>8</v>
      </c>
    </row>
    <row r="67" spans="1:38" x14ac:dyDescent="0.5">
      <c r="A67">
        <v>250</v>
      </c>
      <c r="B67">
        <v>180</v>
      </c>
      <c r="C67">
        <v>1</v>
      </c>
      <c r="D67">
        <v>8</v>
      </c>
      <c r="E67">
        <v>100</v>
      </c>
      <c r="F67">
        <v>80</v>
      </c>
      <c r="G67" s="3">
        <f t="shared" ref="G67:G74" si="36">F67/D67</f>
        <v>10</v>
      </c>
      <c r="K67">
        <v>41.24</v>
      </c>
      <c r="L67">
        <v>23.48</v>
      </c>
      <c r="M67">
        <v>15</v>
      </c>
      <c r="Q67">
        <v>46.31</v>
      </c>
      <c r="R67">
        <v>6.25</v>
      </c>
      <c r="S67">
        <v>0.33</v>
      </c>
      <c r="T67">
        <v>47.11</v>
      </c>
      <c r="U67">
        <v>0</v>
      </c>
      <c r="V67">
        <f t="shared" si="34"/>
        <v>1.6195206218959188</v>
      </c>
      <c r="W67">
        <f t="shared" si="35"/>
        <v>0.76295616497516727</v>
      </c>
      <c r="Y67" s="3">
        <f>(0.338*Q67)+1.428*(R67-(T67/8))</f>
        <v>16.168645000000001</v>
      </c>
      <c r="Z67">
        <v>70.11</v>
      </c>
      <c r="AA67">
        <v>6.3</v>
      </c>
      <c r="AB67">
        <v>5.99</v>
      </c>
      <c r="AC67">
        <v>17.61</v>
      </c>
      <c r="AD67">
        <v>0</v>
      </c>
      <c r="AE67">
        <f t="shared" si="9"/>
        <v>1.0783055198973042</v>
      </c>
      <c r="AF67">
        <f t="shared" si="10"/>
        <v>0.18838254172015403</v>
      </c>
      <c r="AH67">
        <f t="shared" ref="AH67:AH73" si="37">(0.338*Z67)+1.428*(AA67-(AC67/8))</f>
        <v>29.550195000000002</v>
      </c>
      <c r="AI67" s="3">
        <v>26.16</v>
      </c>
    </row>
    <row r="68" spans="1:38" x14ac:dyDescent="0.5">
      <c r="A68">
        <v>250</v>
      </c>
      <c r="B68">
        <v>180</v>
      </c>
      <c r="C68">
        <v>1</v>
      </c>
      <c r="D68">
        <v>8</v>
      </c>
      <c r="E68">
        <v>100</v>
      </c>
      <c r="F68">
        <v>80</v>
      </c>
      <c r="G68" s="3">
        <f t="shared" si="36"/>
        <v>10</v>
      </c>
      <c r="K68">
        <v>32.78</v>
      </c>
      <c r="L68">
        <v>16.75</v>
      </c>
      <c r="M68">
        <v>13.34</v>
      </c>
      <c r="Q68">
        <v>36.67</v>
      </c>
      <c r="R68">
        <v>5.47</v>
      </c>
      <c r="S68">
        <v>0.64</v>
      </c>
      <c r="T68">
        <v>57.23</v>
      </c>
      <c r="U68">
        <v>0</v>
      </c>
      <c r="V68">
        <f t="shared" si="34"/>
        <v>1.7900190891737113</v>
      </c>
      <c r="W68">
        <f t="shared" si="35"/>
        <v>1.1705072266157621</v>
      </c>
      <c r="Y68" s="3">
        <f t="shared" ref="Y68:Y73" si="38">(0.338*Q68)+1.428*(R68-(T68/8))</f>
        <v>9.9900650000000031</v>
      </c>
      <c r="Z68">
        <v>45.44</v>
      </c>
      <c r="AA68">
        <v>4.3</v>
      </c>
      <c r="AB68">
        <v>4.07</v>
      </c>
      <c r="AC68">
        <v>46.2</v>
      </c>
      <c r="AD68">
        <v>0</v>
      </c>
      <c r="AE68">
        <f t="shared" si="9"/>
        <v>1.13556338028169</v>
      </c>
      <c r="AF68">
        <f t="shared" si="10"/>
        <v>0.76254401408450712</v>
      </c>
      <c r="AH68">
        <f t="shared" si="37"/>
        <v>13.252419999999999</v>
      </c>
      <c r="AI68" s="3">
        <v>46.79</v>
      </c>
    </row>
    <row r="69" spans="1:38" x14ac:dyDescent="0.5">
      <c r="A69">
        <v>250</v>
      </c>
      <c r="B69">
        <v>180</v>
      </c>
      <c r="C69">
        <v>1</v>
      </c>
      <c r="D69">
        <v>8</v>
      </c>
      <c r="E69">
        <v>100</v>
      </c>
      <c r="F69">
        <v>80</v>
      </c>
      <c r="G69" s="3">
        <f t="shared" si="36"/>
        <v>10</v>
      </c>
      <c r="K69">
        <v>28.91</v>
      </c>
      <c r="L69">
        <v>19.88</v>
      </c>
      <c r="M69">
        <v>6.6</v>
      </c>
      <c r="Q69">
        <v>33.090000000000003</v>
      </c>
      <c r="R69">
        <v>4.25</v>
      </c>
      <c r="S69">
        <v>1.26</v>
      </c>
      <c r="T69">
        <v>61.41</v>
      </c>
      <c r="U69">
        <v>0</v>
      </c>
      <c r="V69">
        <f t="shared" si="34"/>
        <v>1.541251133272892</v>
      </c>
      <c r="W69">
        <f t="shared" si="35"/>
        <v>1.3918857660924748</v>
      </c>
      <c r="Y69" s="3">
        <f t="shared" si="38"/>
        <v>6.2917350000000019</v>
      </c>
      <c r="Z69">
        <v>28.77</v>
      </c>
      <c r="AA69">
        <v>2.2000000000000002</v>
      </c>
      <c r="AB69">
        <v>2.04</v>
      </c>
      <c r="AC69">
        <v>67</v>
      </c>
      <c r="AD69">
        <v>0</v>
      </c>
      <c r="AE69">
        <f t="shared" si="9"/>
        <v>0.91762252346193962</v>
      </c>
      <c r="AF69">
        <f t="shared" si="10"/>
        <v>1.7466110531803962</v>
      </c>
      <c r="AH69">
        <f t="shared" si="37"/>
        <v>0.90636000000000116</v>
      </c>
      <c r="AI69" s="3">
        <v>60.09</v>
      </c>
    </row>
    <row r="70" spans="1:38" x14ac:dyDescent="0.5">
      <c r="A70">
        <v>250</v>
      </c>
      <c r="B70">
        <v>180</v>
      </c>
      <c r="C70">
        <v>1</v>
      </c>
      <c r="D70">
        <v>8</v>
      </c>
      <c r="E70">
        <v>100</v>
      </c>
      <c r="F70">
        <v>80</v>
      </c>
      <c r="G70" s="3">
        <f t="shared" si="36"/>
        <v>10</v>
      </c>
      <c r="K70">
        <v>23.83</v>
      </c>
      <c r="L70">
        <v>11.15</v>
      </c>
      <c r="M70">
        <v>9.98</v>
      </c>
      <c r="Q70">
        <v>37.590000000000003</v>
      </c>
      <c r="R70">
        <v>5.89</v>
      </c>
      <c r="S70">
        <v>2.09</v>
      </c>
      <c r="T70">
        <v>54.44</v>
      </c>
      <c r="U70">
        <v>0</v>
      </c>
      <c r="V70">
        <f t="shared" si="34"/>
        <v>1.880287310454908</v>
      </c>
      <c r="W70">
        <f t="shared" si="35"/>
        <v>1.086193136472466</v>
      </c>
      <c r="Y70" s="3">
        <f t="shared" si="38"/>
        <v>11.398800000000001</v>
      </c>
      <c r="Z70">
        <v>46.73</v>
      </c>
      <c r="AA70">
        <v>4.76</v>
      </c>
      <c r="AB70">
        <v>4.41</v>
      </c>
      <c r="AC70">
        <v>44.1</v>
      </c>
      <c r="AD70">
        <v>0</v>
      </c>
      <c r="AE70">
        <f t="shared" si="9"/>
        <v>1.2223411084956131</v>
      </c>
      <c r="AF70">
        <f t="shared" si="10"/>
        <v>0.70778942863257011</v>
      </c>
      <c r="AH70">
        <f t="shared" si="37"/>
        <v>14.72017</v>
      </c>
      <c r="AI70" s="3">
        <v>38.82</v>
      </c>
    </row>
    <row r="71" spans="1:38" x14ac:dyDescent="0.5">
      <c r="A71">
        <v>250</v>
      </c>
      <c r="B71">
        <v>180</v>
      </c>
      <c r="C71">
        <v>1</v>
      </c>
      <c r="D71">
        <v>8</v>
      </c>
      <c r="E71">
        <v>100</v>
      </c>
      <c r="F71">
        <v>80</v>
      </c>
      <c r="G71" s="3">
        <f t="shared" si="36"/>
        <v>10</v>
      </c>
      <c r="K71">
        <v>29.81</v>
      </c>
      <c r="L71">
        <v>22.39</v>
      </c>
      <c r="M71">
        <v>3.42</v>
      </c>
      <c r="Q71">
        <v>31.36</v>
      </c>
      <c r="R71">
        <v>4.5999999999999996</v>
      </c>
      <c r="S71">
        <v>0.74</v>
      </c>
      <c r="T71">
        <v>63.31</v>
      </c>
      <c r="U71">
        <v>0</v>
      </c>
      <c r="V71">
        <f t="shared" si="34"/>
        <v>1.760204081632653</v>
      </c>
      <c r="W71">
        <f t="shared" si="35"/>
        <v>1.5141103316326532</v>
      </c>
      <c r="Y71" s="3">
        <f t="shared" si="38"/>
        <v>5.8676450000000004</v>
      </c>
      <c r="Z71">
        <v>25.9</v>
      </c>
      <c r="AA71">
        <v>2.58</v>
      </c>
      <c r="AB71">
        <v>2.57</v>
      </c>
      <c r="AC71">
        <v>68.95</v>
      </c>
      <c r="AD71">
        <v>0</v>
      </c>
      <c r="AE71">
        <f t="shared" si="9"/>
        <v>1.1953667953667955</v>
      </c>
      <c r="AF71">
        <f t="shared" si="10"/>
        <v>1.9966216216216217</v>
      </c>
      <c r="AH71">
        <f t="shared" si="37"/>
        <v>0.13086500000000001</v>
      </c>
      <c r="AI71" s="3">
        <v>52.53</v>
      </c>
    </row>
    <row r="72" spans="1:38" x14ac:dyDescent="0.5">
      <c r="A72">
        <v>250</v>
      </c>
      <c r="B72">
        <v>180</v>
      </c>
      <c r="C72">
        <v>1</v>
      </c>
      <c r="D72">
        <v>8</v>
      </c>
      <c r="E72">
        <v>100</v>
      </c>
      <c r="F72">
        <v>80</v>
      </c>
      <c r="G72" s="3">
        <f t="shared" si="36"/>
        <v>10</v>
      </c>
      <c r="K72">
        <v>37.86</v>
      </c>
      <c r="L72">
        <v>18.64</v>
      </c>
      <c r="M72">
        <v>16.010000000000002</v>
      </c>
      <c r="Q72">
        <v>38.79</v>
      </c>
      <c r="R72">
        <v>5.46</v>
      </c>
      <c r="S72">
        <v>0.53</v>
      </c>
      <c r="T72">
        <v>55.22</v>
      </c>
      <c r="U72">
        <v>0</v>
      </c>
      <c r="V72">
        <f t="shared" si="34"/>
        <v>1.6890951276102089</v>
      </c>
      <c r="W72">
        <f t="shared" si="35"/>
        <v>1.0676720804331012</v>
      </c>
      <c r="Y72" s="3">
        <f t="shared" si="38"/>
        <v>11.051130000000001</v>
      </c>
      <c r="Z72">
        <v>50.44</v>
      </c>
      <c r="AA72">
        <v>4.72</v>
      </c>
      <c r="AB72">
        <v>4.43</v>
      </c>
      <c r="AC72">
        <v>40.42</v>
      </c>
      <c r="AD72">
        <v>0</v>
      </c>
      <c r="AE72">
        <f t="shared" si="9"/>
        <v>1.1229183187946075</v>
      </c>
      <c r="AF72">
        <f t="shared" si="10"/>
        <v>0.60101110229976218</v>
      </c>
      <c r="AH72">
        <f t="shared" si="37"/>
        <v>16.573909999999998</v>
      </c>
      <c r="AI72" s="3">
        <v>44.48</v>
      </c>
    </row>
    <row r="73" spans="1:38" x14ac:dyDescent="0.5">
      <c r="A73">
        <v>250</v>
      </c>
      <c r="B73">
        <v>180</v>
      </c>
      <c r="C73">
        <v>1</v>
      </c>
      <c r="D73">
        <v>8</v>
      </c>
      <c r="E73">
        <v>100</v>
      </c>
      <c r="F73">
        <v>80</v>
      </c>
      <c r="G73" s="3">
        <f t="shared" si="36"/>
        <v>10</v>
      </c>
      <c r="K73">
        <v>36.15</v>
      </c>
      <c r="L73">
        <v>27.56</v>
      </c>
      <c r="M73">
        <v>5.13</v>
      </c>
      <c r="Q73">
        <v>40.4</v>
      </c>
      <c r="R73">
        <v>5.5</v>
      </c>
      <c r="S73">
        <v>1.33</v>
      </c>
      <c r="T73">
        <v>52.78</v>
      </c>
      <c r="U73">
        <v>0</v>
      </c>
      <c r="V73">
        <f t="shared" si="34"/>
        <v>1.6336633663366336</v>
      </c>
      <c r="W73">
        <f t="shared" si="35"/>
        <v>0.97982673267326736</v>
      </c>
      <c r="Y73" s="3">
        <f t="shared" si="38"/>
        <v>12.08797</v>
      </c>
      <c r="Z73">
        <v>60.05</v>
      </c>
      <c r="AA73">
        <v>5.37</v>
      </c>
      <c r="AB73">
        <v>5.72</v>
      </c>
      <c r="AC73">
        <v>28.86</v>
      </c>
      <c r="AD73">
        <v>0</v>
      </c>
      <c r="AE73">
        <f t="shared" si="9"/>
        <v>1.0731057452123232</v>
      </c>
      <c r="AF73">
        <f t="shared" si="10"/>
        <v>0.36044962531223979</v>
      </c>
      <c r="AH73">
        <f t="shared" si="37"/>
        <v>22.813750000000002</v>
      </c>
      <c r="AI73" s="3">
        <v>36.58</v>
      </c>
    </row>
    <row r="74" spans="1:38" x14ac:dyDescent="0.5">
      <c r="A74">
        <v>60</v>
      </c>
      <c r="B74">
        <v>110</v>
      </c>
      <c r="C74">
        <v>4</v>
      </c>
      <c r="D74">
        <v>20</v>
      </c>
      <c r="E74">
        <v>500</v>
      </c>
      <c r="F74">
        <v>150</v>
      </c>
      <c r="G74" s="3">
        <f t="shared" si="36"/>
        <v>7.5</v>
      </c>
      <c r="O74">
        <v>48.1</v>
      </c>
      <c r="P74" s="3">
        <v>4.0999999999999996</v>
      </c>
      <c r="Q74">
        <v>46.8</v>
      </c>
      <c r="R74">
        <v>8.6999999999999993</v>
      </c>
      <c r="S74">
        <v>7.8</v>
      </c>
      <c r="T74">
        <v>35.200000000000003</v>
      </c>
      <c r="U74">
        <v>1.4</v>
      </c>
      <c r="V74">
        <f t="shared" si="34"/>
        <v>2.2307692307692308</v>
      </c>
      <c r="W74">
        <f t="shared" si="35"/>
        <v>0.56410256410256421</v>
      </c>
      <c r="X74">
        <v>47.8</v>
      </c>
      <c r="Y74" s="3">
        <v>22.6</v>
      </c>
      <c r="AH74">
        <v>23</v>
      </c>
      <c r="AI74" s="3">
        <v>68</v>
      </c>
      <c r="AJ74" s="2" t="s">
        <v>53</v>
      </c>
      <c r="AK74" t="s">
        <v>54</v>
      </c>
      <c r="AL74">
        <v>9</v>
      </c>
    </row>
    <row r="75" spans="1:38" x14ac:dyDescent="0.5">
      <c r="A75">
        <v>60</v>
      </c>
      <c r="B75">
        <v>135</v>
      </c>
      <c r="C75">
        <v>4</v>
      </c>
      <c r="D75">
        <v>20</v>
      </c>
      <c r="E75">
        <v>500</v>
      </c>
      <c r="F75">
        <v>150</v>
      </c>
      <c r="G75" s="3">
        <f t="shared" ref="G75:G80" si="39">F75/D75</f>
        <v>7.5</v>
      </c>
      <c r="O75">
        <v>48.1</v>
      </c>
      <c r="P75" s="3">
        <v>4.0999999999999996</v>
      </c>
      <c r="Q75">
        <v>46.8</v>
      </c>
      <c r="R75">
        <v>8.6999999999999993</v>
      </c>
      <c r="S75">
        <v>7.8</v>
      </c>
      <c r="T75">
        <v>35.200000000000003</v>
      </c>
      <c r="U75">
        <v>1.4</v>
      </c>
      <c r="V75">
        <f t="shared" ref="V75:V80" si="40">(R75/1)/(Q75/12)</f>
        <v>2.2307692307692308</v>
      </c>
      <c r="W75">
        <f t="shared" ref="W75:W80" si="41">(T75/16)/(Q75/12)</f>
        <v>0.56410256410256421</v>
      </c>
      <c r="X75">
        <v>47.8</v>
      </c>
      <c r="Y75" s="3">
        <v>22.6</v>
      </c>
      <c r="AH75">
        <v>27</v>
      </c>
      <c r="AI75" s="3">
        <v>56</v>
      </c>
    </row>
    <row r="76" spans="1:38" x14ac:dyDescent="0.5">
      <c r="A76">
        <v>60</v>
      </c>
      <c r="B76">
        <v>160</v>
      </c>
      <c r="C76">
        <v>4</v>
      </c>
      <c r="D76">
        <v>20</v>
      </c>
      <c r="E76">
        <v>500</v>
      </c>
      <c r="F76">
        <v>150</v>
      </c>
      <c r="G76" s="3">
        <f t="shared" si="39"/>
        <v>7.5</v>
      </c>
      <c r="O76">
        <v>48.1</v>
      </c>
      <c r="P76" s="3">
        <v>4.0999999999999996</v>
      </c>
      <c r="Q76">
        <v>46.8</v>
      </c>
      <c r="R76">
        <v>8.6999999999999993</v>
      </c>
      <c r="S76">
        <v>7.8</v>
      </c>
      <c r="T76">
        <v>35.200000000000003</v>
      </c>
      <c r="U76">
        <v>1.4</v>
      </c>
      <c r="V76">
        <f t="shared" si="40"/>
        <v>2.2307692307692308</v>
      </c>
      <c r="W76">
        <f t="shared" si="41"/>
        <v>0.56410256410256421</v>
      </c>
      <c r="X76">
        <v>47.8</v>
      </c>
      <c r="Y76" s="3">
        <v>22.6</v>
      </c>
      <c r="AH76">
        <v>26</v>
      </c>
      <c r="AI76" s="3">
        <v>48</v>
      </c>
    </row>
    <row r="77" spans="1:38" x14ac:dyDescent="0.5">
      <c r="A77">
        <v>60</v>
      </c>
      <c r="B77">
        <v>185</v>
      </c>
      <c r="C77">
        <v>4</v>
      </c>
      <c r="D77">
        <v>20</v>
      </c>
      <c r="E77">
        <v>500</v>
      </c>
      <c r="F77">
        <v>150</v>
      </c>
      <c r="G77" s="3">
        <f t="shared" si="39"/>
        <v>7.5</v>
      </c>
      <c r="O77">
        <v>48.1</v>
      </c>
      <c r="P77" s="3">
        <v>4.0999999999999996</v>
      </c>
      <c r="Q77">
        <v>46.8</v>
      </c>
      <c r="R77">
        <v>8.6999999999999993</v>
      </c>
      <c r="S77">
        <v>7.8</v>
      </c>
      <c r="T77">
        <v>35.200000000000003</v>
      </c>
      <c r="U77">
        <v>1.4</v>
      </c>
      <c r="V77">
        <f t="shared" si="40"/>
        <v>2.2307692307692308</v>
      </c>
      <c r="W77">
        <f t="shared" si="41"/>
        <v>0.56410256410256421</v>
      </c>
      <c r="X77">
        <v>47.8</v>
      </c>
      <c r="Y77" s="3">
        <v>22.6</v>
      </c>
      <c r="AH77">
        <v>27</v>
      </c>
      <c r="AI77" s="3">
        <v>39</v>
      </c>
    </row>
    <row r="78" spans="1:38" x14ac:dyDescent="0.5">
      <c r="A78">
        <v>60</v>
      </c>
      <c r="B78">
        <v>210</v>
      </c>
      <c r="C78">
        <v>4</v>
      </c>
      <c r="D78">
        <v>20</v>
      </c>
      <c r="E78">
        <v>500</v>
      </c>
      <c r="F78">
        <v>150</v>
      </c>
      <c r="G78" s="3">
        <f t="shared" si="39"/>
        <v>7.5</v>
      </c>
      <c r="O78">
        <v>48.1</v>
      </c>
      <c r="P78" s="3">
        <v>4.0999999999999996</v>
      </c>
      <c r="Q78">
        <v>46.8</v>
      </c>
      <c r="R78">
        <v>8.6999999999999993</v>
      </c>
      <c r="S78">
        <v>7.8</v>
      </c>
      <c r="T78">
        <v>35.200000000000003</v>
      </c>
      <c r="U78">
        <v>1.4</v>
      </c>
      <c r="V78">
        <f t="shared" si="40"/>
        <v>2.2307692307692308</v>
      </c>
      <c r="W78">
        <f t="shared" si="41"/>
        <v>0.56410256410256421</v>
      </c>
      <c r="X78">
        <v>47.8</v>
      </c>
      <c r="Y78" s="3">
        <v>22.6</v>
      </c>
      <c r="AH78">
        <v>30</v>
      </c>
      <c r="AI78" s="3">
        <v>30</v>
      </c>
    </row>
    <row r="79" spans="1:38" x14ac:dyDescent="0.5">
      <c r="A79">
        <v>60</v>
      </c>
      <c r="B79">
        <v>235</v>
      </c>
      <c r="C79">
        <v>4</v>
      </c>
      <c r="D79">
        <v>20</v>
      </c>
      <c r="E79">
        <v>500</v>
      </c>
      <c r="F79">
        <v>150</v>
      </c>
      <c r="G79" s="3">
        <f t="shared" si="39"/>
        <v>7.5</v>
      </c>
      <c r="O79">
        <v>48.1</v>
      </c>
      <c r="P79" s="3">
        <v>4.0999999999999996</v>
      </c>
      <c r="Q79">
        <v>46.8</v>
      </c>
      <c r="R79">
        <v>8.6999999999999993</v>
      </c>
      <c r="S79">
        <v>7.8</v>
      </c>
      <c r="T79">
        <v>35.200000000000003</v>
      </c>
      <c r="U79">
        <v>1.4</v>
      </c>
      <c r="V79">
        <f t="shared" si="40"/>
        <v>2.2307692307692308</v>
      </c>
      <c r="W79">
        <f t="shared" si="41"/>
        <v>0.56410256410256421</v>
      </c>
      <c r="X79">
        <v>47.8</v>
      </c>
      <c r="Y79" s="3">
        <v>22.6</v>
      </c>
      <c r="AH79">
        <v>31</v>
      </c>
      <c r="AI79" s="3">
        <v>25</v>
      </c>
    </row>
    <row r="80" spans="1:38" x14ac:dyDescent="0.5">
      <c r="A80">
        <v>120</v>
      </c>
      <c r="B80">
        <v>160</v>
      </c>
      <c r="C80">
        <v>0.1</v>
      </c>
      <c r="D80">
        <v>100</v>
      </c>
      <c r="E80">
        <v>4500</v>
      </c>
      <c r="F80">
        <v>1000</v>
      </c>
      <c r="G80" s="3">
        <f t="shared" si="39"/>
        <v>10</v>
      </c>
      <c r="N80">
        <v>5.97</v>
      </c>
      <c r="O80">
        <v>73.819999999999993</v>
      </c>
      <c r="P80" s="3">
        <v>14.35</v>
      </c>
      <c r="Q80">
        <v>50.49</v>
      </c>
      <c r="R80">
        <v>6.34</v>
      </c>
      <c r="S80">
        <v>0.78</v>
      </c>
      <c r="T80">
        <v>36.049999999999997</v>
      </c>
      <c r="U80">
        <v>0</v>
      </c>
      <c r="V80">
        <f t="shared" si="40"/>
        <v>1.5068330362448008</v>
      </c>
      <c r="W80">
        <f t="shared" si="41"/>
        <v>0.53550207961972662</v>
      </c>
      <c r="X80">
        <v>5.86</v>
      </c>
      <c r="Y80" s="3">
        <f>(0.338*Q80)+1.428*(R80-(T80/8))</f>
        <v>19.684215000000002</v>
      </c>
      <c r="Z80">
        <v>53.16</v>
      </c>
      <c r="AA80">
        <v>6.42</v>
      </c>
      <c r="AB80">
        <v>0</v>
      </c>
      <c r="AC80">
        <v>38.93</v>
      </c>
      <c r="AD80">
        <v>0</v>
      </c>
      <c r="AE80">
        <f t="shared" ref="AE80:AE237" si="42">(AA80/1)/(Z80/12)</f>
        <v>1.4492099322799097</v>
      </c>
      <c r="AF80">
        <f t="shared" ref="AF80:AF210" si="43">(AC80/16)/(Z80/12)</f>
        <v>0.54923814898419865</v>
      </c>
      <c r="AG80" s="3">
        <v>1.43</v>
      </c>
      <c r="AH80">
        <f>(0.338*Z80)+1.428*(AA80-(AC80/8))</f>
        <v>20.186835000000002</v>
      </c>
      <c r="AI80" s="3">
        <v>73.86</v>
      </c>
      <c r="AJ80" s="2" t="s">
        <v>55</v>
      </c>
      <c r="AK80" t="s">
        <v>56</v>
      </c>
      <c r="AL80">
        <v>10</v>
      </c>
    </row>
    <row r="81" spans="1:38" x14ac:dyDescent="0.5">
      <c r="A81">
        <v>240</v>
      </c>
      <c r="B81">
        <v>160</v>
      </c>
      <c r="C81">
        <v>0.1</v>
      </c>
      <c r="D81">
        <v>100</v>
      </c>
      <c r="E81">
        <v>4500</v>
      </c>
      <c r="F81">
        <v>1000</v>
      </c>
      <c r="G81" s="3">
        <f t="shared" ref="G81:G96" si="44">F81/D81</f>
        <v>10</v>
      </c>
      <c r="N81">
        <v>5.97</v>
      </c>
      <c r="O81">
        <v>73.819999999999993</v>
      </c>
      <c r="P81" s="3">
        <v>14.35</v>
      </c>
      <c r="Q81">
        <v>50.49</v>
      </c>
      <c r="R81">
        <v>6.34</v>
      </c>
      <c r="S81">
        <v>0.78</v>
      </c>
      <c r="T81">
        <v>36.049999999999997</v>
      </c>
      <c r="U81">
        <v>0</v>
      </c>
      <c r="V81">
        <f t="shared" ref="V81:V96" si="45">(R81/1)/(Q81/12)</f>
        <v>1.5068330362448008</v>
      </c>
      <c r="W81">
        <f t="shared" ref="W81:W96" si="46">(T81/16)/(Q81/12)</f>
        <v>0.53550207961972662</v>
      </c>
      <c r="X81">
        <v>5.86</v>
      </c>
      <c r="Y81" s="3">
        <f t="shared" ref="Y81:Y95" si="47">(0.338*Q81)+1.428*(R81-(T81/8))</f>
        <v>19.684215000000002</v>
      </c>
      <c r="Z81">
        <v>54.22</v>
      </c>
      <c r="AA81">
        <v>6.47</v>
      </c>
      <c r="AB81">
        <v>0</v>
      </c>
      <c r="AC81">
        <v>37.75</v>
      </c>
      <c r="AD81">
        <v>0</v>
      </c>
      <c r="AE81">
        <f t="shared" si="42"/>
        <v>1.4319439321283658</v>
      </c>
      <c r="AF81">
        <f t="shared" si="43"/>
        <v>0.52217816303946885</v>
      </c>
      <c r="AG81" s="3">
        <v>1.5</v>
      </c>
      <c r="AH81">
        <f t="shared" ref="AH81:AH95" si="48">(0.338*Z81)+1.428*(AA81-(AC81/8))</f>
        <v>20.827145000000002</v>
      </c>
      <c r="AI81" s="3">
        <v>70.400000000000006</v>
      </c>
    </row>
    <row r="82" spans="1:38" x14ac:dyDescent="0.5">
      <c r="A82">
        <v>350</v>
      </c>
      <c r="B82">
        <v>160</v>
      </c>
      <c r="C82">
        <v>0.1</v>
      </c>
      <c r="D82">
        <v>100</v>
      </c>
      <c r="E82">
        <v>4500</v>
      </c>
      <c r="F82">
        <v>1000</v>
      </c>
      <c r="G82" s="3">
        <f t="shared" si="44"/>
        <v>10</v>
      </c>
      <c r="N82">
        <v>5.97</v>
      </c>
      <c r="O82">
        <v>73.819999999999993</v>
      </c>
      <c r="P82" s="3">
        <v>14.35</v>
      </c>
      <c r="Q82">
        <v>50.49</v>
      </c>
      <c r="R82">
        <v>6.34</v>
      </c>
      <c r="S82">
        <v>0.78</v>
      </c>
      <c r="T82">
        <v>36.049999999999997</v>
      </c>
      <c r="U82">
        <v>0</v>
      </c>
      <c r="V82">
        <f t="shared" si="45"/>
        <v>1.5068330362448008</v>
      </c>
      <c r="W82">
        <f t="shared" si="46"/>
        <v>0.53550207961972662</v>
      </c>
      <c r="X82">
        <v>5.86</v>
      </c>
      <c r="Y82" s="3">
        <f t="shared" si="47"/>
        <v>19.684215000000002</v>
      </c>
      <c r="Z82">
        <v>54.74</v>
      </c>
      <c r="AA82">
        <v>6.45</v>
      </c>
      <c r="AB82">
        <v>0</v>
      </c>
      <c r="AC82">
        <v>37.369999999999997</v>
      </c>
      <c r="AD82">
        <v>0</v>
      </c>
      <c r="AE82">
        <f t="shared" si="42"/>
        <v>1.4139568871026673</v>
      </c>
      <c r="AF82">
        <f t="shared" si="43"/>
        <v>0.5120113262696383</v>
      </c>
      <c r="AG82" s="3">
        <v>1.38</v>
      </c>
      <c r="AH82">
        <f t="shared" si="48"/>
        <v>21.042175</v>
      </c>
      <c r="AI82" s="3">
        <v>67.55</v>
      </c>
    </row>
    <row r="83" spans="1:38" x14ac:dyDescent="0.5">
      <c r="A83">
        <v>480</v>
      </c>
      <c r="B83">
        <v>160</v>
      </c>
      <c r="C83">
        <v>0.1</v>
      </c>
      <c r="D83">
        <v>100</v>
      </c>
      <c r="E83">
        <v>4500</v>
      </c>
      <c r="F83">
        <v>1000</v>
      </c>
      <c r="G83" s="3">
        <f t="shared" si="44"/>
        <v>10</v>
      </c>
      <c r="N83">
        <v>5.97</v>
      </c>
      <c r="O83">
        <v>73.819999999999993</v>
      </c>
      <c r="P83" s="3">
        <v>14.35</v>
      </c>
      <c r="Q83">
        <v>50.49</v>
      </c>
      <c r="R83">
        <v>6.34</v>
      </c>
      <c r="S83">
        <v>0.78</v>
      </c>
      <c r="T83">
        <v>36.049999999999997</v>
      </c>
      <c r="U83">
        <v>0</v>
      </c>
      <c r="V83">
        <f t="shared" si="45"/>
        <v>1.5068330362448008</v>
      </c>
      <c r="W83">
        <f t="shared" si="46"/>
        <v>0.53550207961972662</v>
      </c>
      <c r="X83">
        <v>5.86</v>
      </c>
      <c r="Y83" s="3">
        <f t="shared" si="47"/>
        <v>19.684215000000002</v>
      </c>
      <c r="Z83">
        <v>54.82</v>
      </c>
      <c r="AA83">
        <v>6.52</v>
      </c>
      <c r="AB83">
        <v>0</v>
      </c>
      <c r="AC83">
        <v>37.33</v>
      </c>
      <c r="AD83">
        <v>0</v>
      </c>
      <c r="AE83">
        <f t="shared" si="42"/>
        <v>1.427216344399854</v>
      </c>
      <c r="AF83">
        <f t="shared" si="43"/>
        <v>0.51071689164538492</v>
      </c>
      <c r="AG83" s="3">
        <v>1.29</v>
      </c>
      <c r="AH83">
        <f t="shared" si="48"/>
        <v>21.176315000000002</v>
      </c>
      <c r="AI83" s="3">
        <v>65.75</v>
      </c>
    </row>
    <row r="84" spans="1:38" x14ac:dyDescent="0.5">
      <c r="A84">
        <v>120</v>
      </c>
      <c r="B84">
        <v>200</v>
      </c>
      <c r="C84">
        <v>0.1</v>
      </c>
      <c r="D84">
        <v>100</v>
      </c>
      <c r="E84">
        <v>4500</v>
      </c>
      <c r="F84">
        <v>1000</v>
      </c>
      <c r="G84" s="3">
        <f t="shared" si="44"/>
        <v>10</v>
      </c>
      <c r="N84">
        <v>5.97</v>
      </c>
      <c r="O84">
        <v>73.819999999999993</v>
      </c>
      <c r="P84" s="3">
        <v>14.35</v>
      </c>
      <c r="Q84">
        <v>50.49</v>
      </c>
      <c r="R84">
        <v>6.34</v>
      </c>
      <c r="S84">
        <v>0.78</v>
      </c>
      <c r="T84">
        <v>36.049999999999997</v>
      </c>
      <c r="U84">
        <v>0</v>
      </c>
      <c r="V84">
        <f t="shared" si="45"/>
        <v>1.5068330362448008</v>
      </c>
      <c r="W84">
        <f t="shared" si="46"/>
        <v>0.53550207961972662</v>
      </c>
      <c r="X84">
        <v>5.86</v>
      </c>
      <c r="Y84" s="3">
        <f t="shared" si="47"/>
        <v>19.684215000000002</v>
      </c>
      <c r="Z84">
        <v>57</v>
      </c>
      <c r="AA84">
        <v>6.42</v>
      </c>
      <c r="AB84">
        <v>0</v>
      </c>
      <c r="AC84">
        <v>34.950000000000003</v>
      </c>
      <c r="AD84">
        <v>0</v>
      </c>
      <c r="AE84">
        <f t="shared" si="42"/>
        <v>1.351578947368421</v>
      </c>
      <c r="AF84">
        <f t="shared" si="43"/>
        <v>0.45986842105263159</v>
      </c>
      <c r="AG84" s="3">
        <v>1.59</v>
      </c>
      <c r="AH84">
        <f t="shared" si="48"/>
        <v>22.195185000000002</v>
      </c>
      <c r="AI84" s="3">
        <v>61.46</v>
      </c>
    </row>
    <row r="85" spans="1:38" x14ac:dyDescent="0.5">
      <c r="A85">
        <v>240</v>
      </c>
      <c r="B85">
        <v>200</v>
      </c>
      <c r="C85">
        <v>0.1</v>
      </c>
      <c r="D85">
        <v>100</v>
      </c>
      <c r="E85">
        <v>4500</v>
      </c>
      <c r="F85">
        <v>1000</v>
      </c>
      <c r="G85" s="3">
        <f t="shared" si="44"/>
        <v>10</v>
      </c>
      <c r="N85">
        <v>5.97</v>
      </c>
      <c r="O85">
        <v>73.819999999999993</v>
      </c>
      <c r="P85" s="3">
        <v>14.35</v>
      </c>
      <c r="Q85">
        <v>50.49</v>
      </c>
      <c r="R85">
        <v>6.34</v>
      </c>
      <c r="S85">
        <v>0.78</v>
      </c>
      <c r="T85">
        <v>36.049999999999997</v>
      </c>
      <c r="U85">
        <v>0</v>
      </c>
      <c r="V85">
        <f t="shared" si="45"/>
        <v>1.5068330362448008</v>
      </c>
      <c r="W85">
        <f t="shared" si="46"/>
        <v>0.53550207961972662</v>
      </c>
      <c r="X85">
        <v>5.86</v>
      </c>
      <c r="Y85" s="3">
        <f t="shared" si="47"/>
        <v>19.684215000000002</v>
      </c>
      <c r="Z85">
        <v>58.56</v>
      </c>
      <c r="AA85">
        <v>6.28</v>
      </c>
      <c r="AB85">
        <v>0</v>
      </c>
      <c r="AC85">
        <v>33.340000000000003</v>
      </c>
      <c r="AD85">
        <v>0</v>
      </c>
      <c r="AE85">
        <f t="shared" si="42"/>
        <v>1.2868852459016393</v>
      </c>
      <c r="AF85">
        <f t="shared" si="43"/>
        <v>0.42699795081967218</v>
      </c>
      <c r="AG85" s="3">
        <v>1.77</v>
      </c>
      <c r="AH85">
        <f t="shared" si="48"/>
        <v>22.809930000000001</v>
      </c>
      <c r="AI85" s="3">
        <v>58.75</v>
      </c>
    </row>
    <row r="86" spans="1:38" x14ac:dyDescent="0.5">
      <c r="A86">
        <v>350</v>
      </c>
      <c r="B86">
        <v>200</v>
      </c>
      <c r="C86">
        <v>0.1</v>
      </c>
      <c r="D86">
        <v>100</v>
      </c>
      <c r="E86">
        <v>4500</v>
      </c>
      <c r="F86">
        <v>1000</v>
      </c>
      <c r="G86" s="3">
        <f t="shared" si="44"/>
        <v>10</v>
      </c>
      <c r="N86">
        <v>5.97</v>
      </c>
      <c r="O86">
        <v>73.819999999999993</v>
      </c>
      <c r="P86" s="3">
        <v>14.35</v>
      </c>
      <c r="Q86">
        <v>50.49</v>
      </c>
      <c r="R86">
        <v>6.34</v>
      </c>
      <c r="S86">
        <v>0.78</v>
      </c>
      <c r="T86">
        <v>36.049999999999997</v>
      </c>
      <c r="U86">
        <v>0</v>
      </c>
      <c r="V86">
        <f t="shared" si="45"/>
        <v>1.5068330362448008</v>
      </c>
      <c r="W86">
        <f t="shared" si="46"/>
        <v>0.53550207961972662</v>
      </c>
      <c r="X86">
        <v>5.86</v>
      </c>
      <c r="Y86" s="3">
        <f t="shared" si="47"/>
        <v>19.684215000000002</v>
      </c>
      <c r="Z86">
        <v>59.57</v>
      </c>
      <c r="AA86">
        <v>6.27</v>
      </c>
      <c r="AB86">
        <v>0</v>
      </c>
      <c r="AC86">
        <v>32.35</v>
      </c>
      <c r="AD86">
        <v>0</v>
      </c>
      <c r="AE86">
        <f t="shared" si="42"/>
        <v>1.2630518717475239</v>
      </c>
      <c r="AF86">
        <f t="shared" si="43"/>
        <v>0.40729393990263557</v>
      </c>
      <c r="AG86" s="3">
        <v>1.76</v>
      </c>
      <c r="AH86">
        <f t="shared" si="48"/>
        <v>23.313744999999997</v>
      </c>
      <c r="AI86" s="3">
        <v>58.33</v>
      </c>
    </row>
    <row r="87" spans="1:38" x14ac:dyDescent="0.5">
      <c r="A87">
        <v>480</v>
      </c>
      <c r="B87">
        <v>200</v>
      </c>
      <c r="C87">
        <v>0.1</v>
      </c>
      <c r="D87">
        <v>100</v>
      </c>
      <c r="E87">
        <v>4500</v>
      </c>
      <c r="F87">
        <v>1000</v>
      </c>
      <c r="G87" s="3">
        <f t="shared" si="44"/>
        <v>10</v>
      </c>
      <c r="N87">
        <v>5.97</v>
      </c>
      <c r="O87">
        <v>73.819999999999993</v>
      </c>
      <c r="P87" s="3">
        <v>14.35</v>
      </c>
      <c r="Q87">
        <v>50.49</v>
      </c>
      <c r="R87">
        <v>6.34</v>
      </c>
      <c r="S87">
        <v>0.78</v>
      </c>
      <c r="T87">
        <v>36.049999999999997</v>
      </c>
      <c r="U87">
        <v>0</v>
      </c>
      <c r="V87">
        <f t="shared" si="45"/>
        <v>1.5068330362448008</v>
      </c>
      <c r="W87">
        <f t="shared" si="46"/>
        <v>0.53550207961972662</v>
      </c>
      <c r="X87">
        <v>5.86</v>
      </c>
      <c r="Y87" s="3">
        <f t="shared" si="47"/>
        <v>19.684215000000002</v>
      </c>
      <c r="Z87">
        <v>59.54</v>
      </c>
      <c r="AA87">
        <v>6.38</v>
      </c>
      <c r="AB87">
        <v>0</v>
      </c>
      <c r="AC87">
        <v>32.35</v>
      </c>
      <c r="AD87">
        <v>0</v>
      </c>
      <c r="AE87">
        <f t="shared" si="42"/>
        <v>1.2858582465569364</v>
      </c>
      <c r="AF87">
        <f t="shared" si="43"/>
        <v>0.40749916022841787</v>
      </c>
      <c r="AG87" s="3">
        <v>1.68</v>
      </c>
      <c r="AH87">
        <f t="shared" si="48"/>
        <v>23.460684999999998</v>
      </c>
      <c r="AI87" s="3">
        <v>51.78</v>
      </c>
    </row>
    <row r="88" spans="1:38" x14ac:dyDescent="0.5">
      <c r="A88">
        <v>120</v>
      </c>
      <c r="B88">
        <v>240</v>
      </c>
      <c r="C88">
        <v>0.1</v>
      </c>
      <c r="D88">
        <v>100</v>
      </c>
      <c r="E88">
        <v>4500</v>
      </c>
      <c r="F88">
        <v>1000</v>
      </c>
      <c r="G88" s="3">
        <f t="shared" si="44"/>
        <v>10</v>
      </c>
      <c r="N88">
        <v>5.97</v>
      </c>
      <c r="O88">
        <v>73.819999999999993</v>
      </c>
      <c r="P88" s="3">
        <v>14.35</v>
      </c>
      <c r="Q88">
        <v>50.49</v>
      </c>
      <c r="R88">
        <v>6.34</v>
      </c>
      <c r="S88">
        <v>0.78</v>
      </c>
      <c r="T88">
        <v>36.049999999999997</v>
      </c>
      <c r="U88">
        <v>0</v>
      </c>
      <c r="V88">
        <f t="shared" si="45"/>
        <v>1.5068330362448008</v>
      </c>
      <c r="W88">
        <f t="shared" si="46"/>
        <v>0.53550207961972662</v>
      </c>
      <c r="X88">
        <v>5.86</v>
      </c>
      <c r="Y88" s="3">
        <f t="shared" si="47"/>
        <v>19.684215000000002</v>
      </c>
      <c r="Z88">
        <v>68.400000000000006</v>
      </c>
      <c r="AA88">
        <v>6.42</v>
      </c>
      <c r="AB88">
        <v>0.38</v>
      </c>
      <c r="AC88">
        <v>22.32</v>
      </c>
      <c r="AD88">
        <v>0</v>
      </c>
      <c r="AE88">
        <f t="shared" si="42"/>
        <v>1.1263157894736842</v>
      </c>
      <c r="AF88">
        <f t="shared" si="43"/>
        <v>0.24473684210526314</v>
      </c>
      <c r="AG88" s="3">
        <v>2.4300000000000002</v>
      </c>
      <c r="AH88">
        <f t="shared" si="48"/>
        <v>28.302840000000003</v>
      </c>
      <c r="AI88" s="3">
        <v>41.15</v>
      </c>
    </row>
    <row r="89" spans="1:38" x14ac:dyDescent="0.5">
      <c r="A89">
        <v>240</v>
      </c>
      <c r="B89">
        <v>240</v>
      </c>
      <c r="C89">
        <v>0.1</v>
      </c>
      <c r="D89">
        <v>100</v>
      </c>
      <c r="E89">
        <v>4500</v>
      </c>
      <c r="F89">
        <v>1000</v>
      </c>
      <c r="G89" s="3">
        <f t="shared" si="44"/>
        <v>10</v>
      </c>
      <c r="N89">
        <v>5.97</v>
      </c>
      <c r="O89">
        <v>73.819999999999993</v>
      </c>
      <c r="P89" s="3">
        <v>14.35</v>
      </c>
      <c r="Q89">
        <v>50.49</v>
      </c>
      <c r="R89">
        <v>6.34</v>
      </c>
      <c r="S89">
        <v>0.78</v>
      </c>
      <c r="T89">
        <v>36.049999999999997</v>
      </c>
      <c r="U89">
        <v>0</v>
      </c>
      <c r="V89">
        <f t="shared" si="45"/>
        <v>1.5068330362448008</v>
      </c>
      <c r="W89">
        <f t="shared" si="46"/>
        <v>0.53550207961972662</v>
      </c>
      <c r="X89">
        <v>5.86</v>
      </c>
      <c r="Y89" s="3">
        <f t="shared" si="47"/>
        <v>19.684215000000002</v>
      </c>
      <c r="Z89">
        <v>66.94</v>
      </c>
      <c r="AA89">
        <v>6.43</v>
      </c>
      <c r="AB89">
        <v>0.35</v>
      </c>
      <c r="AC89">
        <v>24.4</v>
      </c>
      <c r="AD89">
        <v>0</v>
      </c>
      <c r="AE89">
        <f t="shared" si="42"/>
        <v>1.1526740364505528</v>
      </c>
      <c r="AF89">
        <f t="shared" si="43"/>
        <v>0.27337914550343589</v>
      </c>
      <c r="AG89" s="3">
        <v>1.84</v>
      </c>
      <c r="AH89">
        <f t="shared" si="48"/>
        <v>27.452359999999999</v>
      </c>
      <c r="AI89" s="3">
        <v>40.15</v>
      </c>
    </row>
    <row r="90" spans="1:38" x14ac:dyDescent="0.5">
      <c r="A90">
        <v>350</v>
      </c>
      <c r="B90">
        <v>240</v>
      </c>
      <c r="C90">
        <v>0.1</v>
      </c>
      <c r="D90">
        <v>100</v>
      </c>
      <c r="E90">
        <v>4500</v>
      </c>
      <c r="F90">
        <v>1000</v>
      </c>
      <c r="G90" s="3">
        <f t="shared" si="44"/>
        <v>10</v>
      </c>
      <c r="N90">
        <v>5.97</v>
      </c>
      <c r="O90">
        <v>73.819999999999993</v>
      </c>
      <c r="P90" s="3">
        <v>14.35</v>
      </c>
      <c r="Q90">
        <v>50.49</v>
      </c>
      <c r="R90">
        <v>6.34</v>
      </c>
      <c r="S90">
        <v>0.78</v>
      </c>
      <c r="T90">
        <v>36.049999999999997</v>
      </c>
      <c r="U90">
        <v>0</v>
      </c>
      <c r="V90">
        <f t="shared" si="45"/>
        <v>1.5068330362448008</v>
      </c>
      <c r="W90">
        <f t="shared" si="46"/>
        <v>0.53550207961972662</v>
      </c>
      <c r="X90">
        <v>5.86</v>
      </c>
      <c r="Y90" s="3">
        <f t="shared" si="47"/>
        <v>19.684215000000002</v>
      </c>
      <c r="Z90">
        <v>66.87</v>
      </c>
      <c r="AA90">
        <v>6.6</v>
      </c>
      <c r="AB90">
        <v>0.35</v>
      </c>
      <c r="AC90">
        <v>24.39</v>
      </c>
      <c r="AD90">
        <v>0</v>
      </c>
      <c r="AE90">
        <f t="shared" si="42"/>
        <v>1.1843876177658141</v>
      </c>
      <c r="AF90">
        <f t="shared" si="43"/>
        <v>0.27355316285329739</v>
      </c>
      <c r="AG90" s="3">
        <v>1.75</v>
      </c>
      <c r="AH90">
        <f t="shared" si="48"/>
        <v>27.673245000000001</v>
      </c>
      <c r="AI90" s="3">
        <v>39.71</v>
      </c>
    </row>
    <row r="91" spans="1:38" x14ac:dyDescent="0.5">
      <c r="A91">
        <v>480</v>
      </c>
      <c r="B91">
        <v>240</v>
      </c>
      <c r="C91">
        <v>0.1</v>
      </c>
      <c r="D91">
        <v>100</v>
      </c>
      <c r="E91">
        <v>4500</v>
      </c>
      <c r="F91">
        <v>1000</v>
      </c>
      <c r="G91" s="3">
        <f t="shared" si="44"/>
        <v>10</v>
      </c>
      <c r="N91">
        <v>5.97</v>
      </c>
      <c r="O91">
        <v>73.819999999999993</v>
      </c>
      <c r="P91" s="3">
        <v>14.35</v>
      </c>
      <c r="Q91">
        <v>50.49</v>
      </c>
      <c r="R91">
        <v>6.34</v>
      </c>
      <c r="S91">
        <v>0.78</v>
      </c>
      <c r="T91">
        <v>36.049999999999997</v>
      </c>
      <c r="U91">
        <v>0</v>
      </c>
      <c r="V91">
        <f t="shared" si="45"/>
        <v>1.5068330362448008</v>
      </c>
      <c r="W91">
        <f t="shared" si="46"/>
        <v>0.53550207961972662</v>
      </c>
      <c r="X91">
        <v>5.86</v>
      </c>
      <c r="Y91" s="3">
        <f t="shared" si="47"/>
        <v>19.684215000000002</v>
      </c>
      <c r="Z91">
        <v>65.33</v>
      </c>
      <c r="AA91">
        <v>6.67</v>
      </c>
      <c r="AB91">
        <v>0.36</v>
      </c>
      <c r="AC91">
        <v>25.87</v>
      </c>
      <c r="AD91">
        <v>0</v>
      </c>
      <c r="AE91">
        <f t="shared" si="42"/>
        <v>1.2251645492116945</v>
      </c>
      <c r="AF91">
        <f t="shared" si="43"/>
        <v>0.29699219347925915</v>
      </c>
      <c r="AG91" s="3">
        <v>1.73</v>
      </c>
      <c r="AH91">
        <f t="shared" si="48"/>
        <v>26.988505</v>
      </c>
      <c r="AI91" s="3">
        <v>38.81</v>
      </c>
    </row>
    <row r="92" spans="1:38" x14ac:dyDescent="0.5">
      <c r="A92" s="4">
        <v>120</v>
      </c>
      <c r="B92">
        <v>280</v>
      </c>
      <c r="C92">
        <v>0.1</v>
      </c>
      <c r="D92">
        <v>100</v>
      </c>
      <c r="E92">
        <v>4500</v>
      </c>
      <c r="F92">
        <v>1000</v>
      </c>
      <c r="G92" s="3">
        <f t="shared" si="44"/>
        <v>10</v>
      </c>
      <c r="N92">
        <v>5.97</v>
      </c>
      <c r="O92">
        <v>73.819999999999993</v>
      </c>
      <c r="P92" s="3">
        <v>14.35</v>
      </c>
      <c r="Q92">
        <v>50.49</v>
      </c>
      <c r="R92">
        <v>6.34</v>
      </c>
      <c r="S92">
        <v>0.78</v>
      </c>
      <c r="T92">
        <v>36.049999999999997</v>
      </c>
      <c r="U92">
        <v>0</v>
      </c>
      <c r="V92">
        <f t="shared" si="45"/>
        <v>1.5068330362448008</v>
      </c>
      <c r="W92">
        <f t="shared" si="46"/>
        <v>0.53550207961972662</v>
      </c>
      <c r="X92">
        <v>5.86</v>
      </c>
      <c r="Y92" s="3">
        <f t="shared" si="47"/>
        <v>19.684215000000002</v>
      </c>
      <c r="Z92">
        <v>69.16</v>
      </c>
      <c r="AA92">
        <v>3.26</v>
      </c>
      <c r="AB92">
        <v>1.01</v>
      </c>
      <c r="AC92">
        <v>22.29</v>
      </c>
      <c r="AD92">
        <v>0</v>
      </c>
      <c r="AE92">
        <f t="shared" si="42"/>
        <v>0.5656448814343551</v>
      </c>
      <c r="AF92">
        <f t="shared" si="43"/>
        <v>0.24172209369577793</v>
      </c>
      <c r="AG92" s="3">
        <v>3.97</v>
      </c>
      <c r="AH92">
        <f t="shared" si="48"/>
        <v>24.052595</v>
      </c>
      <c r="AI92" s="3">
        <v>34.96</v>
      </c>
    </row>
    <row r="93" spans="1:38" x14ac:dyDescent="0.5">
      <c r="A93" s="4">
        <v>240</v>
      </c>
      <c r="B93">
        <v>280</v>
      </c>
      <c r="C93">
        <v>0.1</v>
      </c>
      <c r="D93">
        <v>100</v>
      </c>
      <c r="E93">
        <v>4500</v>
      </c>
      <c r="F93">
        <v>1000</v>
      </c>
      <c r="G93" s="3">
        <f t="shared" si="44"/>
        <v>10</v>
      </c>
      <c r="N93">
        <v>5.97</v>
      </c>
      <c r="O93">
        <v>73.819999999999993</v>
      </c>
      <c r="P93" s="3">
        <v>14.35</v>
      </c>
      <c r="Q93">
        <v>50.49</v>
      </c>
      <c r="R93">
        <v>6.34</v>
      </c>
      <c r="S93">
        <v>0.78</v>
      </c>
      <c r="T93">
        <v>36.049999999999997</v>
      </c>
      <c r="U93">
        <v>0</v>
      </c>
      <c r="V93">
        <f t="shared" si="45"/>
        <v>1.5068330362448008</v>
      </c>
      <c r="W93">
        <f t="shared" si="46"/>
        <v>0.53550207961972662</v>
      </c>
      <c r="X93">
        <v>5.86</v>
      </c>
      <c r="Y93" s="3">
        <f t="shared" si="47"/>
        <v>19.684215000000002</v>
      </c>
      <c r="Z93">
        <v>64.02</v>
      </c>
      <c r="AA93">
        <v>6.61</v>
      </c>
      <c r="AB93">
        <v>0.36</v>
      </c>
      <c r="AC93">
        <v>27.46</v>
      </c>
      <c r="AD93">
        <v>0</v>
      </c>
      <c r="AE93">
        <f t="shared" si="42"/>
        <v>1.238987816307404</v>
      </c>
      <c r="AF93">
        <f t="shared" si="43"/>
        <v>0.32169634489222121</v>
      </c>
      <c r="AG93" s="3">
        <v>1.52</v>
      </c>
      <c r="AH93">
        <f t="shared" si="48"/>
        <v>26.17623</v>
      </c>
      <c r="AI93" s="3">
        <v>38.06</v>
      </c>
    </row>
    <row r="94" spans="1:38" x14ac:dyDescent="0.5">
      <c r="A94" s="4">
        <v>350</v>
      </c>
      <c r="B94">
        <v>280</v>
      </c>
      <c r="C94">
        <v>0.1</v>
      </c>
      <c r="D94">
        <v>100</v>
      </c>
      <c r="E94">
        <v>4500</v>
      </c>
      <c r="F94">
        <v>1000</v>
      </c>
      <c r="G94" s="3">
        <f t="shared" si="44"/>
        <v>10</v>
      </c>
      <c r="N94">
        <v>5.97</v>
      </c>
      <c r="O94">
        <v>73.819999999999993</v>
      </c>
      <c r="P94" s="3">
        <v>14.35</v>
      </c>
      <c r="Q94">
        <v>50.49</v>
      </c>
      <c r="R94">
        <v>6.34</v>
      </c>
      <c r="S94">
        <v>0.78</v>
      </c>
      <c r="T94">
        <v>36.049999999999997</v>
      </c>
      <c r="U94">
        <v>0</v>
      </c>
      <c r="V94">
        <f t="shared" si="45"/>
        <v>1.5068330362448008</v>
      </c>
      <c r="W94">
        <f t="shared" si="46"/>
        <v>0.53550207961972662</v>
      </c>
      <c r="X94">
        <v>5.86</v>
      </c>
      <c r="Y94" s="3">
        <f t="shared" si="47"/>
        <v>19.684215000000002</v>
      </c>
      <c r="Z94">
        <v>70.45</v>
      </c>
      <c r="AA94">
        <v>6.55</v>
      </c>
      <c r="AB94">
        <v>0.33</v>
      </c>
      <c r="AC94">
        <v>20.85</v>
      </c>
      <c r="AD94">
        <v>0</v>
      </c>
      <c r="AE94">
        <f t="shared" si="42"/>
        <v>1.1156848828956707</v>
      </c>
      <c r="AF94">
        <f t="shared" si="43"/>
        <v>0.22196593328601846</v>
      </c>
      <c r="AG94" s="3">
        <v>1.8</v>
      </c>
      <c r="AH94">
        <f t="shared" si="48"/>
        <v>29.443775000000002</v>
      </c>
      <c r="AI94" s="3">
        <v>36.17</v>
      </c>
    </row>
    <row r="95" spans="1:38" x14ac:dyDescent="0.5">
      <c r="A95" s="4">
        <v>480</v>
      </c>
      <c r="B95">
        <v>280</v>
      </c>
      <c r="C95">
        <v>0.1</v>
      </c>
      <c r="D95">
        <v>100</v>
      </c>
      <c r="E95">
        <v>4500</v>
      </c>
      <c r="F95">
        <v>1000</v>
      </c>
      <c r="G95" s="3">
        <f t="shared" si="44"/>
        <v>10</v>
      </c>
      <c r="N95">
        <v>5.97</v>
      </c>
      <c r="O95">
        <v>73.819999999999993</v>
      </c>
      <c r="P95" s="3">
        <v>14.35</v>
      </c>
      <c r="Q95">
        <v>50.49</v>
      </c>
      <c r="R95">
        <v>6.34</v>
      </c>
      <c r="S95">
        <v>0.78</v>
      </c>
      <c r="T95">
        <v>36.049999999999997</v>
      </c>
      <c r="U95">
        <v>0</v>
      </c>
      <c r="V95">
        <f t="shared" si="45"/>
        <v>1.5068330362448008</v>
      </c>
      <c r="W95">
        <f t="shared" si="46"/>
        <v>0.53550207961972662</v>
      </c>
      <c r="X95">
        <v>5.86</v>
      </c>
      <c r="Y95" s="3">
        <f t="shared" si="47"/>
        <v>19.684215000000002</v>
      </c>
      <c r="Z95">
        <v>67.25</v>
      </c>
      <c r="AA95">
        <v>6.73</v>
      </c>
      <c r="AB95">
        <v>0.39</v>
      </c>
      <c r="AC95">
        <v>23.85</v>
      </c>
      <c r="AD95">
        <v>0</v>
      </c>
      <c r="AE95">
        <f t="shared" si="42"/>
        <v>1.2008921933085501</v>
      </c>
      <c r="AF95">
        <f t="shared" si="43"/>
        <v>0.26598513011152419</v>
      </c>
      <c r="AG95" s="3">
        <v>1.75</v>
      </c>
      <c r="AH95">
        <f t="shared" si="48"/>
        <v>28.083715000000005</v>
      </c>
      <c r="AI95" s="3">
        <v>38.14</v>
      </c>
    </row>
    <row r="96" spans="1:38" x14ac:dyDescent="0.5">
      <c r="A96" s="4">
        <v>120</v>
      </c>
      <c r="B96">
        <v>180</v>
      </c>
      <c r="C96">
        <v>0.1</v>
      </c>
      <c r="D96">
        <v>10</v>
      </c>
      <c r="E96">
        <v>150</v>
      </c>
      <c r="F96">
        <v>90</v>
      </c>
      <c r="G96" s="3">
        <f t="shared" si="44"/>
        <v>9</v>
      </c>
      <c r="N96">
        <v>2.17</v>
      </c>
      <c r="O96">
        <v>76.930000000000007</v>
      </c>
      <c r="P96" s="3">
        <v>11.73</v>
      </c>
      <c r="Q96">
        <v>32.700000000000003</v>
      </c>
      <c r="R96">
        <v>5.79</v>
      </c>
      <c r="S96">
        <v>1.43</v>
      </c>
      <c r="T96">
        <v>50.9</v>
      </c>
      <c r="U96">
        <v>0.01</v>
      </c>
      <c r="V96">
        <f t="shared" si="45"/>
        <v>2.1247706422018346</v>
      </c>
      <c r="W96">
        <f t="shared" si="46"/>
        <v>1.1674311926605503</v>
      </c>
      <c r="X96">
        <v>9.17</v>
      </c>
      <c r="Y96" s="3">
        <v>13.4</v>
      </c>
      <c r="Z96">
        <v>41.2</v>
      </c>
      <c r="AA96">
        <v>5.65</v>
      </c>
      <c r="AB96">
        <v>1.55</v>
      </c>
      <c r="AC96">
        <v>43.51</v>
      </c>
      <c r="AD96">
        <v>0.01</v>
      </c>
      <c r="AE96">
        <f t="shared" si="42"/>
        <v>1.645631067961165</v>
      </c>
      <c r="AF96">
        <f t="shared" si="43"/>
        <v>0.79205097087378629</v>
      </c>
      <c r="AG96" s="3">
        <v>8.08</v>
      </c>
      <c r="AH96">
        <v>16.5</v>
      </c>
      <c r="AI96" s="3">
        <v>76</v>
      </c>
      <c r="AJ96" s="2" t="s">
        <v>57</v>
      </c>
      <c r="AK96" t="s">
        <v>58</v>
      </c>
      <c r="AL96">
        <v>11</v>
      </c>
    </row>
    <row r="97" spans="1:38" x14ac:dyDescent="0.5">
      <c r="A97" s="4">
        <v>240</v>
      </c>
      <c r="B97">
        <v>180</v>
      </c>
      <c r="C97">
        <v>0.1</v>
      </c>
      <c r="D97">
        <v>10</v>
      </c>
      <c r="E97">
        <v>150</v>
      </c>
      <c r="F97">
        <v>90</v>
      </c>
      <c r="G97" s="3">
        <f t="shared" ref="G97:G102" si="49">F97/D97</f>
        <v>9</v>
      </c>
      <c r="N97">
        <v>2.17</v>
      </c>
      <c r="O97">
        <v>76.930000000000007</v>
      </c>
      <c r="P97" s="3">
        <v>11.73</v>
      </c>
      <c r="Q97">
        <v>32.700000000000003</v>
      </c>
      <c r="R97">
        <v>5.79</v>
      </c>
      <c r="S97">
        <v>1.43</v>
      </c>
      <c r="T97">
        <v>50.9</v>
      </c>
      <c r="U97">
        <v>0.01</v>
      </c>
      <c r="V97">
        <f t="shared" ref="V97:V102" si="50">(R97/1)/(Q97/12)</f>
        <v>2.1247706422018346</v>
      </c>
      <c r="W97">
        <f t="shared" ref="W97:W102" si="51">(T97/16)/(Q97/12)</f>
        <v>1.1674311926605503</v>
      </c>
      <c r="X97">
        <v>9.17</v>
      </c>
      <c r="Y97" s="3">
        <v>13.4</v>
      </c>
      <c r="Z97">
        <v>41.6</v>
      </c>
      <c r="AA97">
        <v>5.44</v>
      </c>
      <c r="AB97">
        <v>1.62</v>
      </c>
      <c r="AC97">
        <v>43.37</v>
      </c>
      <c r="AD97">
        <v>0.01</v>
      </c>
      <c r="AE97">
        <f t="shared" si="42"/>
        <v>1.5692307692307692</v>
      </c>
      <c r="AF97">
        <f t="shared" si="43"/>
        <v>0.78191105769230762</v>
      </c>
      <c r="AG97" s="3">
        <v>7.96</v>
      </c>
      <c r="AH97">
        <v>16.8</v>
      </c>
      <c r="AI97" s="3">
        <v>72</v>
      </c>
    </row>
    <row r="98" spans="1:38" x14ac:dyDescent="0.5">
      <c r="A98" s="4">
        <v>120</v>
      </c>
      <c r="B98">
        <v>200</v>
      </c>
      <c r="C98">
        <v>0.1</v>
      </c>
      <c r="D98">
        <v>10</v>
      </c>
      <c r="E98">
        <v>150</v>
      </c>
      <c r="F98">
        <v>90</v>
      </c>
      <c r="G98" s="3">
        <f t="shared" si="49"/>
        <v>9</v>
      </c>
      <c r="N98">
        <v>2.17</v>
      </c>
      <c r="O98">
        <v>76.930000000000007</v>
      </c>
      <c r="P98" s="3">
        <v>11.73</v>
      </c>
      <c r="Q98">
        <v>32.700000000000003</v>
      </c>
      <c r="R98">
        <v>5.79</v>
      </c>
      <c r="S98">
        <v>1.43</v>
      </c>
      <c r="T98">
        <v>50.9</v>
      </c>
      <c r="U98">
        <v>0.01</v>
      </c>
      <c r="V98">
        <f t="shared" si="50"/>
        <v>2.1247706422018346</v>
      </c>
      <c r="W98">
        <f t="shared" si="51"/>
        <v>1.1674311926605503</v>
      </c>
      <c r="X98">
        <v>9.17</v>
      </c>
      <c r="Y98" s="3">
        <v>13.4</v>
      </c>
      <c r="Z98">
        <v>42.7</v>
      </c>
      <c r="AA98">
        <v>5.38</v>
      </c>
      <c r="AB98">
        <v>1.62</v>
      </c>
      <c r="AC98">
        <v>42.44</v>
      </c>
      <c r="AD98">
        <v>0.01</v>
      </c>
      <c r="AE98">
        <f t="shared" si="42"/>
        <v>1.511943793911007</v>
      </c>
      <c r="AF98">
        <f t="shared" si="43"/>
        <v>0.7454332552693208</v>
      </c>
      <c r="AG98" s="3">
        <v>7.85</v>
      </c>
      <c r="AH98">
        <v>17.2</v>
      </c>
      <c r="AI98" s="3">
        <v>71</v>
      </c>
    </row>
    <row r="99" spans="1:38" x14ac:dyDescent="0.5">
      <c r="A99" s="4">
        <v>240</v>
      </c>
      <c r="B99">
        <v>200</v>
      </c>
      <c r="C99">
        <v>0.1</v>
      </c>
      <c r="D99">
        <v>10</v>
      </c>
      <c r="E99">
        <v>150</v>
      </c>
      <c r="F99">
        <v>90</v>
      </c>
      <c r="G99" s="3">
        <f t="shared" si="49"/>
        <v>9</v>
      </c>
      <c r="N99">
        <v>2.17</v>
      </c>
      <c r="O99">
        <v>76.930000000000007</v>
      </c>
      <c r="P99" s="3">
        <v>11.73</v>
      </c>
      <c r="Q99">
        <v>32.700000000000003</v>
      </c>
      <c r="R99">
        <v>5.79</v>
      </c>
      <c r="S99">
        <v>1.43</v>
      </c>
      <c r="T99">
        <v>50.9</v>
      </c>
      <c r="U99">
        <v>0.01</v>
      </c>
      <c r="V99">
        <f t="shared" si="50"/>
        <v>2.1247706422018346</v>
      </c>
      <c r="W99">
        <f t="shared" si="51"/>
        <v>1.1674311926605503</v>
      </c>
      <c r="X99">
        <v>9.17</v>
      </c>
      <c r="Y99" s="3">
        <v>13.4</v>
      </c>
      <c r="Z99">
        <v>43.4</v>
      </c>
      <c r="AA99">
        <v>5.37</v>
      </c>
      <c r="AB99">
        <v>1.66</v>
      </c>
      <c r="AC99">
        <v>41.28</v>
      </c>
      <c r="AD99">
        <v>0.01</v>
      </c>
      <c r="AE99">
        <f t="shared" si="42"/>
        <v>1.4847926267281106</v>
      </c>
      <c r="AF99">
        <f t="shared" si="43"/>
        <v>0.71336405529953917</v>
      </c>
      <c r="AG99" s="3">
        <v>7.74</v>
      </c>
      <c r="AH99">
        <v>17.899999999999999</v>
      </c>
      <c r="AI99" s="3">
        <v>68</v>
      </c>
    </row>
    <row r="100" spans="1:38" x14ac:dyDescent="0.5">
      <c r="A100" s="4">
        <v>120</v>
      </c>
      <c r="B100">
        <v>220</v>
      </c>
      <c r="C100">
        <v>0.1</v>
      </c>
      <c r="D100">
        <v>10</v>
      </c>
      <c r="E100">
        <v>150</v>
      </c>
      <c r="F100">
        <v>90</v>
      </c>
      <c r="G100" s="3">
        <f t="shared" si="49"/>
        <v>9</v>
      </c>
      <c r="N100">
        <v>2.17</v>
      </c>
      <c r="O100">
        <v>76.930000000000007</v>
      </c>
      <c r="P100" s="3">
        <v>11.73</v>
      </c>
      <c r="Q100">
        <v>32.700000000000003</v>
      </c>
      <c r="R100">
        <v>5.79</v>
      </c>
      <c r="S100">
        <v>1.43</v>
      </c>
      <c r="T100">
        <v>50.9</v>
      </c>
      <c r="U100">
        <v>0.01</v>
      </c>
      <c r="V100">
        <f t="shared" si="50"/>
        <v>2.1247706422018346</v>
      </c>
      <c r="W100">
        <f t="shared" si="51"/>
        <v>1.1674311926605503</v>
      </c>
      <c r="X100">
        <v>9.17</v>
      </c>
      <c r="Y100" s="3">
        <v>13.4</v>
      </c>
      <c r="Z100">
        <v>45.6</v>
      </c>
      <c r="AA100">
        <v>5.34</v>
      </c>
      <c r="AB100">
        <v>1.67</v>
      </c>
      <c r="AC100">
        <v>39.94</v>
      </c>
      <c r="AD100">
        <v>0.01</v>
      </c>
      <c r="AE100">
        <f t="shared" si="42"/>
        <v>1.4052631578947368</v>
      </c>
      <c r="AF100">
        <f t="shared" si="43"/>
        <v>0.65690789473684197</v>
      </c>
      <c r="AG100" s="3">
        <v>7.44</v>
      </c>
      <c r="AH100">
        <v>18.8</v>
      </c>
      <c r="AI100" s="3">
        <v>65</v>
      </c>
    </row>
    <row r="101" spans="1:38" x14ac:dyDescent="0.5">
      <c r="A101" s="4">
        <v>240</v>
      </c>
      <c r="B101">
        <v>220</v>
      </c>
      <c r="C101">
        <v>0.1</v>
      </c>
      <c r="D101">
        <v>10</v>
      </c>
      <c r="E101">
        <v>150</v>
      </c>
      <c r="F101">
        <v>90</v>
      </c>
      <c r="G101" s="3">
        <f t="shared" si="49"/>
        <v>9</v>
      </c>
      <c r="N101">
        <v>2.17</v>
      </c>
      <c r="O101">
        <v>76.930000000000007</v>
      </c>
      <c r="P101" s="3">
        <v>11.73</v>
      </c>
      <c r="Q101">
        <v>32.700000000000003</v>
      </c>
      <c r="R101">
        <v>5.79</v>
      </c>
      <c r="S101">
        <v>1.43</v>
      </c>
      <c r="T101">
        <v>50.9</v>
      </c>
      <c r="U101">
        <v>0.01</v>
      </c>
      <c r="V101">
        <f t="shared" si="50"/>
        <v>2.1247706422018346</v>
      </c>
      <c r="W101">
        <f t="shared" si="51"/>
        <v>1.1674311926605503</v>
      </c>
      <c r="X101">
        <v>9.17</v>
      </c>
      <c r="Y101" s="3">
        <v>13.4</v>
      </c>
      <c r="Z101">
        <v>46.7</v>
      </c>
      <c r="AA101">
        <v>5.32</v>
      </c>
      <c r="AB101">
        <v>1.75</v>
      </c>
      <c r="AC101">
        <v>39.15</v>
      </c>
      <c r="AD101">
        <v>0.01</v>
      </c>
      <c r="AE101">
        <f t="shared" si="42"/>
        <v>1.3670235546038543</v>
      </c>
      <c r="AF101">
        <f t="shared" si="43"/>
        <v>0.62874732334047101</v>
      </c>
      <c r="AG101" s="3">
        <v>7.07</v>
      </c>
      <c r="AH101">
        <v>19.2</v>
      </c>
      <c r="AI101" s="3">
        <v>63</v>
      </c>
    </row>
    <row r="102" spans="1:38" x14ac:dyDescent="0.5">
      <c r="A102" s="4">
        <v>60</v>
      </c>
      <c r="B102">
        <v>140</v>
      </c>
      <c r="C102">
        <v>0.1</v>
      </c>
      <c r="D102">
        <v>4</v>
      </c>
      <c r="E102">
        <v>100</v>
      </c>
      <c r="F102">
        <v>50</v>
      </c>
      <c r="G102" s="3">
        <f t="shared" si="49"/>
        <v>12.5</v>
      </c>
      <c r="N102">
        <v>9.5</v>
      </c>
      <c r="O102">
        <v>77</v>
      </c>
      <c r="P102" s="3">
        <v>8.5</v>
      </c>
      <c r="Q102">
        <v>40.1</v>
      </c>
      <c r="R102">
        <v>5.7</v>
      </c>
      <c r="S102">
        <v>0.9</v>
      </c>
      <c r="T102">
        <v>53.3</v>
      </c>
      <c r="U102">
        <v>0.03</v>
      </c>
      <c r="V102">
        <f t="shared" si="50"/>
        <v>1.7057356608478802</v>
      </c>
      <c r="W102">
        <f t="shared" si="51"/>
        <v>0.9968827930174563</v>
      </c>
      <c r="X102">
        <v>4.9000000000000004</v>
      </c>
      <c r="Y102" s="3">
        <v>14.9</v>
      </c>
      <c r="Z102">
        <v>43.7</v>
      </c>
      <c r="AA102">
        <v>5.8</v>
      </c>
      <c r="AB102">
        <v>0.7</v>
      </c>
      <c r="AC102">
        <v>49.7</v>
      </c>
      <c r="AD102">
        <v>0.05</v>
      </c>
      <c r="AE102">
        <f t="shared" si="42"/>
        <v>1.5926773455377572</v>
      </c>
      <c r="AF102">
        <f t="shared" si="43"/>
        <v>0.85297482837528604</v>
      </c>
      <c r="AG102" s="3">
        <v>3.1</v>
      </c>
      <c r="AH102">
        <v>16.7</v>
      </c>
      <c r="AI102" s="3">
        <v>75</v>
      </c>
      <c r="AJ102" s="2" t="s">
        <v>59</v>
      </c>
      <c r="AK102" t="s">
        <v>60</v>
      </c>
      <c r="AL102">
        <v>12</v>
      </c>
    </row>
    <row r="103" spans="1:38" x14ac:dyDescent="0.5">
      <c r="A103" s="4">
        <v>60</v>
      </c>
      <c r="B103">
        <v>170</v>
      </c>
      <c r="C103">
        <v>0.1</v>
      </c>
      <c r="D103">
        <v>4</v>
      </c>
      <c r="E103">
        <v>100</v>
      </c>
      <c r="F103">
        <v>50</v>
      </c>
      <c r="G103" s="3">
        <f t="shared" ref="G103:G114" si="52">F103/D103</f>
        <v>12.5</v>
      </c>
      <c r="N103">
        <v>9.5</v>
      </c>
      <c r="O103">
        <v>77</v>
      </c>
      <c r="P103" s="3">
        <v>8.5</v>
      </c>
      <c r="Q103">
        <v>40.1</v>
      </c>
      <c r="R103">
        <v>5.7</v>
      </c>
      <c r="S103">
        <v>0.9</v>
      </c>
      <c r="T103">
        <v>53.3</v>
      </c>
      <c r="U103">
        <v>0.03</v>
      </c>
      <c r="V103">
        <f t="shared" ref="V103:V106" si="53">(R103/1)/(Q103/12)</f>
        <v>1.7057356608478802</v>
      </c>
      <c r="W103">
        <f t="shared" ref="W103:W106" si="54">(T103/16)/(Q103/12)</f>
        <v>0.9968827930174563</v>
      </c>
      <c r="X103">
        <v>4.9000000000000004</v>
      </c>
      <c r="Y103" s="3">
        <v>14.9</v>
      </c>
      <c r="Z103">
        <v>45.2</v>
      </c>
      <c r="AA103">
        <v>5.8</v>
      </c>
      <c r="AB103">
        <v>0.7</v>
      </c>
      <c r="AC103">
        <v>48.4</v>
      </c>
      <c r="AD103">
        <v>0.03</v>
      </c>
      <c r="AE103">
        <f t="shared" si="42"/>
        <v>1.5398230088495573</v>
      </c>
      <c r="AF103">
        <f t="shared" si="43"/>
        <v>0.80309734513274322</v>
      </c>
      <c r="AG103" s="3">
        <v>3.7</v>
      </c>
      <c r="AH103">
        <v>17.3</v>
      </c>
      <c r="AI103" s="3">
        <v>56.9</v>
      </c>
    </row>
    <row r="104" spans="1:38" x14ac:dyDescent="0.5">
      <c r="A104" s="4">
        <v>60</v>
      </c>
      <c r="B104">
        <v>200</v>
      </c>
      <c r="C104">
        <v>0.1</v>
      </c>
      <c r="D104">
        <v>4</v>
      </c>
      <c r="E104">
        <v>100</v>
      </c>
      <c r="F104">
        <v>50</v>
      </c>
      <c r="G104" s="3">
        <f t="shared" si="52"/>
        <v>12.5</v>
      </c>
      <c r="N104">
        <v>9.5</v>
      </c>
      <c r="O104">
        <v>77</v>
      </c>
      <c r="P104" s="3">
        <v>8.5</v>
      </c>
      <c r="Q104">
        <v>40.1</v>
      </c>
      <c r="R104">
        <v>5.7</v>
      </c>
      <c r="S104">
        <v>0.9</v>
      </c>
      <c r="T104">
        <v>53.3</v>
      </c>
      <c r="U104">
        <v>0.03</v>
      </c>
      <c r="V104">
        <f t="shared" si="53"/>
        <v>1.7057356608478802</v>
      </c>
      <c r="W104">
        <f t="shared" si="54"/>
        <v>0.9968827930174563</v>
      </c>
      <c r="X104">
        <v>4.9000000000000004</v>
      </c>
      <c r="Y104" s="3">
        <v>14.9</v>
      </c>
      <c r="Z104">
        <v>50.8</v>
      </c>
      <c r="AA104">
        <v>5.6</v>
      </c>
      <c r="AB104">
        <v>1</v>
      </c>
      <c r="AC104">
        <v>42.6</v>
      </c>
      <c r="AD104">
        <v>0.05</v>
      </c>
      <c r="AE104">
        <f t="shared" si="42"/>
        <v>1.3228346456692912</v>
      </c>
      <c r="AF104">
        <f t="shared" si="43"/>
        <v>0.62893700787401574</v>
      </c>
      <c r="AG104" s="3">
        <v>5.0999999999999996</v>
      </c>
      <c r="AH104">
        <v>19.600000000000001</v>
      </c>
      <c r="AI104" s="3">
        <v>49.8</v>
      </c>
    </row>
    <row r="105" spans="1:38" x14ac:dyDescent="0.5">
      <c r="A105" s="4">
        <v>60</v>
      </c>
      <c r="B105">
        <v>230</v>
      </c>
      <c r="C105">
        <v>0.1</v>
      </c>
      <c r="D105">
        <v>4</v>
      </c>
      <c r="E105">
        <v>100</v>
      </c>
      <c r="F105">
        <v>50</v>
      </c>
      <c r="G105" s="3">
        <f t="shared" si="52"/>
        <v>12.5</v>
      </c>
      <c r="N105">
        <v>9.5</v>
      </c>
      <c r="O105">
        <v>77</v>
      </c>
      <c r="P105" s="3">
        <v>8.5</v>
      </c>
      <c r="Q105">
        <v>40.1</v>
      </c>
      <c r="R105">
        <v>5.7</v>
      </c>
      <c r="S105">
        <v>0.9</v>
      </c>
      <c r="T105">
        <v>53.3</v>
      </c>
      <c r="U105">
        <v>0.03</v>
      </c>
      <c r="V105">
        <f t="shared" si="53"/>
        <v>1.7057356608478802</v>
      </c>
      <c r="W105">
        <f t="shared" si="54"/>
        <v>0.9968827930174563</v>
      </c>
      <c r="X105">
        <v>4.9000000000000004</v>
      </c>
      <c r="Y105" s="3">
        <v>14.9</v>
      </c>
      <c r="Z105">
        <v>53.1</v>
      </c>
      <c r="AA105">
        <v>5.6</v>
      </c>
      <c r="AB105">
        <v>0.9</v>
      </c>
      <c r="AC105">
        <v>40.299999999999997</v>
      </c>
      <c r="AD105">
        <v>0.04</v>
      </c>
      <c r="AE105">
        <f t="shared" si="42"/>
        <v>1.2655367231638417</v>
      </c>
      <c r="AF105">
        <f t="shared" si="43"/>
        <v>0.5692090395480226</v>
      </c>
      <c r="AG105" s="3">
        <v>3.8</v>
      </c>
      <c r="AH105">
        <v>20.7</v>
      </c>
      <c r="AI105" s="3">
        <v>45.3</v>
      </c>
    </row>
    <row r="106" spans="1:38" x14ac:dyDescent="0.5">
      <c r="A106" s="4">
        <v>60</v>
      </c>
      <c r="B106">
        <v>140</v>
      </c>
      <c r="C106">
        <v>0.1</v>
      </c>
      <c r="D106">
        <v>4</v>
      </c>
      <c r="E106">
        <v>100</v>
      </c>
      <c r="F106">
        <v>50</v>
      </c>
      <c r="G106" s="3">
        <f t="shared" si="52"/>
        <v>12.5</v>
      </c>
      <c r="N106">
        <v>8.1</v>
      </c>
      <c r="O106">
        <v>84.6</v>
      </c>
      <c r="P106" s="3">
        <v>6.2</v>
      </c>
      <c r="Q106">
        <v>42.2</v>
      </c>
      <c r="R106">
        <v>5.8</v>
      </c>
      <c r="S106">
        <v>0.4</v>
      </c>
      <c r="T106">
        <v>51.5</v>
      </c>
      <c r="U106">
        <v>0.04</v>
      </c>
      <c r="V106">
        <f t="shared" si="53"/>
        <v>1.6492890995260661</v>
      </c>
      <c r="W106">
        <f t="shared" si="54"/>
        <v>0.91528436018957338</v>
      </c>
      <c r="X106">
        <v>1.1000000000000001</v>
      </c>
      <c r="Y106" s="3">
        <v>16</v>
      </c>
      <c r="Z106">
        <v>45.3</v>
      </c>
      <c r="AA106">
        <v>5.9</v>
      </c>
      <c r="AB106">
        <v>0.3</v>
      </c>
      <c r="AC106">
        <v>48.4</v>
      </c>
      <c r="AD106">
        <v>0.02</v>
      </c>
      <c r="AE106">
        <f t="shared" si="42"/>
        <v>1.5629139072847684</v>
      </c>
      <c r="AF106">
        <f t="shared" si="43"/>
        <v>0.80132450331125826</v>
      </c>
      <c r="AG106" s="3">
        <v>0.7</v>
      </c>
      <c r="AH106">
        <v>17.5</v>
      </c>
      <c r="AI106" s="3">
        <v>69.900000000000006</v>
      </c>
    </row>
    <row r="107" spans="1:38" x14ac:dyDescent="0.5">
      <c r="A107" s="4">
        <v>60</v>
      </c>
      <c r="B107">
        <v>170</v>
      </c>
      <c r="C107">
        <v>0.1</v>
      </c>
      <c r="D107">
        <v>4</v>
      </c>
      <c r="E107">
        <v>100</v>
      </c>
      <c r="F107">
        <v>50</v>
      </c>
      <c r="G107" s="3">
        <f t="shared" si="52"/>
        <v>12.5</v>
      </c>
      <c r="N107">
        <v>8.1</v>
      </c>
      <c r="O107">
        <v>84.6</v>
      </c>
      <c r="P107" s="3">
        <v>6.2</v>
      </c>
      <c r="Q107">
        <v>42.2</v>
      </c>
      <c r="R107">
        <v>5.8</v>
      </c>
      <c r="S107">
        <v>0.4</v>
      </c>
      <c r="T107">
        <v>51.5</v>
      </c>
      <c r="U107">
        <v>0.04</v>
      </c>
      <c r="V107">
        <f t="shared" ref="V107:V110" si="55">(R107/1)/(Q107/12)</f>
        <v>1.6492890995260661</v>
      </c>
      <c r="W107">
        <f t="shared" ref="W107:W110" si="56">(T107/16)/(Q107/12)</f>
        <v>0.91528436018957338</v>
      </c>
      <c r="X107">
        <v>1.1000000000000001</v>
      </c>
      <c r="Y107" s="3">
        <v>16</v>
      </c>
      <c r="Z107">
        <v>45.7</v>
      </c>
      <c r="AA107">
        <v>5.9</v>
      </c>
      <c r="AB107">
        <v>0.4</v>
      </c>
      <c r="AC107">
        <v>48</v>
      </c>
      <c r="AD107">
        <v>0.04</v>
      </c>
      <c r="AE107">
        <f t="shared" si="42"/>
        <v>1.549234135667396</v>
      </c>
      <c r="AF107">
        <f t="shared" si="43"/>
        <v>0.78774617067833697</v>
      </c>
      <c r="AG107" s="3">
        <v>0.7</v>
      </c>
      <c r="AH107">
        <v>17.7</v>
      </c>
      <c r="AI107" s="3">
        <v>54.1</v>
      </c>
    </row>
    <row r="108" spans="1:38" x14ac:dyDescent="0.5">
      <c r="A108" s="4">
        <v>60</v>
      </c>
      <c r="B108">
        <v>200</v>
      </c>
      <c r="C108">
        <v>0.1</v>
      </c>
      <c r="D108">
        <v>4</v>
      </c>
      <c r="E108">
        <v>100</v>
      </c>
      <c r="F108">
        <v>50</v>
      </c>
      <c r="G108" s="3">
        <f t="shared" si="52"/>
        <v>12.5</v>
      </c>
      <c r="N108">
        <v>8.1</v>
      </c>
      <c r="O108">
        <v>84.6</v>
      </c>
      <c r="P108" s="3">
        <v>6.2</v>
      </c>
      <c r="Q108">
        <v>42.2</v>
      </c>
      <c r="R108">
        <v>5.8</v>
      </c>
      <c r="S108">
        <v>0.4</v>
      </c>
      <c r="T108">
        <v>51.5</v>
      </c>
      <c r="U108">
        <v>0.04</v>
      </c>
      <c r="V108">
        <f t="shared" si="55"/>
        <v>1.6492890995260661</v>
      </c>
      <c r="W108">
        <f t="shared" si="56"/>
        <v>0.91528436018957338</v>
      </c>
      <c r="X108">
        <v>1.1000000000000001</v>
      </c>
      <c r="Y108" s="3">
        <v>16</v>
      </c>
      <c r="Z108">
        <v>49.7</v>
      </c>
      <c r="AA108">
        <v>5.7</v>
      </c>
      <c r="AB108">
        <v>0.5</v>
      </c>
      <c r="AC108">
        <v>44.1</v>
      </c>
      <c r="AD108">
        <v>0.03</v>
      </c>
      <c r="AE108">
        <f t="shared" si="42"/>
        <v>1.3762575452716299</v>
      </c>
      <c r="AF108">
        <f t="shared" si="43"/>
        <v>0.66549295774647887</v>
      </c>
      <c r="AG108" s="3">
        <v>0.5</v>
      </c>
      <c r="AH108">
        <v>19.2</v>
      </c>
      <c r="AI108" s="3">
        <v>45.5</v>
      </c>
    </row>
    <row r="109" spans="1:38" x14ac:dyDescent="0.5">
      <c r="A109" s="4">
        <v>60</v>
      </c>
      <c r="B109">
        <v>230</v>
      </c>
      <c r="C109">
        <v>0.1</v>
      </c>
      <c r="D109">
        <v>4</v>
      </c>
      <c r="E109">
        <v>100</v>
      </c>
      <c r="F109">
        <v>50</v>
      </c>
      <c r="G109" s="3">
        <f t="shared" si="52"/>
        <v>12.5</v>
      </c>
      <c r="N109">
        <v>8.1</v>
      </c>
      <c r="O109">
        <v>84.6</v>
      </c>
      <c r="P109" s="3">
        <v>6.2</v>
      </c>
      <c r="Q109">
        <v>42.2</v>
      </c>
      <c r="R109">
        <v>5.8</v>
      </c>
      <c r="S109">
        <v>0.4</v>
      </c>
      <c r="T109">
        <v>51.5</v>
      </c>
      <c r="U109">
        <v>0.04</v>
      </c>
      <c r="V109">
        <f t="shared" si="55"/>
        <v>1.6492890995260661</v>
      </c>
      <c r="W109">
        <f t="shared" si="56"/>
        <v>0.91528436018957338</v>
      </c>
      <c r="X109">
        <v>1.1000000000000001</v>
      </c>
      <c r="Y109" s="3">
        <v>16</v>
      </c>
      <c r="Z109">
        <v>52.9</v>
      </c>
      <c r="AA109">
        <v>5.4</v>
      </c>
      <c r="AB109">
        <v>0.5</v>
      </c>
      <c r="AC109">
        <v>41.1</v>
      </c>
      <c r="AD109">
        <v>0.05</v>
      </c>
      <c r="AE109">
        <f t="shared" si="42"/>
        <v>1.2249527410207941</v>
      </c>
      <c r="AF109">
        <f t="shared" si="43"/>
        <v>0.58270321361058608</v>
      </c>
      <c r="AG109" s="3">
        <v>0.5</v>
      </c>
      <c r="AH109">
        <v>20.3</v>
      </c>
      <c r="AI109" s="3">
        <v>43.4</v>
      </c>
    </row>
    <row r="110" spans="1:38" x14ac:dyDescent="0.5">
      <c r="A110" s="4">
        <v>60</v>
      </c>
      <c r="B110">
        <v>140</v>
      </c>
      <c r="C110">
        <v>0.1</v>
      </c>
      <c r="D110">
        <v>4</v>
      </c>
      <c r="E110">
        <v>100</v>
      </c>
      <c r="F110">
        <v>50</v>
      </c>
      <c r="G110" s="3">
        <f t="shared" si="52"/>
        <v>12.5</v>
      </c>
      <c r="N110">
        <v>8.1999999999999993</v>
      </c>
      <c r="O110">
        <v>84.6</v>
      </c>
      <c r="P110" s="3">
        <v>3.5</v>
      </c>
      <c r="Q110">
        <v>43.3</v>
      </c>
      <c r="R110">
        <v>5.0999999999999996</v>
      </c>
      <c r="S110">
        <v>1.5</v>
      </c>
      <c r="T110">
        <v>50.1</v>
      </c>
      <c r="U110">
        <v>7.0000000000000007E-2</v>
      </c>
      <c r="V110">
        <f t="shared" si="55"/>
        <v>1.4133949191685913</v>
      </c>
      <c r="W110">
        <f t="shared" si="56"/>
        <v>0.86778290993071605</v>
      </c>
      <c r="X110">
        <v>3.7</v>
      </c>
      <c r="Y110" s="3">
        <v>15.6</v>
      </c>
      <c r="Z110">
        <v>42.8</v>
      </c>
      <c r="AA110">
        <v>6</v>
      </c>
      <c r="AB110">
        <v>1.2</v>
      </c>
      <c r="AC110">
        <v>50</v>
      </c>
      <c r="AD110">
        <v>0.06</v>
      </c>
      <c r="AE110">
        <f t="shared" si="42"/>
        <v>1.6822429906542058</v>
      </c>
      <c r="AF110">
        <f t="shared" si="43"/>
        <v>0.87616822429906549</v>
      </c>
      <c r="AG110" s="3">
        <v>1.9</v>
      </c>
      <c r="AH110">
        <v>16.600000000000001</v>
      </c>
      <c r="AI110" s="3">
        <v>85.9</v>
      </c>
    </row>
    <row r="111" spans="1:38" x14ac:dyDescent="0.5">
      <c r="A111" s="4">
        <v>60</v>
      </c>
      <c r="B111">
        <v>170</v>
      </c>
      <c r="C111">
        <v>0.1</v>
      </c>
      <c r="D111">
        <v>4</v>
      </c>
      <c r="E111">
        <v>100</v>
      </c>
      <c r="F111">
        <v>50</v>
      </c>
      <c r="G111" s="3">
        <f t="shared" si="52"/>
        <v>12.5</v>
      </c>
      <c r="N111">
        <v>8.1999999999999993</v>
      </c>
      <c r="O111">
        <v>84.6</v>
      </c>
      <c r="P111" s="3">
        <v>3.5</v>
      </c>
      <c r="Q111">
        <v>43.3</v>
      </c>
      <c r="R111">
        <v>5.0999999999999996</v>
      </c>
      <c r="S111">
        <v>1.5</v>
      </c>
      <c r="T111">
        <v>50.1</v>
      </c>
      <c r="U111">
        <v>7.0000000000000007E-2</v>
      </c>
      <c r="V111">
        <f t="shared" ref="V111:V114" si="57">(R111/1)/(Q111/12)</f>
        <v>1.4133949191685913</v>
      </c>
      <c r="W111">
        <f t="shared" ref="W111:W114" si="58">(T111/16)/(Q111/12)</f>
        <v>0.86778290993071605</v>
      </c>
      <c r="X111">
        <v>3.7</v>
      </c>
      <c r="Y111" s="3">
        <v>15.6</v>
      </c>
      <c r="Z111">
        <v>43.4</v>
      </c>
      <c r="AA111">
        <v>5.9</v>
      </c>
      <c r="AB111">
        <v>1.2</v>
      </c>
      <c r="AC111">
        <v>49.5</v>
      </c>
      <c r="AD111">
        <v>0.04</v>
      </c>
      <c r="AE111">
        <f t="shared" si="42"/>
        <v>1.631336405529954</v>
      </c>
      <c r="AF111">
        <f t="shared" si="43"/>
        <v>0.8554147465437788</v>
      </c>
      <c r="AG111" s="3">
        <v>2.1</v>
      </c>
      <c r="AH111">
        <v>16.7</v>
      </c>
      <c r="AI111" s="3">
        <v>55.8</v>
      </c>
    </row>
    <row r="112" spans="1:38" x14ac:dyDescent="0.5">
      <c r="A112" s="4">
        <v>60</v>
      </c>
      <c r="B112">
        <v>200</v>
      </c>
      <c r="C112">
        <v>0.1</v>
      </c>
      <c r="D112">
        <v>4</v>
      </c>
      <c r="E112">
        <v>100</v>
      </c>
      <c r="F112">
        <v>50</v>
      </c>
      <c r="G112" s="3">
        <f t="shared" si="52"/>
        <v>12.5</v>
      </c>
      <c r="N112">
        <v>8.1999999999999993</v>
      </c>
      <c r="O112">
        <v>84.6</v>
      </c>
      <c r="P112" s="3">
        <v>3.5</v>
      </c>
      <c r="Q112">
        <v>43.3</v>
      </c>
      <c r="R112">
        <v>5.0999999999999996</v>
      </c>
      <c r="S112">
        <v>1.5</v>
      </c>
      <c r="T112">
        <v>50.1</v>
      </c>
      <c r="U112">
        <v>7.0000000000000007E-2</v>
      </c>
      <c r="V112">
        <f t="shared" si="57"/>
        <v>1.4133949191685913</v>
      </c>
      <c r="W112">
        <f t="shared" si="58"/>
        <v>0.86778290993071605</v>
      </c>
      <c r="X112">
        <v>3.7</v>
      </c>
      <c r="Y112" s="3">
        <v>15.6</v>
      </c>
      <c r="Z112">
        <v>49.7</v>
      </c>
      <c r="AA112">
        <v>5.7</v>
      </c>
      <c r="AB112">
        <v>1.3</v>
      </c>
      <c r="AC112">
        <v>43.3</v>
      </c>
      <c r="AD112">
        <v>0.04</v>
      </c>
      <c r="AE112">
        <f t="shared" si="42"/>
        <v>1.3762575452716299</v>
      </c>
      <c r="AF112">
        <f t="shared" si="43"/>
        <v>0.65342052313883292</v>
      </c>
      <c r="AG112" s="3">
        <v>1.4</v>
      </c>
      <c r="AH112">
        <v>19.3</v>
      </c>
      <c r="AI112" s="3">
        <v>45.9</v>
      </c>
    </row>
    <row r="113" spans="1:38" x14ac:dyDescent="0.5">
      <c r="A113" s="4">
        <v>60</v>
      </c>
      <c r="B113">
        <v>230</v>
      </c>
      <c r="C113">
        <v>0.1</v>
      </c>
      <c r="D113">
        <v>4</v>
      </c>
      <c r="E113">
        <v>100</v>
      </c>
      <c r="F113">
        <v>50</v>
      </c>
      <c r="G113" s="3">
        <f t="shared" si="52"/>
        <v>12.5</v>
      </c>
      <c r="N113">
        <v>8.1999999999999993</v>
      </c>
      <c r="O113">
        <v>84.6</v>
      </c>
      <c r="P113" s="3">
        <v>3.5</v>
      </c>
      <c r="Q113">
        <v>43.3</v>
      </c>
      <c r="R113">
        <v>5.0999999999999996</v>
      </c>
      <c r="S113">
        <v>1.5</v>
      </c>
      <c r="T113">
        <v>50.1</v>
      </c>
      <c r="U113">
        <v>7.0000000000000007E-2</v>
      </c>
      <c r="V113">
        <f t="shared" si="57"/>
        <v>1.4133949191685913</v>
      </c>
      <c r="W113">
        <f t="shared" si="58"/>
        <v>0.86778290993071605</v>
      </c>
      <c r="X113">
        <v>3.7</v>
      </c>
      <c r="Y113" s="3">
        <v>15.6</v>
      </c>
      <c r="Z113">
        <v>50.5</v>
      </c>
      <c r="AA113">
        <v>5.8</v>
      </c>
      <c r="AB113">
        <v>1.3</v>
      </c>
      <c r="AC113">
        <v>42.3</v>
      </c>
      <c r="AD113">
        <v>0.06</v>
      </c>
      <c r="AE113">
        <f t="shared" si="42"/>
        <v>1.3782178217821783</v>
      </c>
      <c r="AF113">
        <f t="shared" si="43"/>
        <v>0.62821782178217822</v>
      </c>
      <c r="AG113" s="3">
        <v>1.2</v>
      </c>
      <c r="AH113">
        <v>19.8</v>
      </c>
      <c r="AI113" s="3">
        <v>44.6</v>
      </c>
    </row>
    <row r="114" spans="1:38" x14ac:dyDescent="0.5">
      <c r="A114" s="4">
        <v>60</v>
      </c>
      <c r="B114">
        <v>140</v>
      </c>
      <c r="C114">
        <v>0.1</v>
      </c>
      <c r="D114">
        <v>1</v>
      </c>
      <c r="E114">
        <v>100</v>
      </c>
      <c r="F114">
        <v>50</v>
      </c>
      <c r="G114" s="3">
        <f t="shared" si="52"/>
        <v>50</v>
      </c>
      <c r="H114">
        <v>69.650000000000006</v>
      </c>
      <c r="Q114">
        <v>48.94</v>
      </c>
      <c r="R114">
        <v>6.76</v>
      </c>
      <c r="S114">
        <v>10.95</v>
      </c>
      <c r="T114">
        <v>28.41</v>
      </c>
      <c r="U114">
        <v>0.56000000000000005</v>
      </c>
      <c r="V114">
        <f t="shared" si="57"/>
        <v>1.6575398447078056</v>
      </c>
      <c r="W114">
        <f t="shared" si="58"/>
        <v>0.43538005721291378</v>
      </c>
      <c r="X114">
        <v>4.38</v>
      </c>
      <c r="Y114" s="3">
        <f>(0.338*Q114)+1.428*(R114-(T114/8))</f>
        <v>21.123815</v>
      </c>
      <c r="Z114">
        <v>49.03</v>
      </c>
      <c r="AA114">
        <v>7.38</v>
      </c>
      <c r="AB114">
        <v>10.42</v>
      </c>
      <c r="AC114">
        <v>26.28</v>
      </c>
      <c r="AD114">
        <v>0.55000000000000004</v>
      </c>
      <c r="AE114">
        <f t="shared" si="42"/>
        <v>1.806241076891699</v>
      </c>
      <c r="AF114">
        <f t="shared" si="43"/>
        <v>0.40199877625943303</v>
      </c>
      <c r="AG114" s="3">
        <v>6.34</v>
      </c>
      <c r="AH114">
        <f>(0.338*Z114)+1.428*(AA114-(AC114/8))</f>
        <v>22.419800000000002</v>
      </c>
      <c r="AI114" s="3">
        <v>69.3</v>
      </c>
      <c r="AJ114" s="2" t="s">
        <v>61</v>
      </c>
      <c r="AK114" t="s">
        <v>62</v>
      </c>
      <c r="AL114">
        <v>13</v>
      </c>
    </row>
    <row r="115" spans="1:38" x14ac:dyDescent="0.5">
      <c r="A115" s="4">
        <v>60</v>
      </c>
      <c r="B115">
        <v>160</v>
      </c>
      <c r="C115">
        <v>0.1</v>
      </c>
      <c r="D115">
        <v>1</v>
      </c>
      <c r="E115">
        <v>100</v>
      </c>
      <c r="F115">
        <v>50</v>
      </c>
      <c r="G115" s="3">
        <f t="shared" ref="G115:G122" si="59">F115/D115</f>
        <v>50</v>
      </c>
      <c r="H115">
        <v>69.650000000000006</v>
      </c>
      <c r="Q115">
        <v>48.94</v>
      </c>
      <c r="R115">
        <v>6.76</v>
      </c>
      <c r="S115">
        <v>10.95</v>
      </c>
      <c r="T115">
        <v>28.41</v>
      </c>
      <c r="U115">
        <v>0.56000000000000005</v>
      </c>
      <c r="V115">
        <f t="shared" ref="V115:V122" si="60">(R115/1)/(Q115/12)</f>
        <v>1.6575398447078056</v>
      </c>
      <c r="W115">
        <f t="shared" ref="W115:W122" si="61">(T115/16)/(Q115/12)</f>
        <v>0.43538005721291378</v>
      </c>
      <c r="X115">
        <v>4.38</v>
      </c>
      <c r="Y115" s="3">
        <f t="shared" ref="Y115:Y122" si="62">(0.338*Q115)+1.428*(R115-(T115/8))</f>
        <v>21.123815</v>
      </c>
      <c r="Z115">
        <v>51.76</v>
      </c>
      <c r="AA115">
        <v>7.41</v>
      </c>
      <c r="AB115">
        <v>8.98</v>
      </c>
      <c r="AC115">
        <v>24.59</v>
      </c>
      <c r="AD115">
        <v>0.54</v>
      </c>
      <c r="AE115">
        <f t="shared" si="42"/>
        <v>1.7179289026275115</v>
      </c>
      <c r="AF115">
        <f t="shared" si="43"/>
        <v>0.35630795981452856</v>
      </c>
      <c r="AG115" s="3">
        <v>6.72</v>
      </c>
      <c r="AH115">
        <f t="shared" ref="AH115:AH129" si="63">(0.338*Z115)+1.428*(AA115-(AC115/8))</f>
        <v>23.687045000000001</v>
      </c>
      <c r="AI115" s="3">
        <v>50.3</v>
      </c>
    </row>
    <row r="116" spans="1:38" x14ac:dyDescent="0.5">
      <c r="A116" s="4">
        <v>60</v>
      </c>
      <c r="B116">
        <v>180</v>
      </c>
      <c r="C116">
        <v>0.1</v>
      </c>
      <c r="D116">
        <v>1</v>
      </c>
      <c r="E116">
        <v>100</v>
      </c>
      <c r="F116">
        <v>50</v>
      </c>
      <c r="G116" s="3">
        <f t="shared" si="59"/>
        <v>50</v>
      </c>
      <c r="H116">
        <v>69.650000000000006</v>
      </c>
      <c r="Q116">
        <v>48.94</v>
      </c>
      <c r="R116">
        <v>6.76</v>
      </c>
      <c r="S116">
        <v>10.95</v>
      </c>
      <c r="T116">
        <v>28.41</v>
      </c>
      <c r="U116">
        <v>0.56000000000000005</v>
      </c>
      <c r="V116">
        <f t="shared" si="60"/>
        <v>1.6575398447078056</v>
      </c>
      <c r="W116">
        <f t="shared" si="61"/>
        <v>0.43538005721291378</v>
      </c>
      <c r="X116">
        <v>4.38</v>
      </c>
      <c r="Y116" s="3">
        <f t="shared" si="62"/>
        <v>21.123815</v>
      </c>
      <c r="Z116">
        <v>55.54</v>
      </c>
      <c r="AA116">
        <v>7.47</v>
      </c>
      <c r="AB116">
        <v>8.2100000000000009</v>
      </c>
      <c r="AC116">
        <v>20.51</v>
      </c>
      <c r="AD116">
        <v>0.51</v>
      </c>
      <c r="AE116">
        <f t="shared" si="42"/>
        <v>1.6139719121353979</v>
      </c>
      <c r="AF116">
        <f t="shared" si="43"/>
        <v>0.2769625495138639</v>
      </c>
      <c r="AG116" s="3">
        <v>7.76</v>
      </c>
      <c r="AH116">
        <f t="shared" si="63"/>
        <v>25.778645000000001</v>
      </c>
      <c r="AI116" s="3">
        <v>36.799999999999997</v>
      </c>
    </row>
    <row r="117" spans="1:38" x14ac:dyDescent="0.5">
      <c r="A117" s="4">
        <v>60</v>
      </c>
      <c r="B117">
        <v>200</v>
      </c>
      <c r="C117">
        <v>0.1</v>
      </c>
      <c r="D117">
        <v>1</v>
      </c>
      <c r="E117">
        <v>100</v>
      </c>
      <c r="F117">
        <v>50</v>
      </c>
      <c r="G117" s="3">
        <f t="shared" si="59"/>
        <v>50</v>
      </c>
      <c r="H117">
        <v>69.650000000000006</v>
      </c>
      <c r="Q117">
        <v>48.94</v>
      </c>
      <c r="R117">
        <v>6.76</v>
      </c>
      <c r="S117">
        <v>10.95</v>
      </c>
      <c r="T117">
        <v>28.41</v>
      </c>
      <c r="U117">
        <v>0.56000000000000005</v>
      </c>
      <c r="V117">
        <f t="shared" si="60"/>
        <v>1.6575398447078056</v>
      </c>
      <c r="W117">
        <f t="shared" si="61"/>
        <v>0.43538005721291378</v>
      </c>
      <c r="X117">
        <v>4.38</v>
      </c>
      <c r="Y117" s="3">
        <f t="shared" si="62"/>
        <v>21.123815</v>
      </c>
      <c r="Z117">
        <v>61.62</v>
      </c>
      <c r="AA117">
        <v>7.67</v>
      </c>
      <c r="AB117">
        <v>7.58</v>
      </c>
      <c r="AC117">
        <v>14.59</v>
      </c>
      <c r="AD117">
        <v>0.43</v>
      </c>
      <c r="AE117">
        <f t="shared" si="42"/>
        <v>1.4936708860759493</v>
      </c>
      <c r="AF117">
        <f t="shared" si="43"/>
        <v>0.17758033106134372</v>
      </c>
      <c r="AG117" s="3">
        <v>8.11</v>
      </c>
      <c r="AH117">
        <f t="shared" si="63"/>
        <v>29.176005</v>
      </c>
      <c r="AI117" s="3">
        <v>23.8</v>
      </c>
    </row>
    <row r="118" spans="1:38" x14ac:dyDescent="0.5">
      <c r="A118" s="4">
        <v>60</v>
      </c>
      <c r="B118">
        <v>220</v>
      </c>
      <c r="C118">
        <v>0.1</v>
      </c>
      <c r="D118">
        <v>1</v>
      </c>
      <c r="E118">
        <v>100</v>
      </c>
      <c r="F118">
        <v>50</v>
      </c>
      <c r="G118" s="3">
        <f t="shared" si="59"/>
        <v>50</v>
      </c>
      <c r="H118">
        <v>69.650000000000006</v>
      </c>
      <c r="Q118">
        <v>48.94</v>
      </c>
      <c r="R118">
        <v>6.76</v>
      </c>
      <c r="S118">
        <v>10.95</v>
      </c>
      <c r="T118">
        <v>28.41</v>
      </c>
      <c r="U118">
        <v>0.56000000000000005</v>
      </c>
      <c r="V118">
        <f t="shared" si="60"/>
        <v>1.6575398447078056</v>
      </c>
      <c r="W118">
        <f t="shared" si="61"/>
        <v>0.43538005721291378</v>
      </c>
      <c r="X118">
        <v>4.38</v>
      </c>
      <c r="Y118" s="3">
        <f t="shared" si="62"/>
        <v>21.123815</v>
      </c>
      <c r="Z118">
        <v>64.150000000000006</v>
      </c>
      <c r="AA118">
        <v>8.06</v>
      </c>
      <c r="AB118">
        <v>6.53</v>
      </c>
      <c r="AC118">
        <v>12.45</v>
      </c>
      <c r="AD118">
        <v>0.38</v>
      </c>
      <c r="AE118">
        <f t="shared" si="42"/>
        <v>1.5077162899454402</v>
      </c>
      <c r="AF118">
        <f t="shared" si="43"/>
        <v>0.14555728760717065</v>
      </c>
      <c r="AG118" s="3">
        <v>8.43</v>
      </c>
      <c r="AH118">
        <f t="shared" si="63"/>
        <v>30.970055000000002</v>
      </c>
      <c r="AI118" s="3">
        <v>15.3</v>
      </c>
    </row>
    <row r="119" spans="1:38" x14ac:dyDescent="0.5">
      <c r="A119" s="4">
        <v>120</v>
      </c>
      <c r="B119">
        <v>180</v>
      </c>
      <c r="C119">
        <v>0.1</v>
      </c>
      <c r="D119">
        <v>1</v>
      </c>
      <c r="E119">
        <v>100</v>
      </c>
      <c r="F119">
        <v>50</v>
      </c>
      <c r="G119" s="3">
        <f t="shared" si="59"/>
        <v>50</v>
      </c>
      <c r="H119">
        <v>69.650000000000006</v>
      </c>
      <c r="Q119">
        <v>48.94</v>
      </c>
      <c r="R119">
        <v>6.76</v>
      </c>
      <c r="S119">
        <v>10.95</v>
      </c>
      <c r="T119">
        <v>28.41</v>
      </c>
      <c r="U119">
        <v>0.56000000000000005</v>
      </c>
      <c r="V119">
        <f t="shared" si="60"/>
        <v>1.6575398447078056</v>
      </c>
      <c r="W119">
        <f t="shared" si="61"/>
        <v>0.43538005721291378</v>
      </c>
      <c r="X119">
        <v>4.38</v>
      </c>
      <c r="Y119" s="3">
        <f t="shared" si="62"/>
        <v>21.123815</v>
      </c>
      <c r="Z119">
        <v>55.81</v>
      </c>
      <c r="AA119">
        <v>7.35</v>
      </c>
      <c r="AB119">
        <v>8.14</v>
      </c>
      <c r="AC119">
        <v>20.350000000000001</v>
      </c>
      <c r="AD119">
        <v>0.47</v>
      </c>
      <c r="AE119">
        <f t="shared" si="42"/>
        <v>1.5803619423042463</v>
      </c>
      <c r="AF119">
        <f t="shared" si="43"/>
        <v>0.2734724959684644</v>
      </c>
      <c r="AG119" s="3">
        <v>7.88</v>
      </c>
      <c r="AH119">
        <f t="shared" si="63"/>
        <v>25.727105000000002</v>
      </c>
      <c r="AI119" s="3">
        <v>29.3</v>
      </c>
    </row>
    <row r="120" spans="1:38" x14ac:dyDescent="0.5">
      <c r="A120" s="4">
        <v>180</v>
      </c>
      <c r="B120">
        <v>180</v>
      </c>
      <c r="C120">
        <v>0.1</v>
      </c>
      <c r="D120">
        <v>1</v>
      </c>
      <c r="E120">
        <v>100</v>
      </c>
      <c r="F120">
        <v>50</v>
      </c>
      <c r="G120" s="3">
        <f t="shared" si="59"/>
        <v>50</v>
      </c>
      <c r="H120">
        <v>69.650000000000006</v>
      </c>
      <c r="Q120">
        <v>48.94</v>
      </c>
      <c r="R120">
        <v>6.76</v>
      </c>
      <c r="S120">
        <v>10.95</v>
      </c>
      <c r="T120">
        <v>28.41</v>
      </c>
      <c r="U120">
        <v>0.56000000000000005</v>
      </c>
      <c r="V120">
        <f t="shared" si="60"/>
        <v>1.6575398447078056</v>
      </c>
      <c r="W120">
        <f t="shared" si="61"/>
        <v>0.43538005721291378</v>
      </c>
      <c r="X120">
        <v>4.38</v>
      </c>
      <c r="Y120" s="3">
        <f t="shared" si="62"/>
        <v>21.123815</v>
      </c>
      <c r="Z120">
        <v>58.31</v>
      </c>
      <c r="AA120">
        <v>7.32</v>
      </c>
      <c r="AB120">
        <v>8.1199999999999992</v>
      </c>
      <c r="AC120">
        <v>17.850000000000001</v>
      </c>
      <c r="AD120">
        <v>0.45</v>
      </c>
      <c r="AE120">
        <f t="shared" si="42"/>
        <v>1.506431143886126</v>
      </c>
      <c r="AF120">
        <f t="shared" si="43"/>
        <v>0.22959183673469388</v>
      </c>
      <c r="AG120" s="3">
        <v>7.95</v>
      </c>
      <c r="AH120">
        <f t="shared" si="63"/>
        <v>26.975515000000001</v>
      </c>
      <c r="AI120" s="3">
        <v>22.3</v>
      </c>
    </row>
    <row r="121" spans="1:38" x14ac:dyDescent="0.5">
      <c r="A121" s="4">
        <v>240</v>
      </c>
      <c r="B121">
        <v>180</v>
      </c>
      <c r="C121">
        <v>0.1</v>
      </c>
      <c r="D121">
        <v>1</v>
      </c>
      <c r="E121">
        <v>100</v>
      </c>
      <c r="F121">
        <v>50</v>
      </c>
      <c r="G121" s="3">
        <f t="shared" si="59"/>
        <v>50</v>
      </c>
      <c r="H121">
        <v>69.650000000000006</v>
      </c>
      <c r="Q121">
        <v>48.94</v>
      </c>
      <c r="R121">
        <v>6.76</v>
      </c>
      <c r="S121">
        <v>10.95</v>
      </c>
      <c r="T121">
        <v>28.41</v>
      </c>
      <c r="U121">
        <v>0.56000000000000005</v>
      </c>
      <c r="V121">
        <f t="shared" si="60"/>
        <v>1.6575398447078056</v>
      </c>
      <c r="W121">
        <f t="shared" si="61"/>
        <v>0.43538005721291378</v>
      </c>
      <c r="X121">
        <v>4.38</v>
      </c>
      <c r="Y121" s="3">
        <f t="shared" si="62"/>
        <v>21.123815</v>
      </c>
      <c r="Z121">
        <v>59.73</v>
      </c>
      <c r="AA121">
        <v>7.3</v>
      </c>
      <c r="AB121">
        <v>8.0299999999999994</v>
      </c>
      <c r="AC121">
        <v>16.37</v>
      </c>
      <c r="AD121">
        <v>0.44</v>
      </c>
      <c r="AE121">
        <f t="shared" si="42"/>
        <v>1.4665996986438974</v>
      </c>
      <c r="AF121">
        <f t="shared" si="43"/>
        <v>0.20554997488699148</v>
      </c>
      <c r="AG121" s="3">
        <v>8.1300000000000008</v>
      </c>
      <c r="AH121">
        <f t="shared" si="63"/>
        <v>27.691094999999997</v>
      </c>
      <c r="AI121" s="3">
        <v>20.8</v>
      </c>
    </row>
    <row r="122" spans="1:38" x14ac:dyDescent="0.5">
      <c r="A122" s="4">
        <v>60</v>
      </c>
      <c r="B122">
        <v>160</v>
      </c>
      <c r="C122">
        <v>0.1</v>
      </c>
      <c r="D122">
        <v>20</v>
      </c>
      <c r="E122">
        <v>500</v>
      </c>
      <c r="F122">
        <v>60</v>
      </c>
      <c r="G122" s="3">
        <f t="shared" si="59"/>
        <v>3</v>
      </c>
      <c r="O122">
        <v>48.37</v>
      </c>
      <c r="P122" s="3">
        <v>9</v>
      </c>
      <c r="Q122">
        <v>27.89</v>
      </c>
      <c r="R122">
        <v>4.76</v>
      </c>
      <c r="S122">
        <v>0.82</v>
      </c>
      <c r="T122">
        <v>23.9</v>
      </c>
      <c r="U122">
        <v>0</v>
      </c>
      <c r="V122">
        <f t="shared" si="60"/>
        <v>2.0480458945858731</v>
      </c>
      <c r="W122">
        <f t="shared" si="61"/>
        <v>0.64270347794908567</v>
      </c>
      <c r="X122">
        <v>42.63</v>
      </c>
      <c r="Y122" s="3">
        <f t="shared" si="62"/>
        <v>11.95795</v>
      </c>
      <c r="Z122">
        <v>26.98</v>
      </c>
      <c r="AA122">
        <v>4.45</v>
      </c>
      <c r="AB122">
        <v>1.46</v>
      </c>
      <c r="AC122">
        <v>22.49</v>
      </c>
      <c r="AD122">
        <v>0</v>
      </c>
      <c r="AE122">
        <f t="shared" si="42"/>
        <v>1.9792438843587843</v>
      </c>
      <c r="AF122">
        <f t="shared" si="43"/>
        <v>0.62518532246108216</v>
      </c>
      <c r="AG122" s="3">
        <v>44.63</v>
      </c>
      <c r="AH122">
        <f t="shared" si="63"/>
        <v>11.459375000000001</v>
      </c>
      <c r="AI122" s="3">
        <v>34</v>
      </c>
      <c r="AJ122" s="2" t="s">
        <v>63</v>
      </c>
      <c r="AK122" t="s">
        <v>64</v>
      </c>
      <c r="AL122">
        <v>14</v>
      </c>
    </row>
    <row r="123" spans="1:38" x14ac:dyDescent="0.5">
      <c r="A123" s="4">
        <v>60</v>
      </c>
      <c r="B123">
        <v>180</v>
      </c>
      <c r="C123">
        <v>0.1</v>
      </c>
      <c r="D123">
        <v>20</v>
      </c>
      <c r="E123">
        <v>500</v>
      </c>
      <c r="F123">
        <v>60</v>
      </c>
      <c r="G123" s="3">
        <f t="shared" ref="G123:G126" si="64">F123/D123</f>
        <v>3</v>
      </c>
      <c r="O123">
        <v>48.37</v>
      </c>
      <c r="P123" s="3">
        <v>9</v>
      </c>
      <c r="Q123">
        <v>27.89</v>
      </c>
      <c r="R123">
        <v>4.76</v>
      </c>
      <c r="S123">
        <v>0.82</v>
      </c>
      <c r="T123">
        <v>23.9</v>
      </c>
      <c r="U123">
        <v>0</v>
      </c>
      <c r="V123">
        <f t="shared" ref="V123:V126" si="65">(R123/1)/(Q123/12)</f>
        <v>2.0480458945858731</v>
      </c>
      <c r="W123">
        <f t="shared" ref="W123:W126" si="66">(T123/16)/(Q123/12)</f>
        <v>0.64270347794908567</v>
      </c>
      <c r="X123">
        <v>42.63</v>
      </c>
      <c r="Y123" s="3">
        <f t="shared" ref="Y123:Y126" si="67">(0.338*Q123)+1.428*(R123-(T123/8))</f>
        <v>11.95795</v>
      </c>
      <c r="Z123">
        <v>27.06</v>
      </c>
      <c r="AA123">
        <v>4.4800000000000004</v>
      </c>
      <c r="AB123">
        <v>1.27</v>
      </c>
      <c r="AC123">
        <v>19.71</v>
      </c>
      <c r="AD123">
        <v>0</v>
      </c>
      <c r="AE123">
        <f t="shared" si="42"/>
        <v>1.98669623059867</v>
      </c>
      <c r="AF123">
        <f t="shared" si="43"/>
        <v>0.54628603104212869</v>
      </c>
      <c r="AG123" s="3">
        <v>47.48</v>
      </c>
      <c r="AH123">
        <f t="shared" si="63"/>
        <v>12.025485000000002</v>
      </c>
      <c r="AI123" s="3">
        <v>34</v>
      </c>
    </row>
    <row r="124" spans="1:38" x14ac:dyDescent="0.5">
      <c r="A124" s="4">
        <v>60</v>
      </c>
      <c r="B124">
        <v>200</v>
      </c>
      <c r="C124">
        <v>0.1</v>
      </c>
      <c r="D124">
        <v>20</v>
      </c>
      <c r="E124">
        <v>500</v>
      </c>
      <c r="F124">
        <v>60</v>
      </c>
      <c r="G124" s="3">
        <f t="shared" si="64"/>
        <v>3</v>
      </c>
      <c r="O124">
        <v>48.37</v>
      </c>
      <c r="P124" s="3">
        <v>9</v>
      </c>
      <c r="Q124">
        <v>27.89</v>
      </c>
      <c r="R124">
        <v>4.76</v>
      </c>
      <c r="S124">
        <v>0.82</v>
      </c>
      <c r="T124">
        <v>23.9</v>
      </c>
      <c r="U124">
        <v>0</v>
      </c>
      <c r="V124">
        <f t="shared" si="65"/>
        <v>2.0480458945858731</v>
      </c>
      <c r="W124">
        <f t="shared" si="66"/>
        <v>0.64270347794908567</v>
      </c>
      <c r="X124">
        <v>42.63</v>
      </c>
      <c r="Y124" s="3">
        <f t="shared" si="67"/>
        <v>11.95795</v>
      </c>
      <c r="Z124">
        <v>26.92</v>
      </c>
      <c r="AA124">
        <v>4.46</v>
      </c>
      <c r="AB124">
        <v>1.1200000000000001</v>
      </c>
      <c r="AC124">
        <v>18.14</v>
      </c>
      <c r="AD124">
        <v>0</v>
      </c>
      <c r="AE124">
        <f t="shared" si="42"/>
        <v>1.9881129271916789</v>
      </c>
      <c r="AF124">
        <f t="shared" si="43"/>
        <v>0.50538632986627041</v>
      </c>
      <c r="AG124" s="3">
        <v>49.36</v>
      </c>
      <c r="AH124">
        <f t="shared" si="63"/>
        <v>12.229850000000001</v>
      </c>
      <c r="AI124" s="3">
        <v>34</v>
      </c>
    </row>
    <row r="125" spans="1:38" x14ac:dyDescent="0.5">
      <c r="A125" s="4">
        <v>60</v>
      </c>
      <c r="B125">
        <v>220</v>
      </c>
      <c r="C125">
        <v>0.1</v>
      </c>
      <c r="D125">
        <v>20</v>
      </c>
      <c r="E125">
        <v>500</v>
      </c>
      <c r="F125">
        <v>60</v>
      </c>
      <c r="G125" s="3">
        <f t="shared" si="64"/>
        <v>3</v>
      </c>
      <c r="O125">
        <v>48.37</v>
      </c>
      <c r="P125" s="3">
        <v>9</v>
      </c>
      <c r="Q125">
        <v>27.89</v>
      </c>
      <c r="R125">
        <v>4.76</v>
      </c>
      <c r="S125">
        <v>0.82</v>
      </c>
      <c r="T125">
        <v>23.9</v>
      </c>
      <c r="U125">
        <v>0</v>
      </c>
      <c r="V125">
        <f t="shared" si="65"/>
        <v>2.0480458945858731</v>
      </c>
      <c r="W125">
        <f t="shared" si="66"/>
        <v>0.64270347794908567</v>
      </c>
      <c r="X125">
        <v>42.63</v>
      </c>
      <c r="Y125" s="3">
        <f t="shared" si="67"/>
        <v>11.95795</v>
      </c>
      <c r="Z125">
        <v>26.92</v>
      </c>
      <c r="AA125">
        <v>4.24</v>
      </c>
      <c r="AB125">
        <v>1.1399999999999999</v>
      </c>
      <c r="AC125">
        <v>17.02</v>
      </c>
      <c r="AD125">
        <v>0</v>
      </c>
      <c r="AE125">
        <f t="shared" si="42"/>
        <v>1.8900445765230312</v>
      </c>
      <c r="AF125">
        <f t="shared" si="43"/>
        <v>0.47418276374442786</v>
      </c>
      <c r="AG125" s="3">
        <v>51.37</v>
      </c>
      <c r="AH125">
        <f t="shared" si="63"/>
        <v>12.115610000000002</v>
      </c>
      <c r="AI125" s="3">
        <v>33</v>
      </c>
    </row>
    <row r="126" spans="1:38" x14ac:dyDescent="0.5">
      <c r="A126" s="4">
        <v>60</v>
      </c>
      <c r="B126">
        <v>160</v>
      </c>
      <c r="C126">
        <v>0.1</v>
      </c>
      <c r="D126">
        <v>20</v>
      </c>
      <c r="E126">
        <v>500</v>
      </c>
      <c r="F126">
        <v>60</v>
      </c>
      <c r="G126" s="3">
        <f t="shared" si="64"/>
        <v>3</v>
      </c>
      <c r="O126">
        <v>48.37</v>
      </c>
      <c r="P126" s="3">
        <v>9</v>
      </c>
      <c r="Q126">
        <v>27.89</v>
      </c>
      <c r="R126">
        <v>4.76</v>
      </c>
      <c r="S126">
        <v>0.82</v>
      </c>
      <c r="T126">
        <v>23.9</v>
      </c>
      <c r="U126">
        <v>0</v>
      </c>
      <c r="V126">
        <f t="shared" si="65"/>
        <v>2.0480458945858731</v>
      </c>
      <c r="W126">
        <f t="shared" si="66"/>
        <v>0.64270347794908567</v>
      </c>
      <c r="X126">
        <v>42.63</v>
      </c>
      <c r="Y126" s="3">
        <f t="shared" si="67"/>
        <v>11.95795</v>
      </c>
      <c r="Z126">
        <v>23.51</v>
      </c>
      <c r="AA126">
        <v>4.1100000000000003</v>
      </c>
      <c r="AB126">
        <v>1.59</v>
      </c>
      <c r="AC126">
        <v>24.7</v>
      </c>
      <c r="AD126">
        <v>0</v>
      </c>
      <c r="AE126">
        <f t="shared" si="42"/>
        <v>2.0978307103360274</v>
      </c>
      <c r="AF126">
        <f t="shared" si="43"/>
        <v>0.78796256911952356</v>
      </c>
      <c r="AG126" s="3">
        <v>46.09</v>
      </c>
      <c r="AH126">
        <f t="shared" si="63"/>
        <v>9.4065100000000026</v>
      </c>
      <c r="AI126" s="3">
        <v>38</v>
      </c>
    </row>
    <row r="127" spans="1:38" x14ac:dyDescent="0.5">
      <c r="A127" s="4">
        <v>60</v>
      </c>
      <c r="B127">
        <v>180</v>
      </c>
      <c r="C127">
        <v>0.1</v>
      </c>
      <c r="D127">
        <v>20</v>
      </c>
      <c r="E127">
        <v>500</v>
      </c>
      <c r="F127">
        <v>60</v>
      </c>
      <c r="G127" s="3">
        <f t="shared" ref="G127:G131" si="68">F127/D127</f>
        <v>3</v>
      </c>
      <c r="O127">
        <v>48.37</v>
      </c>
      <c r="P127" s="3">
        <v>9</v>
      </c>
      <c r="Q127">
        <v>27.89</v>
      </c>
      <c r="R127">
        <v>4.76</v>
      </c>
      <c r="S127">
        <v>0.82</v>
      </c>
      <c r="T127">
        <v>23.9</v>
      </c>
      <c r="U127">
        <v>0</v>
      </c>
      <c r="V127">
        <f t="shared" ref="V127:V131" si="69">(R127/1)/(Q127/12)</f>
        <v>2.0480458945858731</v>
      </c>
      <c r="W127">
        <f t="shared" ref="W127:W131" si="70">(T127/16)/(Q127/12)</f>
        <v>0.64270347794908567</v>
      </c>
      <c r="X127">
        <v>42.63</v>
      </c>
      <c r="Y127" s="3">
        <f t="shared" ref="Y127:Y129" si="71">(0.338*Q127)+1.428*(R127-(T127/8))</f>
        <v>11.95795</v>
      </c>
      <c r="Z127">
        <v>21.48</v>
      </c>
      <c r="AA127">
        <v>3.93</v>
      </c>
      <c r="AB127">
        <v>0.8</v>
      </c>
      <c r="AC127">
        <v>20.8</v>
      </c>
      <c r="AD127">
        <v>0</v>
      </c>
      <c r="AE127">
        <f t="shared" si="42"/>
        <v>2.1955307262569832</v>
      </c>
      <c r="AF127">
        <f t="shared" si="43"/>
        <v>0.72625698324022347</v>
      </c>
      <c r="AG127" s="3">
        <v>52.99</v>
      </c>
      <c r="AH127">
        <f t="shared" si="63"/>
        <v>9.1594800000000003</v>
      </c>
      <c r="AI127" s="3">
        <v>38</v>
      </c>
    </row>
    <row r="128" spans="1:38" x14ac:dyDescent="0.5">
      <c r="A128" s="4">
        <v>60</v>
      </c>
      <c r="B128">
        <v>200</v>
      </c>
      <c r="C128">
        <v>0.1</v>
      </c>
      <c r="D128">
        <v>20</v>
      </c>
      <c r="E128">
        <v>500</v>
      </c>
      <c r="F128">
        <v>60</v>
      </c>
      <c r="G128" s="3">
        <f t="shared" si="68"/>
        <v>3</v>
      </c>
      <c r="O128">
        <v>48.37</v>
      </c>
      <c r="P128" s="3">
        <v>9</v>
      </c>
      <c r="Q128">
        <v>27.89</v>
      </c>
      <c r="R128">
        <v>4.76</v>
      </c>
      <c r="S128">
        <v>0.82</v>
      </c>
      <c r="T128">
        <v>23.9</v>
      </c>
      <c r="U128">
        <v>0</v>
      </c>
      <c r="V128">
        <f t="shared" si="69"/>
        <v>2.0480458945858731</v>
      </c>
      <c r="W128">
        <f t="shared" si="70"/>
        <v>0.64270347794908567</v>
      </c>
      <c r="X128">
        <v>42.63</v>
      </c>
      <c r="Y128" s="3">
        <f t="shared" si="71"/>
        <v>11.95795</v>
      </c>
      <c r="Z128">
        <v>20.7</v>
      </c>
      <c r="AA128">
        <v>3.67</v>
      </c>
      <c r="AB128">
        <v>0.84</v>
      </c>
      <c r="AC128">
        <v>20.38</v>
      </c>
      <c r="AD128">
        <v>0</v>
      </c>
      <c r="AE128">
        <f t="shared" si="42"/>
        <v>2.1275362318840583</v>
      </c>
      <c r="AF128">
        <f t="shared" si="43"/>
        <v>0.73840579710144927</v>
      </c>
      <c r="AG128" s="3">
        <v>54.36</v>
      </c>
      <c r="AH128">
        <f t="shared" si="63"/>
        <v>8.5995299999999997</v>
      </c>
      <c r="AI128" s="3">
        <v>36</v>
      </c>
    </row>
    <row r="129" spans="1:38" x14ac:dyDescent="0.5">
      <c r="A129" s="4">
        <v>60</v>
      </c>
      <c r="B129">
        <v>220</v>
      </c>
      <c r="C129">
        <v>0.1</v>
      </c>
      <c r="D129">
        <v>20</v>
      </c>
      <c r="E129">
        <v>500</v>
      </c>
      <c r="F129">
        <v>60</v>
      </c>
      <c r="G129" s="3">
        <f t="shared" si="68"/>
        <v>3</v>
      </c>
      <c r="O129">
        <v>48.37</v>
      </c>
      <c r="P129" s="3">
        <v>9</v>
      </c>
      <c r="Q129">
        <v>27.89</v>
      </c>
      <c r="R129">
        <v>4.76</v>
      </c>
      <c r="S129">
        <v>0.82</v>
      </c>
      <c r="T129">
        <v>23.9</v>
      </c>
      <c r="U129">
        <v>0</v>
      </c>
      <c r="V129">
        <f t="shared" si="69"/>
        <v>2.0480458945858731</v>
      </c>
      <c r="W129">
        <f t="shared" si="70"/>
        <v>0.64270347794908567</v>
      </c>
      <c r="X129">
        <v>42.63</v>
      </c>
      <c r="Y129" s="3">
        <f t="shared" si="71"/>
        <v>11.95795</v>
      </c>
      <c r="Z129">
        <v>21.01</v>
      </c>
      <c r="AA129">
        <v>3.55</v>
      </c>
      <c r="AB129">
        <v>0.76</v>
      </c>
      <c r="AC129">
        <v>16.22</v>
      </c>
      <c r="AD129">
        <v>0</v>
      </c>
      <c r="AE129">
        <f t="shared" si="42"/>
        <v>2.0276059019514516</v>
      </c>
      <c r="AF129">
        <f t="shared" si="43"/>
        <v>0.57900999524036167</v>
      </c>
      <c r="AG129" s="3">
        <v>58.46</v>
      </c>
      <c r="AH129">
        <f t="shared" si="63"/>
        <v>9.2755100000000006</v>
      </c>
      <c r="AI129" s="3">
        <v>35</v>
      </c>
    </row>
    <row r="130" spans="1:38" x14ac:dyDescent="0.5">
      <c r="A130" s="4">
        <v>60</v>
      </c>
      <c r="B130">
        <v>170</v>
      </c>
      <c r="C130">
        <v>0.1</v>
      </c>
      <c r="D130">
        <v>500</v>
      </c>
      <c r="E130">
        <v>4000</v>
      </c>
      <c r="F130">
        <v>1000</v>
      </c>
      <c r="G130" s="3">
        <f t="shared" si="68"/>
        <v>2</v>
      </c>
      <c r="N130">
        <v>92.7</v>
      </c>
      <c r="O130">
        <v>67.599999999999994</v>
      </c>
      <c r="P130" s="3">
        <v>20.6</v>
      </c>
      <c r="Q130">
        <v>44.5</v>
      </c>
      <c r="R130">
        <v>6.1</v>
      </c>
      <c r="S130">
        <v>3.1</v>
      </c>
      <c r="T130">
        <v>34.299999999999997</v>
      </c>
      <c r="U130">
        <v>0.2</v>
      </c>
      <c r="V130">
        <f t="shared" si="69"/>
        <v>1.6449438202247189</v>
      </c>
      <c r="W130">
        <f t="shared" si="70"/>
        <v>0.57808988764044933</v>
      </c>
      <c r="X130">
        <v>11.8</v>
      </c>
      <c r="Y130" s="3">
        <v>18.899999999999999</v>
      </c>
      <c r="Z130">
        <v>56.1</v>
      </c>
      <c r="AA130">
        <v>6</v>
      </c>
      <c r="AB130">
        <v>0.3</v>
      </c>
      <c r="AC130">
        <v>30.9</v>
      </c>
      <c r="AD130">
        <v>0.3</v>
      </c>
      <c r="AE130">
        <f t="shared" si="42"/>
        <v>1.2834224598930482</v>
      </c>
      <c r="AF130">
        <f t="shared" si="43"/>
        <v>0.41310160427807485</v>
      </c>
      <c r="AG130" s="3">
        <v>6.4</v>
      </c>
      <c r="AH130">
        <v>23.6</v>
      </c>
      <c r="AI130" s="3">
        <v>49.5</v>
      </c>
      <c r="AJ130" s="2" t="s">
        <v>65</v>
      </c>
      <c r="AK130" t="s">
        <v>28</v>
      </c>
      <c r="AL130">
        <v>15</v>
      </c>
    </row>
    <row r="131" spans="1:38" x14ac:dyDescent="0.5">
      <c r="A131" s="4">
        <v>30</v>
      </c>
      <c r="B131">
        <v>220</v>
      </c>
      <c r="C131">
        <v>0.1</v>
      </c>
      <c r="D131">
        <v>30</v>
      </c>
      <c r="E131">
        <v>500</v>
      </c>
      <c r="F131">
        <v>270</v>
      </c>
      <c r="G131" s="3">
        <f t="shared" si="68"/>
        <v>9</v>
      </c>
      <c r="N131">
        <v>86.4</v>
      </c>
      <c r="O131">
        <v>36.06</v>
      </c>
      <c r="P131" s="3">
        <v>5.89</v>
      </c>
      <c r="Q131">
        <v>19.010000000000002</v>
      </c>
      <c r="R131">
        <v>3.06</v>
      </c>
      <c r="S131">
        <v>3.13</v>
      </c>
      <c r="T131">
        <v>15.7</v>
      </c>
      <c r="U131">
        <v>1.02</v>
      </c>
      <c r="V131">
        <f t="shared" si="69"/>
        <v>1.9316149395055233</v>
      </c>
      <c r="W131">
        <f t="shared" si="70"/>
        <v>0.61941083640189365</v>
      </c>
      <c r="X131">
        <v>58.05</v>
      </c>
      <c r="Y131" s="3">
        <v>7.45</v>
      </c>
      <c r="Z131">
        <v>18.28</v>
      </c>
      <c r="AA131">
        <v>1.76</v>
      </c>
      <c r="AB131">
        <v>1.64</v>
      </c>
      <c r="AC131">
        <v>6.41</v>
      </c>
      <c r="AD131">
        <v>0.41</v>
      </c>
      <c r="AE131">
        <f t="shared" si="42"/>
        <v>1.1553610503282274</v>
      </c>
      <c r="AF131">
        <f t="shared" si="43"/>
        <v>0.26299234135667393</v>
      </c>
      <c r="AG131" s="3">
        <v>71.5</v>
      </c>
      <c r="AH131">
        <v>6.3</v>
      </c>
      <c r="AI131" s="3">
        <v>59.41</v>
      </c>
      <c r="AJ131" s="2" t="s">
        <v>66</v>
      </c>
      <c r="AK131" t="s">
        <v>67</v>
      </c>
      <c r="AL131">
        <v>16</v>
      </c>
    </row>
    <row r="132" spans="1:38" x14ac:dyDescent="0.5">
      <c r="A132" s="4">
        <v>30</v>
      </c>
      <c r="B132">
        <v>220</v>
      </c>
      <c r="C132">
        <v>0.1</v>
      </c>
      <c r="D132">
        <v>30</v>
      </c>
      <c r="E132">
        <v>500</v>
      </c>
      <c r="F132">
        <v>270</v>
      </c>
      <c r="G132" s="3">
        <f t="shared" ref="G132:G133" si="72">F132/D132</f>
        <v>9</v>
      </c>
      <c r="N132">
        <v>61.05</v>
      </c>
      <c r="O132">
        <v>41.06</v>
      </c>
      <c r="P132" s="3">
        <v>13.46</v>
      </c>
      <c r="Q132">
        <v>30.47</v>
      </c>
      <c r="R132">
        <v>7.9</v>
      </c>
      <c r="S132">
        <v>2.5</v>
      </c>
      <c r="T132">
        <v>26.3</v>
      </c>
      <c r="U132">
        <v>0.91</v>
      </c>
      <c r="V132">
        <f t="shared" ref="V132:V133" si="73">(R132/1)/(Q132/12)</f>
        <v>3.1112569740728588</v>
      </c>
      <c r="W132">
        <f t="shared" ref="W132:W133" si="74">(T132/16)/(Q132/12)</f>
        <v>0.64735805710534955</v>
      </c>
      <c r="X132">
        <v>35.86</v>
      </c>
      <c r="Y132" s="3">
        <v>11.87</v>
      </c>
      <c r="Z132">
        <v>31.12</v>
      </c>
      <c r="AA132">
        <v>3.23</v>
      </c>
      <c r="AB132">
        <v>1.34</v>
      </c>
      <c r="AC132">
        <v>18.27</v>
      </c>
      <c r="AD132">
        <v>0.51</v>
      </c>
      <c r="AE132">
        <f t="shared" si="42"/>
        <v>1.2455012853470437</v>
      </c>
      <c r="AF132">
        <f t="shared" si="43"/>
        <v>0.44031169665809766</v>
      </c>
      <c r="AG132" s="3">
        <v>45.48</v>
      </c>
      <c r="AH132">
        <v>11.84</v>
      </c>
      <c r="AI132" s="3">
        <v>67.98</v>
      </c>
    </row>
    <row r="133" spans="1:38" x14ac:dyDescent="0.5">
      <c r="A133" s="4">
        <v>60</v>
      </c>
      <c r="B133">
        <v>180</v>
      </c>
      <c r="C133">
        <v>0.1</v>
      </c>
      <c r="D133">
        <v>20</v>
      </c>
      <c r="E133">
        <v>1000</v>
      </c>
      <c r="F133">
        <v>320</v>
      </c>
      <c r="G133" s="3">
        <f t="shared" si="72"/>
        <v>16</v>
      </c>
      <c r="N133">
        <v>97.86</v>
      </c>
      <c r="O133">
        <v>81.239999999999995</v>
      </c>
      <c r="P133" s="3">
        <v>15.65</v>
      </c>
      <c r="Q133">
        <v>43.4</v>
      </c>
      <c r="R133">
        <v>5.91</v>
      </c>
      <c r="S133">
        <v>1.5</v>
      </c>
      <c r="T133">
        <v>45.97</v>
      </c>
      <c r="U133">
        <v>0.11</v>
      </c>
      <c r="V133">
        <f t="shared" si="73"/>
        <v>1.6341013824884794</v>
      </c>
      <c r="W133">
        <f t="shared" si="74"/>
        <v>0.79441244239631337</v>
      </c>
      <c r="X133">
        <v>0.97</v>
      </c>
      <c r="Y133" s="3">
        <f>(0.338*Q133)+1.428*(R133-(T133/8))</f>
        <v>14.903035000000001</v>
      </c>
      <c r="Z133">
        <v>48</v>
      </c>
      <c r="AA133">
        <v>6.15</v>
      </c>
      <c r="AB133">
        <v>2.0299999999999998</v>
      </c>
      <c r="AC133">
        <v>38.619999999999997</v>
      </c>
      <c r="AD133">
        <v>0</v>
      </c>
      <c r="AE133">
        <f t="shared" si="42"/>
        <v>1.5375000000000001</v>
      </c>
      <c r="AF133">
        <f t="shared" si="43"/>
        <v>0.60343749999999996</v>
      </c>
      <c r="AG133" s="3">
        <v>0.92</v>
      </c>
      <c r="AH133">
        <v>19.61</v>
      </c>
      <c r="AI133" s="3">
        <v>48</v>
      </c>
      <c r="AJ133" s="2" t="s">
        <v>68</v>
      </c>
      <c r="AK133" t="s">
        <v>69</v>
      </c>
      <c r="AL133">
        <v>17</v>
      </c>
    </row>
    <row r="134" spans="1:38" x14ac:dyDescent="0.5">
      <c r="A134" s="4">
        <v>120</v>
      </c>
      <c r="B134">
        <v>180</v>
      </c>
      <c r="C134">
        <v>0.1</v>
      </c>
      <c r="D134">
        <v>20</v>
      </c>
      <c r="E134">
        <v>1000</v>
      </c>
      <c r="F134">
        <v>320</v>
      </c>
      <c r="G134" s="3">
        <f t="shared" ref="G134:G145" si="75">F134/D134</f>
        <v>16</v>
      </c>
      <c r="N134">
        <v>97.86</v>
      </c>
      <c r="O134">
        <v>81.239999999999995</v>
      </c>
      <c r="P134" s="3">
        <v>15.65</v>
      </c>
      <c r="Q134">
        <v>43.4</v>
      </c>
      <c r="R134">
        <v>5.91</v>
      </c>
      <c r="S134">
        <v>1.5</v>
      </c>
      <c r="T134">
        <v>45.97</v>
      </c>
      <c r="U134">
        <v>0.11</v>
      </c>
      <c r="V134">
        <f t="shared" ref="V134:V145" si="76">(R134/1)/(Q134/12)</f>
        <v>1.6341013824884794</v>
      </c>
      <c r="W134">
        <f t="shared" ref="W134:W145" si="77">(T134/16)/(Q134/12)</f>
        <v>0.79441244239631337</v>
      </c>
      <c r="X134">
        <v>0.97</v>
      </c>
      <c r="Y134" s="3">
        <f t="shared" ref="Y134:Y144" si="78">(0.338*Q134)+1.428*(R134-(T134/8))</f>
        <v>14.903035000000001</v>
      </c>
      <c r="Z134">
        <v>50.7</v>
      </c>
      <c r="AA134">
        <v>5.98</v>
      </c>
      <c r="AB134">
        <v>1.76</v>
      </c>
      <c r="AC134">
        <v>40.33</v>
      </c>
      <c r="AD134">
        <v>0</v>
      </c>
      <c r="AE134">
        <f t="shared" si="42"/>
        <v>1.4153846153846152</v>
      </c>
      <c r="AF134">
        <f t="shared" si="43"/>
        <v>0.5965976331360946</v>
      </c>
      <c r="AG134" s="3">
        <v>0.94</v>
      </c>
      <c r="AH134">
        <v>20.53</v>
      </c>
      <c r="AI134" s="3">
        <v>43</v>
      </c>
    </row>
    <row r="135" spans="1:38" x14ac:dyDescent="0.5">
      <c r="A135" s="4">
        <v>180</v>
      </c>
      <c r="B135">
        <v>180</v>
      </c>
      <c r="C135">
        <v>0.1</v>
      </c>
      <c r="D135">
        <v>20</v>
      </c>
      <c r="E135">
        <v>1000</v>
      </c>
      <c r="F135">
        <v>320</v>
      </c>
      <c r="G135" s="3">
        <f t="shared" si="75"/>
        <v>16</v>
      </c>
      <c r="N135">
        <v>97.86</v>
      </c>
      <c r="O135">
        <v>81.239999999999995</v>
      </c>
      <c r="P135" s="3">
        <v>15.65</v>
      </c>
      <c r="Q135">
        <v>43.4</v>
      </c>
      <c r="R135">
        <v>5.91</v>
      </c>
      <c r="S135">
        <v>1.5</v>
      </c>
      <c r="T135">
        <v>45.97</v>
      </c>
      <c r="U135">
        <v>0.11</v>
      </c>
      <c r="V135">
        <f t="shared" si="76"/>
        <v>1.6341013824884794</v>
      </c>
      <c r="W135">
        <f t="shared" si="77"/>
        <v>0.79441244239631337</v>
      </c>
      <c r="X135">
        <v>0.97</v>
      </c>
      <c r="Y135" s="3">
        <f t="shared" si="78"/>
        <v>14.903035000000001</v>
      </c>
      <c r="Z135">
        <v>51.7</v>
      </c>
      <c r="AA135">
        <v>6.07</v>
      </c>
      <c r="AB135">
        <v>1.69</v>
      </c>
      <c r="AC135">
        <v>38.380000000000003</v>
      </c>
      <c r="AD135">
        <v>0</v>
      </c>
      <c r="AE135">
        <f t="shared" si="42"/>
        <v>1.4088974854932301</v>
      </c>
      <c r="AF135">
        <f t="shared" si="43"/>
        <v>0.55676982591876212</v>
      </c>
      <c r="AG135" s="3">
        <v>0.93</v>
      </c>
      <c r="AH135">
        <v>21.19</v>
      </c>
      <c r="AI135" s="3">
        <v>41</v>
      </c>
    </row>
    <row r="136" spans="1:38" x14ac:dyDescent="0.5">
      <c r="A136" s="4">
        <v>240</v>
      </c>
      <c r="B136">
        <v>180</v>
      </c>
      <c r="C136">
        <v>0.1</v>
      </c>
      <c r="D136">
        <v>20</v>
      </c>
      <c r="E136">
        <v>1000</v>
      </c>
      <c r="F136">
        <v>320</v>
      </c>
      <c r="G136" s="3">
        <f t="shared" si="75"/>
        <v>16</v>
      </c>
      <c r="N136">
        <v>97.86</v>
      </c>
      <c r="O136">
        <v>81.239999999999995</v>
      </c>
      <c r="P136" s="3">
        <v>15.65</v>
      </c>
      <c r="Q136">
        <v>43.4</v>
      </c>
      <c r="R136">
        <v>5.91</v>
      </c>
      <c r="S136">
        <v>1.5</v>
      </c>
      <c r="T136">
        <v>45.97</v>
      </c>
      <c r="U136">
        <v>0.11</v>
      </c>
      <c r="V136">
        <f t="shared" si="76"/>
        <v>1.6341013824884794</v>
      </c>
      <c r="W136">
        <f t="shared" si="77"/>
        <v>0.79441244239631337</v>
      </c>
      <c r="X136">
        <v>0.97</v>
      </c>
      <c r="Y136" s="3">
        <f t="shared" si="78"/>
        <v>14.903035000000001</v>
      </c>
      <c r="Z136">
        <v>53.7</v>
      </c>
      <c r="AA136">
        <v>5.95</v>
      </c>
      <c r="AB136">
        <v>1.59</v>
      </c>
      <c r="AC136">
        <v>33.44</v>
      </c>
      <c r="AD136">
        <v>0</v>
      </c>
      <c r="AE136">
        <f t="shared" si="42"/>
        <v>1.3296089385474859</v>
      </c>
      <c r="AF136">
        <f t="shared" si="43"/>
        <v>0.46703910614525129</v>
      </c>
      <c r="AG136" s="3">
        <v>1</v>
      </c>
      <c r="AH136">
        <v>22.25</v>
      </c>
      <c r="AI136" s="3">
        <v>47</v>
      </c>
    </row>
    <row r="137" spans="1:38" x14ac:dyDescent="0.5">
      <c r="A137" s="4">
        <v>60</v>
      </c>
      <c r="B137">
        <v>200</v>
      </c>
      <c r="C137">
        <v>0.1</v>
      </c>
      <c r="D137">
        <v>20</v>
      </c>
      <c r="E137">
        <v>1000</v>
      </c>
      <c r="F137">
        <v>320</v>
      </c>
      <c r="G137" s="3">
        <f t="shared" si="75"/>
        <v>16</v>
      </c>
      <c r="N137">
        <v>97.86</v>
      </c>
      <c r="O137">
        <v>81.239999999999995</v>
      </c>
      <c r="P137" s="3">
        <v>15.65</v>
      </c>
      <c r="Q137">
        <v>43.4</v>
      </c>
      <c r="R137">
        <v>5.91</v>
      </c>
      <c r="S137">
        <v>1.5</v>
      </c>
      <c r="T137">
        <v>45.97</v>
      </c>
      <c r="U137">
        <v>0.11</v>
      </c>
      <c r="V137">
        <f t="shared" si="76"/>
        <v>1.6341013824884794</v>
      </c>
      <c r="W137">
        <f t="shared" si="77"/>
        <v>0.79441244239631337</v>
      </c>
      <c r="X137">
        <v>0.97</v>
      </c>
      <c r="Y137" s="3">
        <f t="shared" si="78"/>
        <v>14.903035000000001</v>
      </c>
      <c r="Z137">
        <v>53.1</v>
      </c>
      <c r="AA137">
        <v>6.11</v>
      </c>
      <c r="AB137">
        <v>1.92</v>
      </c>
      <c r="AC137">
        <v>37.35</v>
      </c>
      <c r="AD137">
        <v>0</v>
      </c>
      <c r="AE137">
        <f t="shared" si="42"/>
        <v>1.3807909604519775</v>
      </c>
      <c r="AF137">
        <f t="shared" si="43"/>
        <v>0.52754237288135597</v>
      </c>
      <c r="AG137" s="3">
        <v>0.93</v>
      </c>
      <c r="AH137">
        <v>21.83</v>
      </c>
      <c r="AI137" s="3">
        <v>56</v>
      </c>
    </row>
    <row r="138" spans="1:38" x14ac:dyDescent="0.5">
      <c r="A138" s="4">
        <v>120</v>
      </c>
      <c r="B138">
        <v>200</v>
      </c>
      <c r="C138">
        <v>0.1</v>
      </c>
      <c r="D138">
        <v>20</v>
      </c>
      <c r="E138">
        <v>1000</v>
      </c>
      <c r="F138">
        <v>320</v>
      </c>
      <c r="G138" s="3">
        <f t="shared" si="75"/>
        <v>16</v>
      </c>
      <c r="N138">
        <v>97.86</v>
      </c>
      <c r="O138">
        <v>81.239999999999995</v>
      </c>
      <c r="P138" s="3">
        <v>15.65</v>
      </c>
      <c r="Q138">
        <v>43.4</v>
      </c>
      <c r="R138">
        <v>5.91</v>
      </c>
      <c r="S138">
        <v>1.5</v>
      </c>
      <c r="T138">
        <v>45.97</v>
      </c>
      <c r="U138">
        <v>0.11</v>
      </c>
      <c r="V138">
        <f t="shared" si="76"/>
        <v>1.6341013824884794</v>
      </c>
      <c r="W138">
        <f t="shared" si="77"/>
        <v>0.79441244239631337</v>
      </c>
      <c r="X138">
        <v>0.97</v>
      </c>
      <c r="Y138" s="3">
        <f t="shared" si="78"/>
        <v>14.903035000000001</v>
      </c>
      <c r="Z138">
        <v>53.7</v>
      </c>
      <c r="AA138">
        <v>6.12</v>
      </c>
      <c r="AB138">
        <v>1.76</v>
      </c>
      <c r="AC138">
        <v>37.42</v>
      </c>
      <c r="AD138">
        <v>0</v>
      </c>
      <c r="AE138">
        <f t="shared" si="42"/>
        <v>1.3675977653631284</v>
      </c>
      <c r="AF138">
        <f t="shared" si="43"/>
        <v>0.52262569832402228</v>
      </c>
      <c r="AG138" s="3">
        <v>0.92</v>
      </c>
      <c r="AH138">
        <v>22.04</v>
      </c>
      <c r="AI138" s="3">
        <v>42</v>
      </c>
    </row>
    <row r="139" spans="1:38" x14ac:dyDescent="0.5">
      <c r="A139" s="4">
        <v>180</v>
      </c>
      <c r="B139">
        <v>200</v>
      </c>
      <c r="C139">
        <v>0.1</v>
      </c>
      <c r="D139">
        <v>20</v>
      </c>
      <c r="E139">
        <v>1000</v>
      </c>
      <c r="F139">
        <v>320</v>
      </c>
      <c r="G139" s="3">
        <f t="shared" si="75"/>
        <v>16</v>
      </c>
      <c r="N139">
        <v>97.86</v>
      </c>
      <c r="O139">
        <v>81.239999999999995</v>
      </c>
      <c r="P139" s="3">
        <v>15.65</v>
      </c>
      <c r="Q139">
        <v>43.4</v>
      </c>
      <c r="R139">
        <v>5.91</v>
      </c>
      <c r="S139">
        <v>1.5</v>
      </c>
      <c r="T139">
        <v>45.97</v>
      </c>
      <c r="U139">
        <v>0.11</v>
      </c>
      <c r="V139">
        <f t="shared" si="76"/>
        <v>1.6341013824884794</v>
      </c>
      <c r="W139">
        <f t="shared" si="77"/>
        <v>0.79441244239631337</v>
      </c>
      <c r="X139">
        <v>0.97</v>
      </c>
      <c r="Y139" s="3">
        <f t="shared" si="78"/>
        <v>14.903035000000001</v>
      </c>
      <c r="Z139">
        <v>55.2</v>
      </c>
      <c r="AA139">
        <v>5.97</v>
      </c>
      <c r="AB139">
        <v>1.61</v>
      </c>
      <c r="AC139">
        <v>35.01</v>
      </c>
      <c r="AD139">
        <v>0</v>
      </c>
      <c r="AE139">
        <f t="shared" si="42"/>
        <v>1.2978260869565215</v>
      </c>
      <c r="AF139">
        <f t="shared" si="43"/>
        <v>0.4756793478260869</v>
      </c>
      <c r="AG139" s="3">
        <v>0.98</v>
      </c>
      <c r="AH139">
        <v>22.64</v>
      </c>
      <c r="AI139" s="3">
        <v>43</v>
      </c>
    </row>
    <row r="140" spans="1:38" x14ac:dyDescent="0.5">
      <c r="A140" s="4">
        <v>240</v>
      </c>
      <c r="B140">
        <v>200</v>
      </c>
      <c r="C140">
        <v>0.1</v>
      </c>
      <c r="D140">
        <v>20</v>
      </c>
      <c r="E140">
        <v>1000</v>
      </c>
      <c r="F140">
        <v>320</v>
      </c>
      <c r="G140" s="3">
        <f t="shared" si="75"/>
        <v>16</v>
      </c>
      <c r="N140">
        <v>97.86</v>
      </c>
      <c r="O140">
        <v>81.239999999999995</v>
      </c>
      <c r="P140" s="3">
        <v>15.65</v>
      </c>
      <c r="Q140">
        <v>43.4</v>
      </c>
      <c r="R140">
        <v>5.91</v>
      </c>
      <c r="S140">
        <v>1.5</v>
      </c>
      <c r="T140">
        <v>45.97</v>
      </c>
      <c r="U140">
        <v>0.11</v>
      </c>
      <c r="V140">
        <f t="shared" si="76"/>
        <v>1.6341013824884794</v>
      </c>
      <c r="W140">
        <f t="shared" si="77"/>
        <v>0.79441244239631337</v>
      </c>
      <c r="X140">
        <v>0.97</v>
      </c>
      <c r="Y140" s="3">
        <f t="shared" si="78"/>
        <v>14.903035000000001</v>
      </c>
      <c r="Z140">
        <v>56.5</v>
      </c>
      <c r="AA140">
        <v>5.85</v>
      </c>
      <c r="AB140">
        <v>1.63</v>
      </c>
      <c r="AC140">
        <v>31.38</v>
      </c>
      <c r="AD140">
        <v>0</v>
      </c>
      <c r="AE140">
        <f t="shared" si="42"/>
        <v>1.2424778761061948</v>
      </c>
      <c r="AF140">
        <f t="shared" si="43"/>
        <v>0.41654867256637168</v>
      </c>
      <c r="AG140" s="3">
        <v>1</v>
      </c>
      <c r="AH140">
        <v>23.33</v>
      </c>
      <c r="AI140" s="3">
        <v>44</v>
      </c>
    </row>
    <row r="141" spans="1:38" x14ac:dyDescent="0.5">
      <c r="A141" s="4">
        <v>60</v>
      </c>
      <c r="B141">
        <v>220</v>
      </c>
      <c r="C141">
        <v>0.1</v>
      </c>
      <c r="D141">
        <v>20</v>
      </c>
      <c r="E141">
        <v>1000</v>
      </c>
      <c r="F141">
        <v>320</v>
      </c>
      <c r="G141" s="3">
        <f t="shared" si="75"/>
        <v>16</v>
      </c>
      <c r="N141">
        <v>97.86</v>
      </c>
      <c r="O141">
        <v>81.239999999999995</v>
      </c>
      <c r="P141" s="3">
        <v>15.65</v>
      </c>
      <c r="Q141">
        <v>43.4</v>
      </c>
      <c r="R141">
        <v>5.91</v>
      </c>
      <c r="S141">
        <v>1.5</v>
      </c>
      <c r="T141">
        <v>45.97</v>
      </c>
      <c r="U141">
        <v>0.11</v>
      </c>
      <c r="V141">
        <f t="shared" si="76"/>
        <v>1.6341013824884794</v>
      </c>
      <c r="W141">
        <f t="shared" si="77"/>
        <v>0.79441244239631337</v>
      </c>
      <c r="X141">
        <v>0.97</v>
      </c>
      <c r="Y141" s="3">
        <f t="shared" si="78"/>
        <v>14.903035000000001</v>
      </c>
      <c r="Z141">
        <v>55.1</v>
      </c>
      <c r="AA141">
        <v>5.67</v>
      </c>
      <c r="AB141">
        <v>1.59</v>
      </c>
      <c r="AC141">
        <v>36.67</v>
      </c>
      <c r="AD141">
        <v>0</v>
      </c>
      <c r="AE141">
        <f t="shared" si="42"/>
        <v>1.2348457350272233</v>
      </c>
      <c r="AF141">
        <f t="shared" si="43"/>
        <v>0.49913793103448278</v>
      </c>
      <c r="AG141" s="3">
        <v>0.88</v>
      </c>
      <c r="AH141">
        <v>22.1</v>
      </c>
      <c r="AI141" s="3">
        <v>44</v>
      </c>
    </row>
    <row r="142" spans="1:38" x14ac:dyDescent="0.5">
      <c r="A142" s="4">
        <v>120</v>
      </c>
      <c r="B142">
        <v>220</v>
      </c>
      <c r="C142">
        <v>0.1</v>
      </c>
      <c r="D142">
        <v>20</v>
      </c>
      <c r="E142">
        <v>1000</v>
      </c>
      <c r="F142">
        <v>320</v>
      </c>
      <c r="G142" s="3">
        <f t="shared" si="75"/>
        <v>16</v>
      </c>
      <c r="N142">
        <v>97.86</v>
      </c>
      <c r="O142">
        <v>81.239999999999995</v>
      </c>
      <c r="P142" s="3">
        <v>15.65</v>
      </c>
      <c r="Q142">
        <v>43.4</v>
      </c>
      <c r="R142">
        <v>5.91</v>
      </c>
      <c r="S142">
        <v>1.5</v>
      </c>
      <c r="T142">
        <v>45.97</v>
      </c>
      <c r="U142">
        <v>0.11</v>
      </c>
      <c r="V142">
        <f t="shared" si="76"/>
        <v>1.6341013824884794</v>
      </c>
      <c r="W142">
        <f t="shared" si="77"/>
        <v>0.79441244239631337</v>
      </c>
      <c r="X142">
        <v>0.97</v>
      </c>
      <c r="Y142" s="3">
        <f t="shared" si="78"/>
        <v>14.903035000000001</v>
      </c>
      <c r="Z142">
        <v>56.8</v>
      </c>
      <c r="AA142">
        <v>6</v>
      </c>
      <c r="AB142">
        <v>1.67</v>
      </c>
      <c r="AC142">
        <v>33.909999999999997</v>
      </c>
      <c r="AD142">
        <v>0</v>
      </c>
      <c r="AE142">
        <f t="shared" si="42"/>
        <v>1.267605633802817</v>
      </c>
      <c r="AF142">
        <f t="shared" si="43"/>
        <v>0.44775528169014078</v>
      </c>
      <c r="AG142" s="3">
        <v>0.92</v>
      </c>
      <c r="AH142">
        <v>23.35</v>
      </c>
      <c r="AI142" s="3">
        <v>43</v>
      </c>
    </row>
    <row r="143" spans="1:38" x14ac:dyDescent="0.5">
      <c r="A143" s="4">
        <v>180</v>
      </c>
      <c r="B143">
        <v>220</v>
      </c>
      <c r="C143">
        <v>0.1</v>
      </c>
      <c r="D143">
        <v>20</v>
      </c>
      <c r="E143">
        <v>1000</v>
      </c>
      <c r="F143">
        <v>320</v>
      </c>
      <c r="G143" s="3">
        <f t="shared" si="75"/>
        <v>16</v>
      </c>
      <c r="N143">
        <v>97.86</v>
      </c>
      <c r="O143">
        <v>81.239999999999995</v>
      </c>
      <c r="P143" s="3">
        <v>15.65</v>
      </c>
      <c r="Q143">
        <v>43.4</v>
      </c>
      <c r="R143">
        <v>5.91</v>
      </c>
      <c r="S143">
        <v>1.5</v>
      </c>
      <c r="T143">
        <v>45.97</v>
      </c>
      <c r="U143">
        <v>0.11</v>
      </c>
      <c r="V143">
        <f t="shared" si="76"/>
        <v>1.6341013824884794</v>
      </c>
      <c r="W143">
        <f t="shared" si="77"/>
        <v>0.79441244239631337</v>
      </c>
      <c r="X143">
        <v>0.97</v>
      </c>
      <c r="Y143" s="3">
        <f t="shared" si="78"/>
        <v>14.903035000000001</v>
      </c>
      <c r="Z143">
        <v>57.9</v>
      </c>
      <c r="AA143">
        <v>5.87</v>
      </c>
      <c r="AB143">
        <v>1.85</v>
      </c>
      <c r="AC143">
        <v>32.19</v>
      </c>
      <c r="AD143">
        <v>0</v>
      </c>
      <c r="AE143">
        <f t="shared" si="42"/>
        <v>1.2165803108808291</v>
      </c>
      <c r="AF143">
        <f t="shared" si="43"/>
        <v>0.41696891191709839</v>
      </c>
      <c r="AG143" s="3">
        <v>0.97</v>
      </c>
      <c r="AH143">
        <v>23.75</v>
      </c>
      <c r="AI143" s="3">
        <v>40</v>
      </c>
    </row>
    <row r="144" spans="1:38" x14ac:dyDescent="0.5">
      <c r="A144" s="4">
        <v>240</v>
      </c>
      <c r="B144">
        <v>220</v>
      </c>
      <c r="C144">
        <v>0.1</v>
      </c>
      <c r="D144">
        <v>20</v>
      </c>
      <c r="E144">
        <v>1000</v>
      </c>
      <c r="F144">
        <v>320</v>
      </c>
      <c r="G144" s="3">
        <f t="shared" si="75"/>
        <v>16</v>
      </c>
      <c r="N144">
        <v>97.86</v>
      </c>
      <c r="O144">
        <v>81.239999999999995</v>
      </c>
      <c r="P144" s="3">
        <v>15.65</v>
      </c>
      <c r="Q144">
        <v>43.4</v>
      </c>
      <c r="R144">
        <v>5.91</v>
      </c>
      <c r="S144">
        <v>1.5</v>
      </c>
      <c r="T144">
        <v>45.97</v>
      </c>
      <c r="U144">
        <v>0.11</v>
      </c>
      <c r="V144">
        <f t="shared" si="76"/>
        <v>1.6341013824884794</v>
      </c>
      <c r="W144">
        <f t="shared" si="77"/>
        <v>0.79441244239631337</v>
      </c>
      <c r="X144">
        <v>0.97</v>
      </c>
      <c r="Y144" s="3">
        <f t="shared" si="78"/>
        <v>14.903035000000001</v>
      </c>
      <c r="Z144">
        <v>60.8</v>
      </c>
      <c r="AA144">
        <v>5.86</v>
      </c>
      <c r="AB144">
        <v>2.09</v>
      </c>
      <c r="AC144">
        <v>26.3</v>
      </c>
      <c r="AD144">
        <v>0</v>
      </c>
      <c r="AE144">
        <f t="shared" si="42"/>
        <v>1.1565789473684212</v>
      </c>
      <c r="AF144">
        <f t="shared" si="43"/>
        <v>0.32442434210526316</v>
      </c>
      <c r="AG144" s="3">
        <v>1</v>
      </c>
      <c r="AH144">
        <v>25.36</v>
      </c>
      <c r="AI144" s="3">
        <v>37</v>
      </c>
    </row>
    <row r="145" spans="1:38" x14ac:dyDescent="0.5">
      <c r="A145" s="4">
        <v>120</v>
      </c>
      <c r="B145">
        <v>170</v>
      </c>
      <c r="C145">
        <v>0.1</v>
      </c>
      <c r="D145">
        <v>27.45</v>
      </c>
      <c r="E145">
        <v>500</v>
      </c>
      <c r="F145">
        <v>147.55000000000001</v>
      </c>
      <c r="G145" s="3">
        <f t="shared" si="75"/>
        <v>5.3752276867030968</v>
      </c>
      <c r="K145">
        <v>19.899999999999999</v>
      </c>
      <c r="L145">
        <v>5.6</v>
      </c>
      <c r="M145">
        <v>21.9</v>
      </c>
      <c r="O145">
        <v>85.1</v>
      </c>
      <c r="P145" s="3">
        <v>14.9</v>
      </c>
      <c r="Q145">
        <v>34.299999999999997</v>
      </c>
      <c r="R145">
        <v>4</v>
      </c>
      <c r="S145">
        <v>1.9</v>
      </c>
      <c r="T145">
        <v>23.9</v>
      </c>
      <c r="U145">
        <v>0.2</v>
      </c>
      <c r="V145">
        <f t="shared" si="76"/>
        <v>1.3994169096209914</v>
      </c>
      <c r="W145">
        <f t="shared" si="77"/>
        <v>0.52259475218658891</v>
      </c>
      <c r="X145">
        <v>35.799999999999997</v>
      </c>
      <c r="Y145" s="3">
        <v>13.4</v>
      </c>
      <c r="Z145">
        <v>54.1</v>
      </c>
      <c r="AA145">
        <v>3.6</v>
      </c>
      <c r="AB145">
        <v>1.7</v>
      </c>
      <c r="AC145">
        <v>23.3</v>
      </c>
      <c r="AD145">
        <v>0.2</v>
      </c>
      <c r="AE145">
        <f t="shared" si="42"/>
        <v>0.79852125693160803</v>
      </c>
      <c r="AF145">
        <f t="shared" si="43"/>
        <v>0.32301293900184841</v>
      </c>
      <c r="AG145" s="3">
        <v>37.299999999999997</v>
      </c>
      <c r="AH145">
        <v>20.5</v>
      </c>
      <c r="AI145" s="3">
        <v>85.9</v>
      </c>
      <c r="AJ145" s="2" t="s">
        <v>70</v>
      </c>
      <c r="AK145" t="s">
        <v>71</v>
      </c>
      <c r="AL145">
        <v>18</v>
      </c>
    </row>
    <row r="146" spans="1:38" x14ac:dyDescent="0.5">
      <c r="A146" s="4">
        <v>300</v>
      </c>
      <c r="B146">
        <v>170</v>
      </c>
      <c r="C146">
        <v>0.1</v>
      </c>
      <c r="D146">
        <v>27.45</v>
      </c>
      <c r="E146">
        <v>500</v>
      </c>
      <c r="F146">
        <v>147.55000000000001</v>
      </c>
      <c r="G146" s="3">
        <f t="shared" ref="G146:G175" si="79">F146/D146</f>
        <v>5.3752276867030968</v>
      </c>
      <c r="K146">
        <v>19.899999999999999</v>
      </c>
      <c r="L146">
        <v>5.6</v>
      </c>
      <c r="M146">
        <v>21.9</v>
      </c>
      <c r="O146">
        <v>85.1</v>
      </c>
      <c r="P146" s="3">
        <v>14.9</v>
      </c>
      <c r="Q146">
        <v>34.299999999999997</v>
      </c>
      <c r="R146">
        <v>4</v>
      </c>
      <c r="S146">
        <v>1.9</v>
      </c>
      <c r="T146">
        <v>23.9</v>
      </c>
      <c r="U146">
        <v>0.2</v>
      </c>
      <c r="V146">
        <f t="shared" ref="V146:V155" si="80">(R146/1)/(Q146/12)</f>
        <v>1.3994169096209914</v>
      </c>
      <c r="W146">
        <f t="shared" ref="W146:W155" si="81">(T146/16)/(Q146/12)</f>
        <v>0.52259475218658891</v>
      </c>
      <c r="X146">
        <v>35.799999999999997</v>
      </c>
      <c r="Y146" s="3">
        <v>13.4</v>
      </c>
      <c r="Z146">
        <v>53.5</v>
      </c>
      <c r="AA146">
        <v>3.3</v>
      </c>
      <c r="AB146">
        <v>1.5</v>
      </c>
      <c r="AC146">
        <v>23.2</v>
      </c>
      <c r="AD146">
        <v>0.1</v>
      </c>
      <c r="AE146">
        <f t="shared" si="42"/>
        <v>0.74018691588785046</v>
      </c>
      <c r="AF146">
        <f t="shared" si="43"/>
        <v>0.3252336448598131</v>
      </c>
      <c r="AG146" s="3">
        <v>39.6</v>
      </c>
      <c r="AH146">
        <v>19.7</v>
      </c>
      <c r="AI146" s="3">
        <v>80.5</v>
      </c>
    </row>
    <row r="147" spans="1:38" x14ac:dyDescent="0.5">
      <c r="A147" s="4">
        <v>120</v>
      </c>
      <c r="B147">
        <v>190</v>
      </c>
      <c r="C147">
        <v>0.1</v>
      </c>
      <c r="D147">
        <v>27.45</v>
      </c>
      <c r="E147">
        <v>500</v>
      </c>
      <c r="F147">
        <v>147.55000000000001</v>
      </c>
      <c r="G147" s="3">
        <f t="shared" si="79"/>
        <v>5.3752276867030968</v>
      </c>
      <c r="K147">
        <v>19.899999999999999</v>
      </c>
      <c r="L147">
        <v>5.6</v>
      </c>
      <c r="M147">
        <v>21.9</v>
      </c>
      <c r="O147">
        <v>85.1</v>
      </c>
      <c r="P147" s="3">
        <v>14.9</v>
      </c>
      <c r="Q147">
        <v>34.299999999999997</v>
      </c>
      <c r="R147">
        <v>4</v>
      </c>
      <c r="S147">
        <v>1.9</v>
      </c>
      <c r="T147">
        <v>23.9</v>
      </c>
      <c r="U147">
        <v>0.2</v>
      </c>
      <c r="V147">
        <f t="shared" si="80"/>
        <v>1.3994169096209914</v>
      </c>
      <c r="W147">
        <f t="shared" si="81"/>
        <v>0.52259475218658891</v>
      </c>
      <c r="X147">
        <v>35.799999999999997</v>
      </c>
      <c r="Y147" s="3">
        <v>13.4</v>
      </c>
      <c r="Z147">
        <v>55.2</v>
      </c>
      <c r="AA147">
        <v>3.4</v>
      </c>
      <c r="AB147">
        <v>1.5</v>
      </c>
      <c r="AC147">
        <v>22.7</v>
      </c>
      <c r="AD147">
        <v>0.2</v>
      </c>
      <c r="AE147">
        <f t="shared" si="42"/>
        <v>0.73913043478260854</v>
      </c>
      <c r="AF147">
        <f t="shared" si="43"/>
        <v>0.30842391304347822</v>
      </c>
      <c r="AG147" s="3">
        <v>37.9</v>
      </c>
      <c r="AH147">
        <v>20.7</v>
      </c>
      <c r="AI147" s="3">
        <v>80.400000000000006</v>
      </c>
    </row>
    <row r="148" spans="1:38" x14ac:dyDescent="0.5">
      <c r="A148" s="4">
        <v>300</v>
      </c>
      <c r="B148">
        <v>190</v>
      </c>
      <c r="C148">
        <v>0.1</v>
      </c>
      <c r="D148">
        <v>27.45</v>
      </c>
      <c r="E148">
        <v>500</v>
      </c>
      <c r="F148">
        <v>147.55000000000001</v>
      </c>
      <c r="G148" s="3">
        <f t="shared" si="79"/>
        <v>5.3752276867030968</v>
      </c>
      <c r="K148">
        <v>19.899999999999999</v>
      </c>
      <c r="L148">
        <v>5.6</v>
      </c>
      <c r="M148">
        <v>21.9</v>
      </c>
      <c r="O148">
        <v>85.1</v>
      </c>
      <c r="P148" s="3">
        <v>14.9</v>
      </c>
      <c r="Q148">
        <v>34.299999999999997</v>
      </c>
      <c r="R148">
        <v>4</v>
      </c>
      <c r="S148">
        <v>1.9</v>
      </c>
      <c r="T148">
        <v>23.9</v>
      </c>
      <c r="U148">
        <v>0.2</v>
      </c>
      <c r="V148">
        <f t="shared" si="80"/>
        <v>1.3994169096209914</v>
      </c>
      <c r="W148">
        <f t="shared" si="81"/>
        <v>0.52259475218658891</v>
      </c>
      <c r="X148">
        <v>35.799999999999997</v>
      </c>
      <c r="Y148" s="3">
        <v>13.4</v>
      </c>
      <c r="Z148">
        <v>55.4</v>
      </c>
      <c r="AA148">
        <v>3.2</v>
      </c>
      <c r="AB148">
        <v>1.7</v>
      </c>
      <c r="AC148">
        <v>21.6</v>
      </c>
      <c r="AD148">
        <v>0.1</v>
      </c>
      <c r="AE148">
        <f t="shared" si="42"/>
        <v>0.69314079422382679</v>
      </c>
      <c r="AF148">
        <f t="shared" si="43"/>
        <v>0.29241877256317694</v>
      </c>
      <c r="AG148" s="3">
        <v>40.299999999999997</v>
      </c>
      <c r="AH148">
        <v>20.5</v>
      </c>
      <c r="AI148" s="3">
        <v>75.2</v>
      </c>
    </row>
    <row r="149" spans="1:38" x14ac:dyDescent="0.5">
      <c r="A149" s="4">
        <v>120</v>
      </c>
      <c r="B149">
        <v>210</v>
      </c>
      <c r="C149">
        <v>0.1</v>
      </c>
      <c r="D149">
        <v>27.45</v>
      </c>
      <c r="E149">
        <v>500</v>
      </c>
      <c r="F149">
        <v>147.55000000000001</v>
      </c>
      <c r="G149" s="3">
        <f t="shared" si="79"/>
        <v>5.3752276867030968</v>
      </c>
      <c r="K149">
        <v>19.899999999999999</v>
      </c>
      <c r="L149">
        <v>5.6</v>
      </c>
      <c r="M149">
        <v>21.9</v>
      </c>
      <c r="O149">
        <v>85.1</v>
      </c>
      <c r="P149" s="3">
        <v>14.9</v>
      </c>
      <c r="Q149">
        <v>34.299999999999997</v>
      </c>
      <c r="R149">
        <v>4</v>
      </c>
      <c r="S149">
        <v>1.9</v>
      </c>
      <c r="T149">
        <v>23.9</v>
      </c>
      <c r="U149">
        <v>0.2</v>
      </c>
      <c r="V149">
        <f t="shared" si="80"/>
        <v>1.3994169096209914</v>
      </c>
      <c r="W149">
        <f t="shared" si="81"/>
        <v>0.52259475218658891</v>
      </c>
      <c r="X149">
        <v>35.799999999999997</v>
      </c>
      <c r="Y149" s="3">
        <v>13.4</v>
      </c>
      <c r="Z149">
        <v>55.8</v>
      </c>
      <c r="AA149">
        <v>3</v>
      </c>
      <c r="AB149">
        <v>1.6</v>
      </c>
      <c r="AC149">
        <v>21.1</v>
      </c>
      <c r="AD149">
        <v>0.1</v>
      </c>
      <c r="AE149">
        <f t="shared" si="42"/>
        <v>0.64516129032258074</v>
      </c>
      <c r="AF149">
        <f t="shared" si="43"/>
        <v>0.28360215053763443</v>
      </c>
      <c r="AG149" s="3">
        <v>41.5</v>
      </c>
      <c r="AH149">
        <v>20.399999999999999</v>
      </c>
      <c r="AI149" s="3">
        <v>72.2</v>
      </c>
    </row>
    <row r="150" spans="1:38" x14ac:dyDescent="0.5">
      <c r="A150" s="4">
        <v>300</v>
      </c>
      <c r="B150">
        <v>210</v>
      </c>
      <c r="C150">
        <v>0.1</v>
      </c>
      <c r="D150">
        <v>27.45</v>
      </c>
      <c r="E150">
        <v>500</v>
      </c>
      <c r="F150">
        <v>147.55000000000001</v>
      </c>
      <c r="G150" s="3">
        <f t="shared" si="79"/>
        <v>5.3752276867030968</v>
      </c>
      <c r="K150">
        <v>19.899999999999999</v>
      </c>
      <c r="L150">
        <v>5.6</v>
      </c>
      <c r="M150">
        <v>21.9</v>
      </c>
      <c r="O150">
        <v>85.1</v>
      </c>
      <c r="P150" s="3">
        <v>14.9</v>
      </c>
      <c r="Q150">
        <v>34.299999999999997</v>
      </c>
      <c r="R150">
        <v>4</v>
      </c>
      <c r="S150">
        <v>1.9</v>
      </c>
      <c r="T150">
        <v>23.9</v>
      </c>
      <c r="U150">
        <v>0.2</v>
      </c>
      <c r="V150">
        <f t="shared" si="80"/>
        <v>1.3994169096209914</v>
      </c>
      <c r="W150">
        <f t="shared" si="81"/>
        <v>0.52259475218658891</v>
      </c>
      <c r="X150">
        <v>35.799999999999997</v>
      </c>
      <c r="Y150" s="3">
        <v>13.4</v>
      </c>
      <c r="Z150">
        <v>59.5</v>
      </c>
      <c r="AA150">
        <v>3.2</v>
      </c>
      <c r="AB150">
        <v>1.7</v>
      </c>
      <c r="AC150">
        <v>19.2</v>
      </c>
      <c r="AD150">
        <v>0.2</v>
      </c>
      <c r="AE150">
        <f t="shared" si="42"/>
        <v>0.64537815126050424</v>
      </c>
      <c r="AF150">
        <f t="shared" si="43"/>
        <v>0.24201680672268908</v>
      </c>
      <c r="AG150" s="3">
        <v>40.1</v>
      </c>
      <c r="AH150">
        <v>22.4</v>
      </c>
      <c r="AI150" s="3">
        <v>70.400000000000006</v>
      </c>
    </row>
    <row r="151" spans="1:38" x14ac:dyDescent="0.5">
      <c r="A151" s="4">
        <v>120</v>
      </c>
      <c r="B151">
        <v>230</v>
      </c>
      <c r="C151">
        <v>0.1</v>
      </c>
      <c r="D151">
        <v>27.45</v>
      </c>
      <c r="E151">
        <v>500</v>
      </c>
      <c r="F151">
        <v>147.55000000000001</v>
      </c>
      <c r="G151" s="3">
        <f t="shared" si="79"/>
        <v>5.3752276867030968</v>
      </c>
      <c r="K151">
        <v>19.899999999999999</v>
      </c>
      <c r="L151">
        <v>5.6</v>
      </c>
      <c r="M151">
        <v>21.9</v>
      </c>
      <c r="O151">
        <v>85.1</v>
      </c>
      <c r="P151" s="3">
        <v>14.9</v>
      </c>
      <c r="Q151">
        <v>34.299999999999997</v>
      </c>
      <c r="R151">
        <v>4</v>
      </c>
      <c r="S151">
        <v>1.9</v>
      </c>
      <c r="T151">
        <v>23.9</v>
      </c>
      <c r="U151">
        <v>0.2</v>
      </c>
      <c r="V151">
        <f t="shared" si="80"/>
        <v>1.3994169096209914</v>
      </c>
      <c r="W151">
        <f t="shared" si="81"/>
        <v>0.52259475218658891</v>
      </c>
      <c r="X151">
        <v>35.799999999999997</v>
      </c>
      <c r="Y151" s="3">
        <v>13.4</v>
      </c>
      <c r="Z151">
        <v>60.7</v>
      </c>
      <c r="AA151">
        <v>2.9</v>
      </c>
      <c r="AB151">
        <v>1.7</v>
      </c>
      <c r="AC151">
        <v>17.100000000000001</v>
      </c>
      <c r="AD151">
        <v>0.2</v>
      </c>
      <c r="AE151">
        <f t="shared" si="42"/>
        <v>0.5733113673805601</v>
      </c>
      <c r="AF151">
        <f t="shared" si="43"/>
        <v>0.21128500823723229</v>
      </c>
      <c r="AG151" s="3">
        <v>44.5</v>
      </c>
      <c r="AH151">
        <v>22.3</v>
      </c>
      <c r="AI151" s="3">
        <v>62.9</v>
      </c>
    </row>
    <row r="152" spans="1:38" x14ac:dyDescent="0.5">
      <c r="A152" s="4">
        <v>300</v>
      </c>
      <c r="B152">
        <v>230</v>
      </c>
      <c r="C152">
        <v>0.1</v>
      </c>
      <c r="D152">
        <v>27.45</v>
      </c>
      <c r="E152">
        <v>500</v>
      </c>
      <c r="F152">
        <v>147.55000000000001</v>
      </c>
      <c r="G152" s="3">
        <f t="shared" si="79"/>
        <v>5.3752276867030968</v>
      </c>
      <c r="K152">
        <v>19.899999999999999</v>
      </c>
      <c r="L152">
        <v>5.6</v>
      </c>
      <c r="M152">
        <v>21.9</v>
      </c>
      <c r="O152">
        <v>85.1</v>
      </c>
      <c r="P152" s="3">
        <v>14.9</v>
      </c>
      <c r="Q152">
        <v>34.299999999999997</v>
      </c>
      <c r="R152">
        <v>4</v>
      </c>
      <c r="S152">
        <v>1.9</v>
      </c>
      <c r="T152">
        <v>23.9</v>
      </c>
      <c r="U152">
        <v>0.2</v>
      </c>
      <c r="V152">
        <f t="shared" si="80"/>
        <v>1.3994169096209914</v>
      </c>
      <c r="W152">
        <f t="shared" si="81"/>
        <v>0.52259475218658891</v>
      </c>
      <c r="X152">
        <v>35.799999999999997</v>
      </c>
      <c r="Y152" s="3">
        <v>13.4</v>
      </c>
      <c r="Z152">
        <v>64.099999999999994</v>
      </c>
      <c r="AA152">
        <v>2.7</v>
      </c>
      <c r="AB152">
        <v>2</v>
      </c>
      <c r="AC152">
        <v>14.4</v>
      </c>
      <c r="AD152">
        <v>0.2</v>
      </c>
      <c r="AE152">
        <f t="shared" si="42"/>
        <v>0.50546021840873645</v>
      </c>
      <c r="AF152">
        <f t="shared" si="43"/>
        <v>0.16848673946957882</v>
      </c>
      <c r="AG152" s="3">
        <v>46.1</v>
      </c>
      <c r="AH152">
        <v>23.7</v>
      </c>
      <c r="AI152" s="3">
        <v>57.8</v>
      </c>
    </row>
    <row r="153" spans="1:38" x14ac:dyDescent="0.5">
      <c r="A153" s="4">
        <v>120</v>
      </c>
      <c r="B153">
        <v>250</v>
      </c>
      <c r="C153">
        <v>0.1</v>
      </c>
      <c r="D153">
        <v>27.45</v>
      </c>
      <c r="E153">
        <v>500</v>
      </c>
      <c r="F153">
        <v>147.55000000000001</v>
      </c>
      <c r="G153" s="3">
        <f t="shared" si="79"/>
        <v>5.3752276867030968</v>
      </c>
      <c r="K153">
        <v>19.899999999999999</v>
      </c>
      <c r="L153">
        <v>5.6</v>
      </c>
      <c r="M153">
        <v>21.9</v>
      </c>
      <c r="O153">
        <v>85.1</v>
      </c>
      <c r="P153" s="3">
        <v>14.9</v>
      </c>
      <c r="Q153">
        <v>34.299999999999997</v>
      </c>
      <c r="R153">
        <v>4</v>
      </c>
      <c r="S153">
        <v>1.9</v>
      </c>
      <c r="T153">
        <v>23.9</v>
      </c>
      <c r="U153">
        <v>0.2</v>
      </c>
      <c r="V153">
        <f t="shared" si="80"/>
        <v>1.3994169096209914</v>
      </c>
      <c r="W153">
        <f t="shared" si="81"/>
        <v>0.52259475218658891</v>
      </c>
      <c r="X153">
        <v>35.799999999999997</v>
      </c>
      <c r="Y153" s="3">
        <v>13.4</v>
      </c>
      <c r="Z153">
        <v>65.900000000000006</v>
      </c>
      <c r="AA153">
        <v>2.6</v>
      </c>
      <c r="AB153">
        <v>1.8</v>
      </c>
      <c r="AC153">
        <v>13.1</v>
      </c>
      <c r="AD153">
        <v>0.2</v>
      </c>
      <c r="AE153">
        <f t="shared" si="42"/>
        <v>0.47344461305007585</v>
      </c>
      <c r="AF153">
        <f t="shared" si="43"/>
        <v>0.14908952959028829</v>
      </c>
      <c r="AG153" s="3">
        <v>48</v>
      </c>
      <c r="AH153">
        <v>24.4</v>
      </c>
      <c r="AI153" s="3">
        <v>55</v>
      </c>
    </row>
    <row r="154" spans="1:38" x14ac:dyDescent="0.5">
      <c r="A154" s="4">
        <v>300</v>
      </c>
      <c r="B154">
        <v>250</v>
      </c>
      <c r="C154">
        <v>0.1</v>
      </c>
      <c r="D154">
        <v>27.45</v>
      </c>
      <c r="E154">
        <v>500</v>
      </c>
      <c r="F154">
        <v>147.55000000000001</v>
      </c>
      <c r="G154" s="3">
        <f t="shared" si="79"/>
        <v>5.3752276867030968</v>
      </c>
      <c r="K154">
        <v>19.899999999999999</v>
      </c>
      <c r="L154">
        <v>5.6</v>
      </c>
      <c r="M154">
        <v>21.9</v>
      </c>
      <c r="O154">
        <v>85.1</v>
      </c>
      <c r="P154" s="3">
        <v>14.9</v>
      </c>
      <c r="Q154">
        <v>34.299999999999997</v>
      </c>
      <c r="R154">
        <v>4</v>
      </c>
      <c r="S154">
        <v>1.9</v>
      </c>
      <c r="T154">
        <v>23.9</v>
      </c>
      <c r="U154">
        <v>0.2</v>
      </c>
      <c r="V154">
        <f t="shared" si="80"/>
        <v>1.3994169096209914</v>
      </c>
      <c r="W154">
        <f t="shared" si="81"/>
        <v>0.52259475218658891</v>
      </c>
      <c r="X154">
        <v>35.799999999999997</v>
      </c>
      <c r="Y154" s="3">
        <v>13.4</v>
      </c>
      <c r="Z154">
        <v>67.099999999999994</v>
      </c>
      <c r="AA154">
        <v>2.7</v>
      </c>
      <c r="AB154">
        <v>2</v>
      </c>
      <c r="AC154">
        <v>12.6</v>
      </c>
      <c r="AD154">
        <v>0.2</v>
      </c>
      <c r="AE154">
        <f t="shared" si="42"/>
        <v>0.48286140089418789</v>
      </c>
      <c r="AF154">
        <f t="shared" si="43"/>
        <v>0.14083457526080478</v>
      </c>
      <c r="AG154" s="3">
        <v>46.8</v>
      </c>
      <c r="AH154">
        <v>25.2</v>
      </c>
      <c r="AI154" s="3">
        <v>54.5</v>
      </c>
    </row>
    <row r="155" spans="1:38" x14ac:dyDescent="0.5">
      <c r="A155" s="4">
        <v>120</v>
      </c>
      <c r="B155">
        <v>170</v>
      </c>
      <c r="C155">
        <v>0.1</v>
      </c>
      <c r="D155">
        <v>27.45</v>
      </c>
      <c r="E155">
        <v>500</v>
      </c>
      <c r="F155">
        <v>147.55000000000001</v>
      </c>
      <c r="G155" s="3">
        <f t="shared" si="79"/>
        <v>5.3752276867030968</v>
      </c>
      <c r="K155">
        <v>31.2</v>
      </c>
      <c r="L155">
        <v>15.5</v>
      </c>
      <c r="M155">
        <v>20.100000000000001</v>
      </c>
      <c r="O155">
        <v>79.8</v>
      </c>
      <c r="P155" s="3">
        <v>20.2</v>
      </c>
      <c r="Q155">
        <v>42.6</v>
      </c>
      <c r="R155">
        <v>5</v>
      </c>
      <c r="S155">
        <v>2</v>
      </c>
      <c r="T155">
        <v>34.299999999999997</v>
      </c>
      <c r="U155">
        <v>0.4</v>
      </c>
      <c r="V155">
        <f t="shared" si="80"/>
        <v>1.408450704225352</v>
      </c>
      <c r="W155">
        <f t="shared" si="81"/>
        <v>0.60387323943661964</v>
      </c>
      <c r="X155">
        <v>15.7</v>
      </c>
      <c r="Y155" s="3">
        <v>17</v>
      </c>
      <c r="Z155">
        <v>51.9</v>
      </c>
      <c r="AA155">
        <v>4.8</v>
      </c>
      <c r="AB155">
        <v>2.1</v>
      </c>
      <c r="AC155">
        <v>33.200000000000003</v>
      </c>
      <c r="AD155">
        <v>0.4</v>
      </c>
      <c r="AE155">
        <f t="shared" si="42"/>
        <v>1.1098265895953756</v>
      </c>
      <c r="AF155">
        <f t="shared" si="43"/>
        <v>0.47976878612716767</v>
      </c>
      <c r="AG155" s="3">
        <v>16</v>
      </c>
      <c r="AH155">
        <v>20.399999999999999</v>
      </c>
      <c r="AI155" s="3">
        <v>90.6</v>
      </c>
    </row>
    <row r="156" spans="1:38" x14ac:dyDescent="0.5">
      <c r="A156" s="4">
        <v>300</v>
      </c>
      <c r="B156">
        <v>170</v>
      </c>
      <c r="C156">
        <v>0.1</v>
      </c>
      <c r="D156">
        <v>27.45</v>
      </c>
      <c r="E156">
        <v>500</v>
      </c>
      <c r="F156">
        <v>147.55000000000001</v>
      </c>
      <c r="G156" s="3">
        <f t="shared" si="79"/>
        <v>5.3752276867030968</v>
      </c>
      <c r="K156">
        <v>31.2</v>
      </c>
      <c r="L156">
        <v>15.5</v>
      </c>
      <c r="M156">
        <v>20.100000000000001</v>
      </c>
      <c r="O156">
        <v>79.8</v>
      </c>
      <c r="P156" s="3">
        <v>20.2</v>
      </c>
      <c r="Q156">
        <v>42.6</v>
      </c>
      <c r="R156">
        <v>5</v>
      </c>
      <c r="S156">
        <v>2</v>
      </c>
      <c r="T156">
        <v>34.299999999999997</v>
      </c>
      <c r="U156">
        <v>0.4</v>
      </c>
      <c r="V156">
        <f t="shared" ref="V156:V165" si="82">(R156/1)/(Q156/12)</f>
        <v>1.408450704225352</v>
      </c>
      <c r="W156">
        <f t="shared" ref="W156:W165" si="83">(T156/16)/(Q156/12)</f>
        <v>0.60387323943661964</v>
      </c>
      <c r="X156">
        <v>15.7</v>
      </c>
      <c r="Y156" s="3">
        <v>17</v>
      </c>
      <c r="Z156">
        <v>52.9</v>
      </c>
      <c r="AA156">
        <v>4.7</v>
      </c>
      <c r="AB156">
        <v>2.2000000000000002</v>
      </c>
      <c r="AC156">
        <v>32.1</v>
      </c>
      <c r="AD156">
        <v>0.4</v>
      </c>
      <c r="AE156">
        <f t="shared" si="42"/>
        <v>1.0661625708884688</v>
      </c>
      <c r="AF156">
        <f t="shared" si="43"/>
        <v>0.45510396975425332</v>
      </c>
      <c r="AG156" s="3">
        <v>16.5</v>
      </c>
      <c r="AH156">
        <v>20.7</v>
      </c>
      <c r="AI156" s="3">
        <v>86.7</v>
      </c>
    </row>
    <row r="157" spans="1:38" x14ac:dyDescent="0.5">
      <c r="A157" s="4">
        <v>120</v>
      </c>
      <c r="B157">
        <v>190</v>
      </c>
      <c r="C157">
        <v>0.1</v>
      </c>
      <c r="D157">
        <v>27.45</v>
      </c>
      <c r="E157">
        <v>500</v>
      </c>
      <c r="F157">
        <v>147.55000000000001</v>
      </c>
      <c r="G157" s="3">
        <f t="shared" si="79"/>
        <v>5.3752276867030968</v>
      </c>
      <c r="K157">
        <v>31.2</v>
      </c>
      <c r="L157">
        <v>15.5</v>
      </c>
      <c r="M157">
        <v>20.100000000000001</v>
      </c>
      <c r="O157">
        <v>79.8</v>
      </c>
      <c r="P157" s="3">
        <v>20.2</v>
      </c>
      <c r="Q157">
        <v>42.6</v>
      </c>
      <c r="R157">
        <v>5</v>
      </c>
      <c r="S157">
        <v>2</v>
      </c>
      <c r="T157">
        <v>34.299999999999997</v>
      </c>
      <c r="U157">
        <v>0.4</v>
      </c>
      <c r="V157">
        <f t="shared" si="82"/>
        <v>1.408450704225352</v>
      </c>
      <c r="W157">
        <f t="shared" si="83"/>
        <v>0.60387323943661964</v>
      </c>
      <c r="X157">
        <v>15.7</v>
      </c>
      <c r="Y157" s="3">
        <v>17</v>
      </c>
      <c r="Z157">
        <v>54.6</v>
      </c>
      <c r="AA157">
        <v>4.5</v>
      </c>
      <c r="AB157">
        <v>2.5</v>
      </c>
      <c r="AC157">
        <v>30.2</v>
      </c>
      <c r="AD157">
        <v>0.4</v>
      </c>
      <c r="AE157">
        <f t="shared" si="42"/>
        <v>0.98901098901098905</v>
      </c>
      <c r="AF157">
        <f t="shared" si="43"/>
        <v>0.41483516483516486</v>
      </c>
      <c r="AG157" s="3">
        <v>17.2</v>
      </c>
      <c r="AH157">
        <v>21.3</v>
      </c>
      <c r="AI157" s="3">
        <v>81.400000000000006</v>
      </c>
    </row>
    <row r="158" spans="1:38" x14ac:dyDescent="0.5">
      <c r="A158" s="4">
        <v>300</v>
      </c>
      <c r="B158">
        <v>190</v>
      </c>
      <c r="C158">
        <v>0.1</v>
      </c>
      <c r="D158">
        <v>27.45</v>
      </c>
      <c r="E158">
        <v>500</v>
      </c>
      <c r="F158">
        <v>147.55000000000001</v>
      </c>
      <c r="G158" s="3">
        <f t="shared" si="79"/>
        <v>5.3752276867030968</v>
      </c>
      <c r="K158">
        <v>31.2</v>
      </c>
      <c r="L158">
        <v>15.5</v>
      </c>
      <c r="M158">
        <v>20.100000000000001</v>
      </c>
      <c r="O158">
        <v>79.8</v>
      </c>
      <c r="P158" s="3">
        <v>20.2</v>
      </c>
      <c r="Q158">
        <v>42.6</v>
      </c>
      <c r="R158">
        <v>5</v>
      </c>
      <c r="S158">
        <v>2</v>
      </c>
      <c r="T158">
        <v>34.299999999999997</v>
      </c>
      <c r="U158">
        <v>0.4</v>
      </c>
      <c r="V158">
        <f t="shared" si="82"/>
        <v>1.408450704225352</v>
      </c>
      <c r="W158">
        <f t="shared" si="83"/>
        <v>0.60387323943661964</v>
      </c>
      <c r="X158">
        <v>15.7</v>
      </c>
      <c r="Y158" s="3">
        <v>17</v>
      </c>
      <c r="Z158">
        <v>55.3</v>
      </c>
      <c r="AA158">
        <v>4.7</v>
      </c>
      <c r="AB158">
        <v>2.4</v>
      </c>
      <c r="AC158">
        <v>29.2</v>
      </c>
      <c r="AD158">
        <v>0.5</v>
      </c>
      <c r="AE158">
        <f t="shared" si="42"/>
        <v>1.0198915009041591</v>
      </c>
      <c r="AF158">
        <f t="shared" si="43"/>
        <v>0.39602169981916818</v>
      </c>
      <c r="AG158" s="3">
        <v>17.7</v>
      </c>
      <c r="AH158">
        <v>21.9</v>
      </c>
      <c r="AI158" s="3">
        <v>78.3</v>
      </c>
    </row>
    <row r="159" spans="1:38" x14ac:dyDescent="0.5">
      <c r="A159" s="4">
        <v>120</v>
      </c>
      <c r="B159">
        <v>210</v>
      </c>
      <c r="C159">
        <v>0.1</v>
      </c>
      <c r="D159">
        <v>27.45</v>
      </c>
      <c r="E159">
        <v>500</v>
      </c>
      <c r="F159">
        <v>147.55000000000001</v>
      </c>
      <c r="G159" s="3">
        <f t="shared" si="79"/>
        <v>5.3752276867030968</v>
      </c>
      <c r="K159">
        <v>31.2</v>
      </c>
      <c r="L159">
        <v>15.5</v>
      </c>
      <c r="M159">
        <v>20.100000000000001</v>
      </c>
      <c r="O159">
        <v>79.8</v>
      </c>
      <c r="P159" s="3">
        <v>20.2</v>
      </c>
      <c r="Q159">
        <v>42.6</v>
      </c>
      <c r="R159">
        <v>5</v>
      </c>
      <c r="S159">
        <v>2</v>
      </c>
      <c r="T159">
        <v>34.299999999999997</v>
      </c>
      <c r="U159">
        <v>0.4</v>
      </c>
      <c r="V159">
        <f t="shared" si="82"/>
        <v>1.408450704225352</v>
      </c>
      <c r="W159">
        <f t="shared" si="83"/>
        <v>0.60387323943661964</v>
      </c>
      <c r="X159">
        <v>15.7</v>
      </c>
      <c r="Y159" s="3">
        <v>17</v>
      </c>
      <c r="Z159">
        <v>57.2</v>
      </c>
      <c r="AA159">
        <v>4.5999999999999996</v>
      </c>
      <c r="AB159">
        <v>2.6</v>
      </c>
      <c r="AC159">
        <v>27.5</v>
      </c>
      <c r="AD159">
        <v>0.4</v>
      </c>
      <c r="AE159">
        <f t="shared" si="42"/>
        <v>0.965034965034965</v>
      </c>
      <c r="AF159">
        <f t="shared" si="43"/>
        <v>0.36057692307692307</v>
      </c>
      <c r="AG159" s="3">
        <v>18</v>
      </c>
      <c r="AH159">
        <v>22.7</v>
      </c>
      <c r="AI159" s="3">
        <v>73.2</v>
      </c>
    </row>
    <row r="160" spans="1:38" x14ac:dyDescent="0.5">
      <c r="A160" s="4">
        <v>300</v>
      </c>
      <c r="B160">
        <v>210</v>
      </c>
      <c r="C160">
        <v>0.1</v>
      </c>
      <c r="D160">
        <v>27.45</v>
      </c>
      <c r="E160">
        <v>500</v>
      </c>
      <c r="F160">
        <v>147.55000000000001</v>
      </c>
      <c r="G160" s="3">
        <f t="shared" si="79"/>
        <v>5.3752276867030968</v>
      </c>
      <c r="K160">
        <v>31.2</v>
      </c>
      <c r="L160">
        <v>15.5</v>
      </c>
      <c r="M160">
        <v>20.100000000000001</v>
      </c>
      <c r="O160">
        <v>79.8</v>
      </c>
      <c r="P160" s="3">
        <v>20.2</v>
      </c>
      <c r="Q160">
        <v>42.6</v>
      </c>
      <c r="R160">
        <v>5</v>
      </c>
      <c r="S160">
        <v>2</v>
      </c>
      <c r="T160">
        <v>34.299999999999997</v>
      </c>
      <c r="U160">
        <v>0.4</v>
      </c>
      <c r="V160">
        <f t="shared" si="82"/>
        <v>1.408450704225352</v>
      </c>
      <c r="W160">
        <f t="shared" si="83"/>
        <v>0.60387323943661964</v>
      </c>
      <c r="X160">
        <v>15.7</v>
      </c>
      <c r="Y160" s="3">
        <v>17</v>
      </c>
      <c r="Z160">
        <v>58.4</v>
      </c>
      <c r="AA160">
        <v>4.2</v>
      </c>
      <c r="AB160">
        <v>2.8</v>
      </c>
      <c r="AC160">
        <v>26.3</v>
      </c>
      <c r="AD160">
        <v>0.4</v>
      </c>
      <c r="AE160">
        <f t="shared" si="42"/>
        <v>0.8630136986301371</v>
      </c>
      <c r="AF160">
        <f t="shared" si="43"/>
        <v>0.33775684931506855</v>
      </c>
      <c r="AG160" s="3">
        <v>19.100000000000001</v>
      </c>
      <c r="AH160">
        <v>22.6</v>
      </c>
      <c r="AI160" s="3">
        <v>68.3</v>
      </c>
    </row>
    <row r="161" spans="1:38" x14ac:dyDescent="0.5">
      <c r="A161" s="4">
        <v>120</v>
      </c>
      <c r="B161">
        <v>230</v>
      </c>
      <c r="C161">
        <v>0.1</v>
      </c>
      <c r="D161">
        <v>27.45</v>
      </c>
      <c r="E161">
        <v>500</v>
      </c>
      <c r="F161">
        <v>147.55000000000001</v>
      </c>
      <c r="G161" s="3">
        <f t="shared" si="79"/>
        <v>5.3752276867030968</v>
      </c>
      <c r="K161">
        <v>31.2</v>
      </c>
      <c r="L161">
        <v>15.5</v>
      </c>
      <c r="M161">
        <v>20.100000000000001</v>
      </c>
      <c r="O161">
        <v>79.8</v>
      </c>
      <c r="P161" s="3">
        <v>20.2</v>
      </c>
      <c r="Q161">
        <v>42.6</v>
      </c>
      <c r="R161">
        <v>5</v>
      </c>
      <c r="S161">
        <v>2</v>
      </c>
      <c r="T161">
        <v>34.299999999999997</v>
      </c>
      <c r="U161">
        <v>0.4</v>
      </c>
      <c r="V161">
        <f t="shared" si="82"/>
        <v>1.408450704225352</v>
      </c>
      <c r="W161">
        <f t="shared" si="83"/>
        <v>0.60387323943661964</v>
      </c>
      <c r="X161">
        <v>15.7</v>
      </c>
      <c r="Y161" s="3">
        <v>17</v>
      </c>
      <c r="Z161">
        <v>60.3</v>
      </c>
      <c r="AA161">
        <v>4</v>
      </c>
      <c r="AB161">
        <v>2.8</v>
      </c>
      <c r="AC161">
        <v>24.1</v>
      </c>
      <c r="AD161">
        <v>0.5</v>
      </c>
      <c r="AE161">
        <f t="shared" si="42"/>
        <v>0.79601990049751248</v>
      </c>
      <c r="AF161">
        <f t="shared" si="43"/>
        <v>0.29975124378109458</v>
      </c>
      <c r="AG161" s="3">
        <v>20.8</v>
      </c>
      <c r="AH161">
        <v>23.3</v>
      </c>
      <c r="AI161" s="3">
        <v>61.7</v>
      </c>
    </row>
    <row r="162" spans="1:38" x14ac:dyDescent="0.5">
      <c r="A162" s="4">
        <v>300</v>
      </c>
      <c r="B162">
        <v>230</v>
      </c>
      <c r="C162">
        <v>0.1</v>
      </c>
      <c r="D162">
        <v>27.45</v>
      </c>
      <c r="E162">
        <v>500</v>
      </c>
      <c r="F162">
        <v>147.55000000000001</v>
      </c>
      <c r="G162" s="3">
        <f t="shared" si="79"/>
        <v>5.3752276867030968</v>
      </c>
      <c r="K162">
        <v>31.2</v>
      </c>
      <c r="L162">
        <v>15.5</v>
      </c>
      <c r="M162">
        <v>20.100000000000001</v>
      </c>
      <c r="O162">
        <v>79.8</v>
      </c>
      <c r="P162" s="3">
        <v>20.2</v>
      </c>
      <c r="Q162">
        <v>42.6</v>
      </c>
      <c r="R162">
        <v>5</v>
      </c>
      <c r="S162">
        <v>2</v>
      </c>
      <c r="T162">
        <v>34.299999999999997</v>
      </c>
      <c r="U162">
        <v>0.4</v>
      </c>
      <c r="V162">
        <f t="shared" si="82"/>
        <v>1.408450704225352</v>
      </c>
      <c r="W162">
        <f t="shared" si="83"/>
        <v>0.60387323943661964</v>
      </c>
      <c r="X162">
        <v>15.7</v>
      </c>
      <c r="Y162" s="3">
        <v>17</v>
      </c>
      <c r="Z162">
        <v>65.599999999999994</v>
      </c>
      <c r="AA162">
        <v>4</v>
      </c>
      <c r="AB162">
        <v>3.1</v>
      </c>
      <c r="AC162">
        <v>19.100000000000001</v>
      </c>
      <c r="AD162">
        <v>0.5</v>
      </c>
      <c r="AE162">
        <f t="shared" si="42"/>
        <v>0.73170731707317083</v>
      </c>
      <c r="AF162">
        <f t="shared" si="43"/>
        <v>0.21836890243902443</v>
      </c>
      <c r="AG162" s="3">
        <v>22.6</v>
      </c>
      <c r="AH162">
        <v>25.8</v>
      </c>
      <c r="AI162" s="3">
        <v>53.5</v>
      </c>
    </row>
    <row r="163" spans="1:38" x14ac:dyDescent="0.5">
      <c r="A163" s="4">
        <v>120</v>
      </c>
      <c r="B163">
        <v>250</v>
      </c>
      <c r="C163">
        <v>0.1</v>
      </c>
      <c r="D163">
        <v>27.45</v>
      </c>
      <c r="E163">
        <v>500</v>
      </c>
      <c r="F163">
        <v>147.55000000000001</v>
      </c>
      <c r="G163" s="3">
        <f t="shared" si="79"/>
        <v>5.3752276867030968</v>
      </c>
      <c r="K163">
        <v>31.2</v>
      </c>
      <c r="L163">
        <v>15.5</v>
      </c>
      <c r="M163">
        <v>20.100000000000001</v>
      </c>
      <c r="O163">
        <v>79.8</v>
      </c>
      <c r="P163" s="3">
        <v>20.2</v>
      </c>
      <c r="Q163">
        <v>42.6</v>
      </c>
      <c r="R163">
        <v>5</v>
      </c>
      <c r="S163">
        <v>2</v>
      </c>
      <c r="T163">
        <v>34.299999999999997</v>
      </c>
      <c r="U163">
        <v>0.4</v>
      </c>
      <c r="V163">
        <f t="shared" si="82"/>
        <v>1.408450704225352</v>
      </c>
      <c r="W163">
        <f t="shared" si="83"/>
        <v>0.60387323943661964</v>
      </c>
      <c r="X163">
        <v>15.7</v>
      </c>
      <c r="Y163" s="3">
        <v>17</v>
      </c>
      <c r="Z163">
        <v>66.8</v>
      </c>
      <c r="AA163">
        <v>3.8</v>
      </c>
      <c r="AB163">
        <v>3.2</v>
      </c>
      <c r="AC163">
        <v>17.899999999999999</v>
      </c>
      <c r="AD163">
        <v>0.5</v>
      </c>
      <c r="AE163">
        <f t="shared" si="42"/>
        <v>0.68263473053892221</v>
      </c>
      <c r="AF163">
        <f t="shared" si="43"/>
        <v>0.20097305389221556</v>
      </c>
      <c r="AG163" s="3">
        <v>23.7</v>
      </c>
      <c r="AH163">
        <v>26.1</v>
      </c>
      <c r="AI163" s="3">
        <v>47.7</v>
      </c>
    </row>
    <row r="164" spans="1:38" x14ac:dyDescent="0.5">
      <c r="A164" s="4">
        <v>300</v>
      </c>
      <c r="B164">
        <v>250</v>
      </c>
      <c r="C164">
        <v>0.1</v>
      </c>
      <c r="D164">
        <v>27.45</v>
      </c>
      <c r="E164">
        <v>500</v>
      </c>
      <c r="F164">
        <v>147.55000000000001</v>
      </c>
      <c r="G164" s="3">
        <f t="shared" si="79"/>
        <v>5.3752276867030968</v>
      </c>
      <c r="K164">
        <v>31.2</v>
      </c>
      <c r="L164">
        <v>15.5</v>
      </c>
      <c r="M164">
        <v>20.100000000000001</v>
      </c>
      <c r="O164">
        <v>79.8</v>
      </c>
      <c r="P164" s="3">
        <v>20.2</v>
      </c>
      <c r="Q164">
        <v>42.6</v>
      </c>
      <c r="R164">
        <v>5</v>
      </c>
      <c r="S164">
        <v>2</v>
      </c>
      <c r="T164">
        <v>34.299999999999997</v>
      </c>
      <c r="U164">
        <v>0.4</v>
      </c>
      <c r="V164">
        <f t="shared" si="82"/>
        <v>1.408450704225352</v>
      </c>
      <c r="W164">
        <f t="shared" si="83"/>
        <v>0.60387323943661964</v>
      </c>
      <c r="X164">
        <v>15.7</v>
      </c>
      <c r="Y164" s="3">
        <v>17</v>
      </c>
      <c r="Z164">
        <v>68.8</v>
      </c>
      <c r="AA164">
        <v>3.9</v>
      </c>
      <c r="AB164">
        <v>3.3</v>
      </c>
      <c r="AC164">
        <v>16.100000000000001</v>
      </c>
      <c r="AD164">
        <v>0.4</v>
      </c>
      <c r="AE164">
        <f t="shared" si="42"/>
        <v>0.68023255813953487</v>
      </c>
      <c r="AF164">
        <f t="shared" si="43"/>
        <v>0.17550872093023256</v>
      </c>
      <c r="AG164" s="3">
        <v>23.9</v>
      </c>
      <c r="AH164">
        <v>27.2</v>
      </c>
      <c r="AI164" s="3">
        <v>41.3</v>
      </c>
    </row>
    <row r="165" spans="1:38" x14ac:dyDescent="0.5">
      <c r="A165" s="4">
        <v>120</v>
      </c>
      <c r="B165">
        <v>170</v>
      </c>
      <c r="C165">
        <v>0.1</v>
      </c>
      <c r="D165">
        <v>27.45</v>
      </c>
      <c r="E165">
        <v>500</v>
      </c>
      <c r="F165">
        <v>147.55000000000001</v>
      </c>
      <c r="G165" s="3">
        <f t="shared" si="79"/>
        <v>5.3752276867030968</v>
      </c>
      <c r="K165">
        <v>23.9</v>
      </c>
      <c r="L165">
        <v>2.7</v>
      </c>
      <c r="M165">
        <v>22</v>
      </c>
      <c r="O165">
        <v>78.400000000000006</v>
      </c>
      <c r="P165" s="3">
        <v>21.6</v>
      </c>
      <c r="Q165">
        <v>40.299999999999997</v>
      </c>
      <c r="R165">
        <v>4.5999999999999996</v>
      </c>
      <c r="S165">
        <v>2.1</v>
      </c>
      <c r="T165">
        <v>24</v>
      </c>
      <c r="U165">
        <v>0.3</v>
      </c>
      <c r="V165">
        <f t="shared" si="82"/>
        <v>1.369727047146402</v>
      </c>
      <c r="W165">
        <f t="shared" si="83"/>
        <v>0.44665012406947896</v>
      </c>
      <c r="X165">
        <v>28.7</v>
      </c>
      <c r="Y165" s="3">
        <v>16.399999999999999</v>
      </c>
      <c r="Z165">
        <v>54.7</v>
      </c>
      <c r="AA165">
        <v>4.2</v>
      </c>
      <c r="AB165">
        <v>2</v>
      </c>
      <c r="AC165">
        <v>25.6</v>
      </c>
      <c r="AD165">
        <v>0.3</v>
      </c>
      <c r="AE165">
        <f t="shared" si="42"/>
        <v>0.92138939670932363</v>
      </c>
      <c r="AF165">
        <f t="shared" si="43"/>
        <v>0.35100548446069468</v>
      </c>
      <c r="AG165" s="3">
        <v>27.3</v>
      </c>
      <c r="AH165">
        <v>21.3</v>
      </c>
      <c r="AI165" s="3">
        <v>91</v>
      </c>
    </row>
    <row r="166" spans="1:38" x14ac:dyDescent="0.5">
      <c r="A166" s="4">
        <v>300</v>
      </c>
      <c r="B166">
        <v>170</v>
      </c>
      <c r="C166">
        <v>0.1</v>
      </c>
      <c r="D166">
        <v>27.45</v>
      </c>
      <c r="E166">
        <v>500</v>
      </c>
      <c r="F166">
        <v>147.55000000000001</v>
      </c>
      <c r="G166" s="3">
        <f t="shared" si="79"/>
        <v>5.3752276867030968</v>
      </c>
      <c r="K166">
        <v>23.9</v>
      </c>
      <c r="L166">
        <v>2.7</v>
      </c>
      <c r="M166">
        <v>22</v>
      </c>
      <c r="O166">
        <v>78.400000000000006</v>
      </c>
      <c r="P166" s="3">
        <v>21.6</v>
      </c>
      <c r="Q166">
        <v>40.299999999999997</v>
      </c>
      <c r="R166">
        <v>4.5999999999999996</v>
      </c>
      <c r="S166">
        <v>2.1</v>
      </c>
      <c r="T166">
        <v>24</v>
      </c>
      <c r="U166">
        <v>0.3</v>
      </c>
      <c r="V166">
        <f t="shared" ref="V166:V175" si="84">(R166/1)/(Q166/12)</f>
        <v>1.369727047146402</v>
      </c>
      <c r="W166">
        <f t="shared" ref="W166:W175" si="85">(T166/16)/(Q166/12)</f>
        <v>0.44665012406947896</v>
      </c>
      <c r="X166">
        <v>28.7</v>
      </c>
      <c r="Y166" s="3">
        <v>16.399999999999999</v>
      </c>
      <c r="Z166">
        <v>55.1</v>
      </c>
      <c r="AA166">
        <v>4.0999999999999996</v>
      </c>
      <c r="AB166">
        <v>2</v>
      </c>
      <c r="AC166">
        <v>25.9</v>
      </c>
      <c r="AD166">
        <v>0.3</v>
      </c>
      <c r="AE166">
        <f t="shared" si="42"/>
        <v>0.89292196007259517</v>
      </c>
      <c r="AF166">
        <f t="shared" si="43"/>
        <v>0.35254083484573501</v>
      </c>
      <c r="AG166" s="3">
        <v>28</v>
      </c>
      <c r="AH166">
        <v>21.4</v>
      </c>
      <c r="AI166" s="3">
        <v>90</v>
      </c>
    </row>
    <row r="167" spans="1:38" x14ac:dyDescent="0.5">
      <c r="A167" s="4">
        <v>120</v>
      </c>
      <c r="B167">
        <v>190</v>
      </c>
      <c r="C167">
        <v>0.1</v>
      </c>
      <c r="D167">
        <v>27.45</v>
      </c>
      <c r="E167">
        <v>500</v>
      </c>
      <c r="F167">
        <v>147.55000000000001</v>
      </c>
      <c r="G167" s="3">
        <f t="shared" si="79"/>
        <v>5.3752276867030968</v>
      </c>
      <c r="K167">
        <v>23.9</v>
      </c>
      <c r="L167">
        <v>2.7</v>
      </c>
      <c r="M167">
        <v>22</v>
      </c>
      <c r="O167">
        <v>78.400000000000006</v>
      </c>
      <c r="P167" s="3">
        <v>21.6</v>
      </c>
      <c r="Q167">
        <v>40.299999999999997</v>
      </c>
      <c r="R167">
        <v>4.5999999999999996</v>
      </c>
      <c r="S167">
        <v>2.1</v>
      </c>
      <c r="T167">
        <v>24</v>
      </c>
      <c r="U167">
        <v>0.3</v>
      </c>
      <c r="V167">
        <f t="shared" si="84"/>
        <v>1.369727047146402</v>
      </c>
      <c r="W167">
        <f t="shared" si="85"/>
        <v>0.44665012406947896</v>
      </c>
      <c r="X167">
        <v>28.7</v>
      </c>
      <c r="Y167" s="3">
        <v>16.399999999999999</v>
      </c>
      <c r="Z167">
        <v>57</v>
      </c>
      <c r="AA167">
        <v>4</v>
      </c>
      <c r="AB167">
        <v>2.1</v>
      </c>
      <c r="AC167">
        <v>24.1</v>
      </c>
      <c r="AD167">
        <v>0.4</v>
      </c>
      <c r="AE167">
        <f t="shared" si="42"/>
        <v>0.84210526315789469</v>
      </c>
      <c r="AF167">
        <f t="shared" si="43"/>
        <v>0.31710526315789478</v>
      </c>
      <c r="AG167" s="3">
        <v>28.9</v>
      </c>
      <c r="AH167">
        <v>22.1</v>
      </c>
      <c r="AI167" s="3">
        <v>83.9</v>
      </c>
    </row>
    <row r="168" spans="1:38" x14ac:dyDescent="0.5">
      <c r="A168" s="4">
        <v>300</v>
      </c>
      <c r="B168">
        <v>190</v>
      </c>
      <c r="C168">
        <v>0.1</v>
      </c>
      <c r="D168">
        <v>27.45</v>
      </c>
      <c r="E168">
        <v>500</v>
      </c>
      <c r="F168">
        <v>147.55000000000001</v>
      </c>
      <c r="G168" s="3">
        <f t="shared" si="79"/>
        <v>5.3752276867030968</v>
      </c>
      <c r="K168">
        <v>23.9</v>
      </c>
      <c r="L168">
        <v>2.7</v>
      </c>
      <c r="M168">
        <v>22</v>
      </c>
      <c r="O168">
        <v>78.400000000000006</v>
      </c>
      <c r="P168" s="3">
        <v>21.6</v>
      </c>
      <c r="Q168">
        <v>40.299999999999997</v>
      </c>
      <c r="R168">
        <v>4.5999999999999996</v>
      </c>
      <c r="S168">
        <v>2.1</v>
      </c>
      <c r="T168">
        <v>24</v>
      </c>
      <c r="U168">
        <v>0.3</v>
      </c>
      <c r="V168">
        <f t="shared" si="84"/>
        <v>1.369727047146402</v>
      </c>
      <c r="W168">
        <f t="shared" si="85"/>
        <v>0.44665012406947896</v>
      </c>
      <c r="X168">
        <v>28.7</v>
      </c>
      <c r="Y168" s="3">
        <v>16.399999999999999</v>
      </c>
      <c r="Z168">
        <v>57</v>
      </c>
      <c r="AA168">
        <v>3.9</v>
      </c>
      <c r="AB168">
        <v>2.2000000000000002</v>
      </c>
      <c r="AC168">
        <v>24.1</v>
      </c>
      <c r="AD168">
        <v>0.3</v>
      </c>
      <c r="AE168">
        <f t="shared" si="42"/>
        <v>0.82105263157894737</v>
      </c>
      <c r="AF168">
        <f t="shared" si="43"/>
        <v>0.31710526315789478</v>
      </c>
      <c r="AG168" s="3">
        <v>29</v>
      </c>
      <c r="AH168">
        <v>22</v>
      </c>
      <c r="AI168" s="3">
        <v>82.1</v>
      </c>
    </row>
    <row r="169" spans="1:38" x14ac:dyDescent="0.5">
      <c r="A169" s="4">
        <v>120</v>
      </c>
      <c r="B169">
        <v>210</v>
      </c>
      <c r="C169">
        <v>0.1</v>
      </c>
      <c r="D169">
        <v>27.45</v>
      </c>
      <c r="E169">
        <v>500</v>
      </c>
      <c r="F169">
        <v>147.55000000000001</v>
      </c>
      <c r="G169" s="3">
        <f t="shared" si="79"/>
        <v>5.3752276867030968</v>
      </c>
      <c r="K169">
        <v>23.9</v>
      </c>
      <c r="L169">
        <v>2.7</v>
      </c>
      <c r="M169">
        <v>22</v>
      </c>
      <c r="O169">
        <v>78.400000000000006</v>
      </c>
      <c r="P169" s="3">
        <v>21.6</v>
      </c>
      <c r="Q169">
        <v>40.299999999999997</v>
      </c>
      <c r="R169">
        <v>4.5999999999999996</v>
      </c>
      <c r="S169">
        <v>2.1</v>
      </c>
      <c r="T169">
        <v>24</v>
      </c>
      <c r="U169">
        <v>0.3</v>
      </c>
      <c r="V169">
        <f t="shared" si="84"/>
        <v>1.369727047146402</v>
      </c>
      <c r="W169">
        <f t="shared" si="85"/>
        <v>0.44665012406947896</v>
      </c>
      <c r="X169">
        <v>28.7</v>
      </c>
      <c r="Y169" s="3">
        <v>16.399999999999999</v>
      </c>
      <c r="Z169">
        <v>59.2</v>
      </c>
      <c r="AA169">
        <v>3.9</v>
      </c>
      <c r="AB169">
        <v>2.2000000000000002</v>
      </c>
      <c r="AC169">
        <v>21.9</v>
      </c>
      <c r="AD169">
        <v>0.3</v>
      </c>
      <c r="AE169">
        <f t="shared" si="42"/>
        <v>0.79054054054054046</v>
      </c>
      <c r="AF169">
        <f t="shared" si="43"/>
        <v>0.27744932432432429</v>
      </c>
      <c r="AG169" s="3">
        <v>30.4</v>
      </c>
      <c r="AH169">
        <v>23.1</v>
      </c>
      <c r="AI169" s="3">
        <v>77.599999999999994</v>
      </c>
    </row>
    <row r="170" spans="1:38" x14ac:dyDescent="0.5">
      <c r="A170" s="4">
        <v>300</v>
      </c>
      <c r="B170">
        <v>210</v>
      </c>
      <c r="C170">
        <v>0.1</v>
      </c>
      <c r="D170">
        <v>27.45</v>
      </c>
      <c r="E170">
        <v>500</v>
      </c>
      <c r="F170">
        <v>147.55000000000001</v>
      </c>
      <c r="G170" s="3">
        <f t="shared" si="79"/>
        <v>5.3752276867030968</v>
      </c>
      <c r="K170">
        <v>23.9</v>
      </c>
      <c r="L170">
        <v>2.7</v>
      </c>
      <c r="M170">
        <v>22</v>
      </c>
      <c r="O170">
        <v>78.400000000000006</v>
      </c>
      <c r="P170" s="3">
        <v>21.6</v>
      </c>
      <c r="Q170">
        <v>40.299999999999997</v>
      </c>
      <c r="R170">
        <v>4.5999999999999996</v>
      </c>
      <c r="S170">
        <v>2.1</v>
      </c>
      <c r="T170">
        <v>24</v>
      </c>
      <c r="U170">
        <v>0.3</v>
      </c>
      <c r="V170">
        <f t="shared" si="84"/>
        <v>1.369727047146402</v>
      </c>
      <c r="W170">
        <f t="shared" si="85"/>
        <v>0.44665012406947896</v>
      </c>
      <c r="X170">
        <v>28.7</v>
      </c>
      <c r="Y170" s="3">
        <v>16.399999999999999</v>
      </c>
      <c r="Z170">
        <v>61.3</v>
      </c>
      <c r="AA170">
        <v>3.8</v>
      </c>
      <c r="AB170">
        <v>2.2999999999999998</v>
      </c>
      <c r="AC170">
        <v>20.2</v>
      </c>
      <c r="AD170">
        <v>0.3</v>
      </c>
      <c r="AE170">
        <f t="shared" si="42"/>
        <v>0.74388254486133765</v>
      </c>
      <c r="AF170">
        <f t="shared" si="43"/>
        <v>0.24714518760195758</v>
      </c>
      <c r="AG170" s="3">
        <v>30.9</v>
      </c>
      <c r="AH170">
        <v>24</v>
      </c>
      <c r="AI170" s="3">
        <v>74.7</v>
      </c>
    </row>
    <row r="171" spans="1:38" x14ac:dyDescent="0.5">
      <c r="A171" s="4">
        <v>120</v>
      </c>
      <c r="B171">
        <v>230</v>
      </c>
      <c r="C171">
        <v>0.1</v>
      </c>
      <c r="D171">
        <v>27.45</v>
      </c>
      <c r="E171">
        <v>500</v>
      </c>
      <c r="F171">
        <v>147.55000000000001</v>
      </c>
      <c r="G171" s="3">
        <f t="shared" si="79"/>
        <v>5.3752276867030968</v>
      </c>
      <c r="K171">
        <v>23.9</v>
      </c>
      <c r="L171">
        <v>2.7</v>
      </c>
      <c r="M171">
        <v>22</v>
      </c>
      <c r="O171">
        <v>78.400000000000006</v>
      </c>
      <c r="P171" s="3">
        <v>21.6</v>
      </c>
      <c r="Q171">
        <v>40.299999999999997</v>
      </c>
      <c r="R171">
        <v>4.5999999999999996</v>
      </c>
      <c r="S171">
        <v>2.1</v>
      </c>
      <c r="T171">
        <v>24</v>
      </c>
      <c r="U171">
        <v>0.3</v>
      </c>
      <c r="V171">
        <f t="shared" si="84"/>
        <v>1.369727047146402</v>
      </c>
      <c r="W171">
        <f t="shared" si="85"/>
        <v>0.44665012406947896</v>
      </c>
      <c r="X171">
        <v>28.7</v>
      </c>
      <c r="Y171" s="3">
        <v>16.399999999999999</v>
      </c>
      <c r="Z171">
        <v>60.6</v>
      </c>
      <c r="AA171">
        <v>3.5</v>
      </c>
      <c r="AB171">
        <v>2.4</v>
      </c>
      <c r="AC171">
        <v>20.399999999999999</v>
      </c>
      <c r="AD171">
        <v>0.3</v>
      </c>
      <c r="AE171">
        <f t="shared" si="42"/>
        <v>0.69306930693069313</v>
      </c>
      <c r="AF171">
        <f t="shared" si="43"/>
        <v>0.25247524752475248</v>
      </c>
      <c r="AG171" s="3">
        <v>32.6</v>
      </c>
      <c r="AH171">
        <v>23.2</v>
      </c>
      <c r="AI171" s="3">
        <v>67.900000000000006</v>
      </c>
    </row>
    <row r="172" spans="1:38" x14ac:dyDescent="0.5">
      <c r="A172" s="4">
        <v>300</v>
      </c>
      <c r="B172">
        <v>230</v>
      </c>
      <c r="C172">
        <v>0.1</v>
      </c>
      <c r="D172">
        <v>27.45</v>
      </c>
      <c r="E172">
        <v>500</v>
      </c>
      <c r="F172">
        <v>147.55000000000001</v>
      </c>
      <c r="G172" s="3">
        <f t="shared" si="79"/>
        <v>5.3752276867030968</v>
      </c>
      <c r="K172">
        <v>23.9</v>
      </c>
      <c r="L172">
        <v>2.7</v>
      </c>
      <c r="M172">
        <v>22</v>
      </c>
      <c r="O172">
        <v>78.400000000000006</v>
      </c>
      <c r="P172" s="3">
        <v>21.6</v>
      </c>
      <c r="Q172">
        <v>40.299999999999997</v>
      </c>
      <c r="R172">
        <v>4.5999999999999996</v>
      </c>
      <c r="S172">
        <v>2.1</v>
      </c>
      <c r="T172">
        <v>24</v>
      </c>
      <c r="U172">
        <v>0.3</v>
      </c>
      <c r="V172">
        <f t="shared" si="84"/>
        <v>1.369727047146402</v>
      </c>
      <c r="W172">
        <f t="shared" si="85"/>
        <v>0.44665012406947896</v>
      </c>
      <c r="X172">
        <v>28.7</v>
      </c>
      <c r="Y172" s="3">
        <v>16.399999999999999</v>
      </c>
      <c r="Z172">
        <v>64.400000000000006</v>
      </c>
      <c r="AA172">
        <v>3.4</v>
      </c>
      <c r="AB172">
        <v>2.6</v>
      </c>
      <c r="AC172">
        <v>16.8</v>
      </c>
      <c r="AD172">
        <v>0.4</v>
      </c>
      <c r="AE172">
        <f t="shared" si="42"/>
        <v>0.63354037267080743</v>
      </c>
      <c r="AF172">
        <f t="shared" si="43"/>
        <v>0.19565217391304346</v>
      </c>
      <c r="AG172" s="3">
        <v>34.799999999999997</v>
      </c>
      <c r="AH172">
        <v>24.9</v>
      </c>
      <c r="AI172" s="3">
        <v>60.4</v>
      </c>
    </row>
    <row r="173" spans="1:38" x14ac:dyDescent="0.5">
      <c r="A173" s="4">
        <v>120</v>
      </c>
      <c r="B173">
        <v>250</v>
      </c>
      <c r="C173">
        <v>0.1</v>
      </c>
      <c r="D173">
        <v>27.45</v>
      </c>
      <c r="E173">
        <v>500</v>
      </c>
      <c r="F173">
        <v>147.55000000000001</v>
      </c>
      <c r="G173" s="3">
        <f t="shared" si="79"/>
        <v>5.3752276867030968</v>
      </c>
      <c r="K173">
        <v>23.9</v>
      </c>
      <c r="L173">
        <v>2.7</v>
      </c>
      <c r="M173">
        <v>22</v>
      </c>
      <c r="O173">
        <v>78.400000000000006</v>
      </c>
      <c r="P173" s="3">
        <v>21.6</v>
      </c>
      <c r="Q173">
        <v>40.299999999999997</v>
      </c>
      <c r="R173">
        <v>4.5999999999999996</v>
      </c>
      <c r="S173">
        <v>2.1</v>
      </c>
      <c r="T173">
        <v>24</v>
      </c>
      <c r="U173">
        <v>0.3</v>
      </c>
      <c r="V173">
        <f t="shared" si="84"/>
        <v>1.369727047146402</v>
      </c>
      <c r="W173">
        <f t="shared" si="85"/>
        <v>0.44665012406947896</v>
      </c>
      <c r="X173">
        <v>28.7</v>
      </c>
      <c r="Y173" s="3">
        <v>16.399999999999999</v>
      </c>
      <c r="Z173">
        <v>65.5</v>
      </c>
      <c r="AA173">
        <v>3.2</v>
      </c>
      <c r="AB173">
        <v>2.5</v>
      </c>
      <c r="AC173">
        <v>15.8</v>
      </c>
      <c r="AD173">
        <v>0.3</v>
      </c>
      <c r="AE173">
        <f t="shared" si="42"/>
        <v>0.58625954198473285</v>
      </c>
      <c r="AF173">
        <f t="shared" si="43"/>
        <v>0.18091603053435115</v>
      </c>
      <c r="AG173" s="3">
        <v>36.5</v>
      </c>
      <c r="AH173">
        <v>25.1</v>
      </c>
      <c r="AI173" s="3">
        <v>54.6</v>
      </c>
    </row>
    <row r="174" spans="1:38" x14ac:dyDescent="0.5">
      <c r="A174" s="4">
        <v>300</v>
      </c>
      <c r="B174">
        <v>250</v>
      </c>
      <c r="C174">
        <v>0.1</v>
      </c>
      <c r="D174">
        <v>27.45</v>
      </c>
      <c r="E174">
        <v>500</v>
      </c>
      <c r="F174">
        <v>147.55000000000001</v>
      </c>
      <c r="G174" s="3">
        <f t="shared" si="79"/>
        <v>5.3752276867030968</v>
      </c>
      <c r="K174">
        <v>23.9</v>
      </c>
      <c r="L174">
        <v>2.7</v>
      </c>
      <c r="M174">
        <v>22</v>
      </c>
      <c r="O174">
        <v>78.400000000000006</v>
      </c>
      <c r="P174" s="3">
        <v>21.6</v>
      </c>
      <c r="Q174">
        <v>40.299999999999997</v>
      </c>
      <c r="R174">
        <v>4.5999999999999996</v>
      </c>
      <c r="S174">
        <v>2.1</v>
      </c>
      <c r="T174">
        <v>24</v>
      </c>
      <c r="U174">
        <v>0.3</v>
      </c>
      <c r="V174">
        <f t="shared" si="84"/>
        <v>1.369727047146402</v>
      </c>
      <c r="W174">
        <f t="shared" si="85"/>
        <v>0.44665012406947896</v>
      </c>
      <c r="X174">
        <v>28.7</v>
      </c>
      <c r="Y174" s="3">
        <v>16.399999999999999</v>
      </c>
      <c r="Z174">
        <v>67.5</v>
      </c>
      <c r="AA174">
        <v>3.1</v>
      </c>
      <c r="AB174">
        <v>2.8</v>
      </c>
      <c r="AC174">
        <v>14</v>
      </c>
      <c r="AD174">
        <v>0.3</v>
      </c>
      <c r="AE174">
        <f t="shared" si="42"/>
        <v>0.55111111111111111</v>
      </c>
      <c r="AF174">
        <f t="shared" si="43"/>
        <v>0.15555555555555556</v>
      </c>
      <c r="AG174" s="3">
        <v>37.799999999999997</v>
      </c>
      <c r="AH174">
        <v>25.9</v>
      </c>
      <c r="AI174" s="3">
        <v>51.1</v>
      </c>
    </row>
    <row r="175" spans="1:38" x14ac:dyDescent="0.5">
      <c r="A175" s="4">
        <v>120</v>
      </c>
      <c r="B175">
        <v>180</v>
      </c>
      <c r="C175">
        <v>0.1</v>
      </c>
      <c r="D175">
        <v>17.5</v>
      </c>
      <c r="E175">
        <v>1000</v>
      </c>
      <c r="F175">
        <v>262.5</v>
      </c>
      <c r="G175" s="3">
        <f t="shared" si="79"/>
        <v>15</v>
      </c>
      <c r="N175">
        <v>90</v>
      </c>
      <c r="Q175">
        <v>48.4</v>
      </c>
      <c r="R175">
        <v>6.5</v>
      </c>
      <c r="S175">
        <v>1</v>
      </c>
      <c r="T175">
        <v>43.9</v>
      </c>
      <c r="U175">
        <v>0.2</v>
      </c>
      <c r="V175">
        <f t="shared" si="84"/>
        <v>1.6115702479338843</v>
      </c>
      <c r="W175">
        <f t="shared" si="85"/>
        <v>0.68026859504132231</v>
      </c>
      <c r="X175">
        <v>16</v>
      </c>
      <c r="Y175" s="3">
        <v>20.100000000000001</v>
      </c>
      <c r="Z175">
        <v>56.9</v>
      </c>
      <c r="AA175">
        <v>5.4</v>
      </c>
      <c r="AB175">
        <v>1.1000000000000001</v>
      </c>
      <c r="AC175">
        <v>36.4</v>
      </c>
      <c r="AD175">
        <v>0.1</v>
      </c>
      <c r="AE175">
        <f t="shared" si="42"/>
        <v>1.13884007029877</v>
      </c>
      <c r="AF175">
        <f t="shared" si="43"/>
        <v>0.47978910369068545</v>
      </c>
      <c r="AG175" s="3">
        <v>19.3</v>
      </c>
      <c r="AH175">
        <v>22.2</v>
      </c>
      <c r="AI175" s="3">
        <v>59.6</v>
      </c>
      <c r="AJ175" s="2" t="s">
        <v>72</v>
      </c>
      <c r="AK175" t="s">
        <v>73</v>
      </c>
      <c r="AL175">
        <v>19</v>
      </c>
    </row>
    <row r="176" spans="1:38" x14ac:dyDescent="0.5">
      <c r="A176" s="4">
        <v>240</v>
      </c>
      <c r="B176">
        <v>180</v>
      </c>
      <c r="C176">
        <v>0.1</v>
      </c>
      <c r="D176">
        <v>17.5</v>
      </c>
      <c r="E176">
        <v>1000</v>
      </c>
      <c r="F176">
        <v>262.5</v>
      </c>
      <c r="G176" s="3">
        <f t="shared" ref="G176:G195" si="86">F176/D176</f>
        <v>15</v>
      </c>
      <c r="N176">
        <v>90</v>
      </c>
      <c r="Q176">
        <v>48.4</v>
      </c>
      <c r="R176">
        <v>6.5</v>
      </c>
      <c r="S176">
        <v>1</v>
      </c>
      <c r="T176">
        <v>43.9</v>
      </c>
      <c r="U176">
        <v>0.2</v>
      </c>
      <c r="V176">
        <f t="shared" ref="V176:V196" si="87">(R176/1)/(Q176/12)</f>
        <v>1.6115702479338843</v>
      </c>
      <c r="W176">
        <f t="shared" ref="W176:W196" si="88">(T176/16)/(Q176/12)</f>
        <v>0.68026859504132231</v>
      </c>
      <c r="X176">
        <v>16</v>
      </c>
      <c r="Y176" s="3">
        <v>20.100000000000001</v>
      </c>
      <c r="Z176">
        <v>56.6</v>
      </c>
      <c r="AA176">
        <v>4.7</v>
      </c>
      <c r="AB176">
        <v>0.9</v>
      </c>
      <c r="AC176">
        <v>37.700000000000003</v>
      </c>
      <c r="AD176">
        <v>0.1</v>
      </c>
      <c r="AE176">
        <f t="shared" si="42"/>
        <v>0.99646643109540634</v>
      </c>
      <c r="AF176">
        <f t="shared" si="43"/>
        <v>0.49955830388692585</v>
      </c>
      <c r="AG176" s="3">
        <v>29.4</v>
      </c>
      <c r="AH176">
        <v>20.9</v>
      </c>
      <c r="AI176" s="3">
        <v>74.599999999999994</v>
      </c>
    </row>
    <row r="177" spans="1:35" x14ac:dyDescent="0.5">
      <c r="A177" s="4">
        <v>360</v>
      </c>
      <c r="B177">
        <v>180</v>
      </c>
      <c r="C177">
        <v>0.1</v>
      </c>
      <c r="D177">
        <v>17.5</v>
      </c>
      <c r="E177">
        <v>1000</v>
      </c>
      <c r="F177">
        <v>262.5</v>
      </c>
      <c r="G177" s="3">
        <f t="shared" si="86"/>
        <v>15</v>
      </c>
      <c r="N177">
        <v>90</v>
      </c>
      <c r="Q177">
        <v>48.4</v>
      </c>
      <c r="R177">
        <v>6.5</v>
      </c>
      <c r="S177">
        <v>1</v>
      </c>
      <c r="T177">
        <v>43.9</v>
      </c>
      <c r="U177">
        <v>0.2</v>
      </c>
      <c r="V177">
        <f t="shared" si="87"/>
        <v>1.6115702479338843</v>
      </c>
      <c r="W177">
        <f t="shared" si="88"/>
        <v>0.68026859504132231</v>
      </c>
      <c r="X177">
        <v>16</v>
      </c>
      <c r="Y177" s="3">
        <v>20.100000000000001</v>
      </c>
      <c r="Z177">
        <v>55.8</v>
      </c>
      <c r="AA177">
        <v>4.8</v>
      </c>
      <c r="AB177">
        <v>0.9</v>
      </c>
      <c r="AC177">
        <v>38.4</v>
      </c>
      <c r="AD177">
        <v>0.1</v>
      </c>
      <c r="AE177">
        <f t="shared" si="42"/>
        <v>1.032258064516129</v>
      </c>
      <c r="AF177">
        <f t="shared" si="43"/>
        <v>0.5161290322580645</v>
      </c>
      <c r="AG177" s="3">
        <v>26.4</v>
      </c>
      <c r="AH177">
        <v>20.7</v>
      </c>
      <c r="AI177" s="3">
        <v>69.8</v>
      </c>
    </row>
    <row r="178" spans="1:35" x14ac:dyDescent="0.5">
      <c r="A178" s="4">
        <v>480</v>
      </c>
      <c r="B178">
        <v>180</v>
      </c>
      <c r="C178">
        <v>0.1</v>
      </c>
      <c r="D178">
        <v>17.5</v>
      </c>
      <c r="E178">
        <v>1000</v>
      </c>
      <c r="F178">
        <v>262.5</v>
      </c>
      <c r="G178" s="3">
        <f t="shared" si="86"/>
        <v>15</v>
      </c>
      <c r="N178">
        <v>90</v>
      </c>
      <c r="Q178">
        <v>48.4</v>
      </c>
      <c r="R178">
        <v>6.5</v>
      </c>
      <c r="S178">
        <v>1</v>
      </c>
      <c r="T178">
        <v>43.9</v>
      </c>
      <c r="U178">
        <v>0.2</v>
      </c>
      <c r="V178">
        <f t="shared" si="87"/>
        <v>1.6115702479338843</v>
      </c>
      <c r="W178">
        <f t="shared" si="88"/>
        <v>0.68026859504132231</v>
      </c>
      <c r="X178">
        <v>16</v>
      </c>
      <c r="Y178" s="3">
        <v>20.100000000000001</v>
      </c>
      <c r="Z178">
        <v>57.3</v>
      </c>
      <c r="AA178">
        <v>5</v>
      </c>
      <c r="AB178">
        <v>1</v>
      </c>
      <c r="AC178">
        <v>36.6</v>
      </c>
      <c r="AD178">
        <v>0.1</v>
      </c>
      <c r="AE178">
        <f t="shared" si="42"/>
        <v>1.0471204188481678</v>
      </c>
      <c r="AF178">
        <f t="shared" si="43"/>
        <v>0.47905759162303674</v>
      </c>
      <c r="AG178" s="3">
        <v>25.1</v>
      </c>
      <c r="AH178">
        <v>21.7</v>
      </c>
      <c r="AI178" s="3">
        <v>73.599999999999994</v>
      </c>
    </row>
    <row r="179" spans="1:35" x14ac:dyDescent="0.5">
      <c r="A179" s="4">
        <v>120</v>
      </c>
      <c r="B179">
        <v>200</v>
      </c>
      <c r="C179">
        <v>0.1</v>
      </c>
      <c r="D179">
        <v>17.5</v>
      </c>
      <c r="E179">
        <v>1000</v>
      </c>
      <c r="F179">
        <v>262.5</v>
      </c>
      <c r="G179" s="3">
        <f t="shared" si="86"/>
        <v>15</v>
      </c>
      <c r="N179">
        <v>90</v>
      </c>
      <c r="Q179">
        <v>48.4</v>
      </c>
      <c r="R179">
        <v>6.5</v>
      </c>
      <c r="S179">
        <v>1</v>
      </c>
      <c r="T179">
        <v>43.9</v>
      </c>
      <c r="U179">
        <v>0.2</v>
      </c>
      <c r="V179">
        <f t="shared" si="87"/>
        <v>1.6115702479338843</v>
      </c>
      <c r="W179">
        <f t="shared" si="88"/>
        <v>0.68026859504132231</v>
      </c>
      <c r="X179">
        <v>16</v>
      </c>
      <c r="Y179" s="3">
        <v>20.100000000000001</v>
      </c>
      <c r="Z179">
        <v>56.6</v>
      </c>
      <c r="AA179">
        <v>5.2</v>
      </c>
      <c r="AB179">
        <v>1</v>
      </c>
      <c r="AC179">
        <v>37</v>
      </c>
      <c r="AD179">
        <v>0.1</v>
      </c>
      <c r="AE179">
        <f t="shared" si="42"/>
        <v>1.1024734982332156</v>
      </c>
      <c r="AF179">
        <f t="shared" si="43"/>
        <v>0.49028268551236748</v>
      </c>
      <c r="AG179" s="3">
        <v>19.8</v>
      </c>
      <c r="AH179">
        <v>21.7</v>
      </c>
      <c r="AI179" s="3">
        <v>58.7</v>
      </c>
    </row>
    <row r="180" spans="1:35" x14ac:dyDescent="0.5">
      <c r="A180" s="4">
        <v>240</v>
      </c>
      <c r="B180">
        <v>200</v>
      </c>
      <c r="C180">
        <v>0.1</v>
      </c>
      <c r="D180">
        <v>17.5</v>
      </c>
      <c r="E180">
        <v>1000</v>
      </c>
      <c r="F180">
        <v>262.5</v>
      </c>
      <c r="G180" s="3">
        <f t="shared" si="86"/>
        <v>15</v>
      </c>
      <c r="N180">
        <v>90</v>
      </c>
      <c r="Q180">
        <v>48.4</v>
      </c>
      <c r="R180">
        <v>6.5</v>
      </c>
      <c r="S180">
        <v>1</v>
      </c>
      <c r="T180">
        <v>43.9</v>
      </c>
      <c r="U180">
        <v>0.2</v>
      </c>
      <c r="V180">
        <f t="shared" si="87"/>
        <v>1.6115702479338843</v>
      </c>
      <c r="W180">
        <f t="shared" si="88"/>
        <v>0.68026859504132231</v>
      </c>
      <c r="X180">
        <v>16</v>
      </c>
      <c r="Y180" s="3">
        <v>20.100000000000001</v>
      </c>
      <c r="Z180">
        <v>59.3</v>
      </c>
      <c r="AA180">
        <v>5.9</v>
      </c>
      <c r="AB180">
        <v>1</v>
      </c>
      <c r="AC180">
        <v>33.6</v>
      </c>
      <c r="AD180">
        <v>0.1</v>
      </c>
      <c r="AE180">
        <f t="shared" si="42"/>
        <v>1.1939291736930862</v>
      </c>
      <c r="AF180">
        <f t="shared" si="43"/>
        <v>0.4249578414839798</v>
      </c>
      <c r="AG180" s="3">
        <v>24.7</v>
      </c>
      <c r="AH180">
        <v>24</v>
      </c>
      <c r="AI180" s="3">
        <v>63.6</v>
      </c>
    </row>
    <row r="181" spans="1:35" x14ac:dyDescent="0.5">
      <c r="A181" s="4">
        <v>360</v>
      </c>
      <c r="B181">
        <v>200</v>
      </c>
      <c r="C181">
        <v>0.1</v>
      </c>
      <c r="D181">
        <v>17.5</v>
      </c>
      <c r="E181">
        <v>1000</v>
      </c>
      <c r="F181">
        <v>262.5</v>
      </c>
      <c r="G181" s="3">
        <f t="shared" si="86"/>
        <v>15</v>
      </c>
      <c r="N181">
        <v>90</v>
      </c>
      <c r="Q181">
        <v>48.4</v>
      </c>
      <c r="R181">
        <v>6.5</v>
      </c>
      <c r="S181">
        <v>1</v>
      </c>
      <c r="T181">
        <v>43.9</v>
      </c>
      <c r="U181">
        <v>0.2</v>
      </c>
      <c r="V181">
        <f t="shared" si="87"/>
        <v>1.6115702479338843</v>
      </c>
      <c r="W181">
        <f t="shared" si="88"/>
        <v>0.68026859504132231</v>
      </c>
      <c r="X181">
        <v>16</v>
      </c>
      <c r="Y181" s="3">
        <v>20.100000000000001</v>
      </c>
      <c r="Z181">
        <v>57.4</v>
      </c>
      <c r="AA181">
        <v>5.0999999999999996</v>
      </c>
      <c r="AB181">
        <v>1</v>
      </c>
      <c r="AC181">
        <v>36.299999999999997</v>
      </c>
      <c r="AD181">
        <v>0.2</v>
      </c>
      <c r="AE181">
        <f t="shared" si="42"/>
        <v>1.0662020905923344</v>
      </c>
      <c r="AF181">
        <f t="shared" si="43"/>
        <v>0.4743031358885017</v>
      </c>
      <c r="AG181" s="3">
        <v>24.2</v>
      </c>
      <c r="AH181">
        <v>22</v>
      </c>
      <c r="AI181" s="3">
        <v>63.5</v>
      </c>
    </row>
    <row r="182" spans="1:35" x14ac:dyDescent="0.5">
      <c r="A182" s="4">
        <v>480</v>
      </c>
      <c r="B182">
        <v>200</v>
      </c>
      <c r="C182">
        <v>0.1</v>
      </c>
      <c r="D182">
        <v>17.5</v>
      </c>
      <c r="E182">
        <v>1000</v>
      </c>
      <c r="F182">
        <v>262.5</v>
      </c>
      <c r="G182" s="3">
        <f t="shared" si="86"/>
        <v>15</v>
      </c>
      <c r="N182">
        <v>90</v>
      </c>
      <c r="Q182">
        <v>48.4</v>
      </c>
      <c r="R182">
        <v>6.5</v>
      </c>
      <c r="S182">
        <v>1</v>
      </c>
      <c r="T182">
        <v>43.9</v>
      </c>
      <c r="U182">
        <v>0.2</v>
      </c>
      <c r="V182">
        <f t="shared" si="87"/>
        <v>1.6115702479338843</v>
      </c>
      <c r="W182">
        <f t="shared" si="88"/>
        <v>0.68026859504132231</v>
      </c>
      <c r="X182">
        <v>16</v>
      </c>
      <c r="Y182" s="3">
        <v>20.100000000000001</v>
      </c>
      <c r="Z182">
        <v>58.7</v>
      </c>
      <c r="AA182">
        <v>5.4</v>
      </c>
      <c r="AB182">
        <v>1.2</v>
      </c>
      <c r="AC182">
        <v>34.6</v>
      </c>
      <c r="AD182">
        <v>0.2</v>
      </c>
      <c r="AE182">
        <f t="shared" si="42"/>
        <v>1.1039182282793869</v>
      </c>
      <c r="AF182">
        <f t="shared" si="43"/>
        <v>0.44207836456558774</v>
      </c>
      <c r="AG182" s="3">
        <v>21.6</v>
      </c>
      <c r="AH182">
        <v>22.9</v>
      </c>
      <c r="AI182" s="3">
        <v>57</v>
      </c>
    </row>
    <row r="183" spans="1:35" x14ac:dyDescent="0.5">
      <c r="A183" s="4">
        <v>120</v>
      </c>
      <c r="B183">
        <v>220</v>
      </c>
      <c r="C183">
        <v>0.1</v>
      </c>
      <c r="D183">
        <v>17.5</v>
      </c>
      <c r="E183">
        <v>1000</v>
      </c>
      <c r="F183">
        <v>262.5</v>
      </c>
      <c r="G183" s="3">
        <f t="shared" si="86"/>
        <v>15</v>
      </c>
      <c r="N183">
        <v>90</v>
      </c>
      <c r="Q183">
        <v>48.4</v>
      </c>
      <c r="R183">
        <v>6.5</v>
      </c>
      <c r="S183">
        <v>1</v>
      </c>
      <c r="T183">
        <v>43.9</v>
      </c>
      <c r="U183">
        <v>0.2</v>
      </c>
      <c r="V183">
        <f t="shared" si="87"/>
        <v>1.6115702479338843</v>
      </c>
      <c r="W183">
        <f t="shared" si="88"/>
        <v>0.68026859504132231</v>
      </c>
      <c r="X183">
        <v>16</v>
      </c>
      <c r="Y183" s="3">
        <v>20.100000000000001</v>
      </c>
      <c r="Z183">
        <v>59.9</v>
      </c>
      <c r="AA183">
        <v>5.3</v>
      </c>
      <c r="AB183">
        <v>1.2</v>
      </c>
      <c r="AC183">
        <v>33.4</v>
      </c>
      <c r="AD183">
        <v>0.2</v>
      </c>
      <c r="AE183">
        <f t="shared" si="42"/>
        <v>1.0617696160267112</v>
      </c>
      <c r="AF183">
        <f t="shared" si="43"/>
        <v>0.41819699499165275</v>
      </c>
      <c r="AG183" s="3">
        <v>21.4</v>
      </c>
      <c r="AH183">
        <v>23.4</v>
      </c>
      <c r="AI183" s="3">
        <v>55.3</v>
      </c>
    </row>
    <row r="184" spans="1:35" x14ac:dyDescent="0.5">
      <c r="A184" s="4">
        <v>240</v>
      </c>
      <c r="B184">
        <v>220</v>
      </c>
      <c r="C184">
        <v>0.1</v>
      </c>
      <c r="D184">
        <v>17.5</v>
      </c>
      <c r="E184">
        <v>1000</v>
      </c>
      <c r="F184">
        <v>262.5</v>
      </c>
      <c r="G184" s="3">
        <f t="shared" si="86"/>
        <v>15</v>
      </c>
      <c r="N184">
        <v>90</v>
      </c>
      <c r="Q184">
        <v>48.4</v>
      </c>
      <c r="R184">
        <v>6.5</v>
      </c>
      <c r="S184">
        <v>1</v>
      </c>
      <c r="T184">
        <v>43.9</v>
      </c>
      <c r="U184">
        <v>0.2</v>
      </c>
      <c r="V184">
        <f t="shared" si="87"/>
        <v>1.6115702479338843</v>
      </c>
      <c r="W184">
        <f t="shared" si="88"/>
        <v>0.68026859504132231</v>
      </c>
      <c r="X184">
        <v>16</v>
      </c>
      <c r="Y184" s="3">
        <v>20.100000000000001</v>
      </c>
      <c r="Z184">
        <v>64</v>
      </c>
      <c r="AA184">
        <v>5.5</v>
      </c>
      <c r="AB184">
        <v>1.5</v>
      </c>
      <c r="AC184">
        <v>28.8</v>
      </c>
      <c r="AD184">
        <v>0.2</v>
      </c>
      <c r="AE184">
        <f t="shared" si="42"/>
        <v>1.03125</v>
      </c>
      <c r="AF184">
        <f t="shared" si="43"/>
        <v>0.33750000000000002</v>
      </c>
      <c r="AG184" s="3">
        <v>19.399999999999999</v>
      </c>
      <c r="AH184">
        <v>25.5</v>
      </c>
      <c r="AI184" s="3">
        <v>48.8</v>
      </c>
    </row>
    <row r="185" spans="1:35" x14ac:dyDescent="0.5">
      <c r="A185" s="4">
        <v>360</v>
      </c>
      <c r="B185">
        <v>220</v>
      </c>
      <c r="C185">
        <v>0.1</v>
      </c>
      <c r="D185">
        <v>17.5</v>
      </c>
      <c r="E185">
        <v>1000</v>
      </c>
      <c r="F185">
        <v>262.5</v>
      </c>
      <c r="G185" s="3">
        <f t="shared" si="86"/>
        <v>15</v>
      </c>
      <c r="N185">
        <v>90</v>
      </c>
      <c r="Q185">
        <v>48.4</v>
      </c>
      <c r="R185">
        <v>6.5</v>
      </c>
      <c r="S185">
        <v>1</v>
      </c>
      <c r="T185">
        <v>43.9</v>
      </c>
      <c r="U185">
        <v>0.2</v>
      </c>
      <c r="V185">
        <f t="shared" si="87"/>
        <v>1.6115702479338843</v>
      </c>
      <c r="W185">
        <f t="shared" si="88"/>
        <v>0.68026859504132231</v>
      </c>
      <c r="X185">
        <v>16</v>
      </c>
      <c r="Y185" s="3">
        <v>20.100000000000001</v>
      </c>
      <c r="Z185">
        <v>67.2</v>
      </c>
      <c r="AA185">
        <v>5.0999999999999996</v>
      </c>
      <c r="AB185">
        <v>1.4</v>
      </c>
      <c r="AC185">
        <v>26.1</v>
      </c>
      <c r="AD185">
        <v>0.2</v>
      </c>
      <c r="AE185">
        <f t="shared" si="42"/>
        <v>0.91071428571428559</v>
      </c>
      <c r="AF185">
        <f t="shared" si="43"/>
        <v>0.29129464285714285</v>
      </c>
      <c r="AG185" s="3">
        <v>26.8</v>
      </c>
      <c r="AH185">
        <v>26.3</v>
      </c>
      <c r="AI185" s="3">
        <v>57.9</v>
      </c>
    </row>
    <row r="186" spans="1:35" x14ac:dyDescent="0.5">
      <c r="A186" s="4">
        <v>480</v>
      </c>
      <c r="B186">
        <v>220</v>
      </c>
      <c r="C186">
        <v>0.1</v>
      </c>
      <c r="D186">
        <v>17.5</v>
      </c>
      <c r="E186">
        <v>1000</v>
      </c>
      <c r="F186">
        <v>262.5</v>
      </c>
      <c r="G186" s="3">
        <f t="shared" si="86"/>
        <v>15</v>
      </c>
      <c r="N186">
        <v>90</v>
      </c>
      <c r="Q186">
        <v>48.4</v>
      </c>
      <c r="R186">
        <v>6.5</v>
      </c>
      <c r="S186">
        <v>1</v>
      </c>
      <c r="T186">
        <v>43.9</v>
      </c>
      <c r="U186">
        <v>0.2</v>
      </c>
      <c r="V186">
        <f t="shared" si="87"/>
        <v>1.6115702479338843</v>
      </c>
      <c r="W186">
        <f t="shared" si="88"/>
        <v>0.68026859504132231</v>
      </c>
      <c r="X186">
        <v>16</v>
      </c>
      <c r="Y186" s="3">
        <v>20.100000000000001</v>
      </c>
      <c r="Z186">
        <v>70.3</v>
      </c>
      <c r="AA186">
        <v>5.0999999999999996</v>
      </c>
      <c r="AB186">
        <v>1.5</v>
      </c>
      <c r="AC186">
        <v>22.9</v>
      </c>
      <c r="AD186">
        <v>0.2</v>
      </c>
      <c r="AE186">
        <f t="shared" si="42"/>
        <v>0.87055476529160736</v>
      </c>
      <c r="AF186">
        <f t="shared" si="43"/>
        <v>0.24431009957325744</v>
      </c>
      <c r="AG186" s="3">
        <v>24.6</v>
      </c>
      <c r="AH186">
        <v>27.7</v>
      </c>
      <c r="AI186" s="3">
        <v>53.3</v>
      </c>
    </row>
    <row r="187" spans="1:35" x14ac:dyDescent="0.5">
      <c r="A187" s="4">
        <v>120</v>
      </c>
      <c r="B187">
        <v>240</v>
      </c>
      <c r="C187">
        <v>0.1</v>
      </c>
      <c r="D187">
        <v>17.5</v>
      </c>
      <c r="E187">
        <v>1000</v>
      </c>
      <c r="F187">
        <v>262.5</v>
      </c>
      <c r="G187" s="3">
        <f t="shared" si="86"/>
        <v>15</v>
      </c>
      <c r="N187">
        <v>90</v>
      </c>
      <c r="Q187">
        <v>48.4</v>
      </c>
      <c r="R187">
        <v>6.5</v>
      </c>
      <c r="S187">
        <v>1</v>
      </c>
      <c r="T187">
        <v>43.9</v>
      </c>
      <c r="U187">
        <v>0.2</v>
      </c>
      <c r="V187">
        <f t="shared" si="87"/>
        <v>1.6115702479338843</v>
      </c>
      <c r="W187">
        <f t="shared" si="88"/>
        <v>0.68026859504132231</v>
      </c>
      <c r="X187">
        <v>16</v>
      </c>
      <c r="Y187" s="3">
        <v>20.100000000000001</v>
      </c>
      <c r="Z187">
        <v>70.599999999999994</v>
      </c>
      <c r="AA187">
        <v>4.7</v>
      </c>
      <c r="AB187">
        <v>1.6</v>
      </c>
      <c r="AC187">
        <v>23</v>
      </c>
      <c r="AD187">
        <v>0.2</v>
      </c>
      <c r="AE187">
        <f t="shared" si="42"/>
        <v>0.79886685552407943</v>
      </c>
      <c r="AF187">
        <f t="shared" si="43"/>
        <v>0.24433427762039661</v>
      </c>
      <c r="AG187" s="3">
        <v>28.6</v>
      </c>
      <c r="AH187">
        <v>27.3</v>
      </c>
      <c r="AI187" s="3">
        <v>56.8</v>
      </c>
    </row>
    <row r="188" spans="1:35" x14ac:dyDescent="0.5">
      <c r="A188" s="4">
        <v>240</v>
      </c>
      <c r="B188">
        <v>240</v>
      </c>
      <c r="C188">
        <v>0.1</v>
      </c>
      <c r="D188">
        <v>17.5</v>
      </c>
      <c r="E188">
        <v>1000</v>
      </c>
      <c r="F188">
        <v>262.5</v>
      </c>
      <c r="G188" s="3">
        <f t="shared" si="86"/>
        <v>15</v>
      </c>
      <c r="N188">
        <v>90</v>
      </c>
      <c r="Q188">
        <v>48.4</v>
      </c>
      <c r="R188">
        <v>6.5</v>
      </c>
      <c r="S188">
        <v>1</v>
      </c>
      <c r="T188">
        <v>43.9</v>
      </c>
      <c r="U188">
        <v>0.2</v>
      </c>
      <c r="V188">
        <f t="shared" si="87"/>
        <v>1.6115702479338843</v>
      </c>
      <c r="W188">
        <f t="shared" si="88"/>
        <v>0.68026859504132231</v>
      </c>
      <c r="X188">
        <v>16</v>
      </c>
      <c r="Y188" s="3">
        <v>20.100000000000001</v>
      </c>
      <c r="Z188">
        <v>73.2</v>
      </c>
      <c r="AA188">
        <v>4.8</v>
      </c>
      <c r="AB188">
        <v>1.7</v>
      </c>
      <c r="AC188">
        <v>20.100000000000001</v>
      </c>
      <c r="AD188">
        <v>0.2</v>
      </c>
      <c r="AE188">
        <f t="shared" si="42"/>
        <v>0.78688524590163922</v>
      </c>
      <c r="AF188">
        <f t="shared" si="43"/>
        <v>0.20594262295081966</v>
      </c>
      <c r="AG188" s="3">
        <v>25.8</v>
      </c>
      <c r="AH188">
        <v>28.6</v>
      </c>
      <c r="AI188" s="3">
        <v>51.6</v>
      </c>
    </row>
    <row r="189" spans="1:35" x14ac:dyDescent="0.5">
      <c r="A189" s="4">
        <v>360</v>
      </c>
      <c r="B189">
        <v>240</v>
      </c>
      <c r="C189">
        <v>0.1</v>
      </c>
      <c r="D189">
        <v>17.5</v>
      </c>
      <c r="E189">
        <v>1000</v>
      </c>
      <c r="F189">
        <v>262.5</v>
      </c>
      <c r="G189" s="3">
        <f t="shared" si="86"/>
        <v>15</v>
      </c>
      <c r="N189">
        <v>90</v>
      </c>
      <c r="Q189">
        <v>48.4</v>
      </c>
      <c r="R189">
        <v>6.5</v>
      </c>
      <c r="S189">
        <v>1</v>
      </c>
      <c r="T189">
        <v>43.9</v>
      </c>
      <c r="U189">
        <v>0.2</v>
      </c>
      <c r="V189">
        <f t="shared" si="87"/>
        <v>1.6115702479338843</v>
      </c>
      <c r="W189">
        <f t="shared" si="88"/>
        <v>0.68026859504132231</v>
      </c>
      <c r="X189">
        <v>16</v>
      </c>
      <c r="Y189" s="3">
        <v>20.100000000000001</v>
      </c>
      <c r="Z189">
        <v>74.099999999999994</v>
      </c>
      <c r="AA189">
        <v>5.0999999999999996</v>
      </c>
      <c r="AB189">
        <v>1.8</v>
      </c>
      <c r="AC189">
        <v>18.8</v>
      </c>
      <c r="AD189">
        <v>0.2</v>
      </c>
      <c r="AE189">
        <f t="shared" si="42"/>
        <v>0.82591093117408898</v>
      </c>
      <c r="AF189">
        <f t="shared" si="43"/>
        <v>0.19028340080971662</v>
      </c>
      <c r="AG189" s="3">
        <v>24.7</v>
      </c>
      <c r="AH189">
        <v>29.5</v>
      </c>
      <c r="AI189" s="3">
        <v>49.3</v>
      </c>
    </row>
    <row r="190" spans="1:35" x14ac:dyDescent="0.5">
      <c r="A190" s="4">
        <v>480</v>
      </c>
      <c r="B190">
        <v>240</v>
      </c>
      <c r="C190">
        <v>0.1</v>
      </c>
      <c r="D190">
        <v>17.5</v>
      </c>
      <c r="E190">
        <v>1000</v>
      </c>
      <c r="F190">
        <v>262.5</v>
      </c>
      <c r="G190" s="3">
        <f t="shared" si="86"/>
        <v>15</v>
      </c>
      <c r="N190">
        <v>90</v>
      </c>
      <c r="Q190">
        <v>48.4</v>
      </c>
      <c r="R190">
        <v>6.5</v>
      </c>
      <c r="S190">
        <v>1</v>
      </c>
      <c r="T190">
        <v>43.9</v>
      </c>
      <c r="U190">
        <v>0.2</v>
      </c>
      <c r="V190">
        <f t="shared" si="87"/>
        <v>1.6115702479338843</v>
      </c>
      <c r="W190">
        <f t="shared" si="88"/>
        <v>0.68026859504132231</v>
      </c>
      <c r="X190">
        <v>16</v>
      </c>
      <c r="Y190" s="3">
        <v>20.100000000000001</v>
      </c>
      <c r="Z190">
        <v>74.5</v>
      </c>
      <c r="AA190">
        <v>5</v>
      </c>
      <c r="AB190">
        <v>1.8</v>
      </c>
      <c r="AC190">
        <v>18.5</v>
      </c>
      <c r="AD190">
        <v>0.2</v>
      </c>
      <c r="AE190">
        <f t="shared" si="42"/>
        <v>0.80536912751677858</v>
      </c>
      <c r="AF190">
        <f t="shared" si="43"/>
        <v>0.18624161073825504</v>
      </c>
      <c r="AG190" s="3">
        <v>25.7</v>
      </c>
      <c r="AH190">
        <v>29.5</v>
      </c>
      <c r="AI190" s="3">
        <v>50.5</v>
      </c>
    </row>
    <row r="191" spans="1:35" x14ac:dyDescent="0.5">
      <c r="A191" s="4">
        <v>120</v>
      </c>
      <c r="B191">
        <v>260</v>
      </c>
      <c r="C191">
        <v>0.1</v>
      </c>
      <c r="D191">
        <v>17.5</v>
      </c>
      <c r="E191">
        <v>1000</v>
      </c>
      <c r="F191">
        <v>262.5</v>
      </c>
      <c r="G191" s="3">
        <f t="shared" si="86"/>
        <v>15</v>
      </c>
      <c r="N191">
        <v>90</v>
      </c>
      <c r="Q191">
        <v>48.4</v>
      </c>
      <c r="R191">
        <v>6.5</v>
      </c>
      <c r="S191">
        <v>1</v>
      </c>
      <c r="T191">
        <v>43.9</v>
      </c>
      <c r="U191">
        <v>0.2</v>
      </c>
      <c r="V191">
        <f t="shared" si="87"/>
        <v>1.6115702479338843</v>
      </c>
      <c r="W191">
        <f t="shared" si="88"/>
        <v>0.68026859504132231</v>
      </c>
      <c r="X191">
        <v>16</v>
      </c>
      <c r="Y191" s="3">
        <v>20.100000000000001</v>
      </c>
      <c r="Z191">
        <v>64.2</v>
      </c>
      <c r="AA191">
        <v>4</v>
      </c>
      <c r="AB191">
        <v>1.6</v>
      </c>
      <c r="AC191">
        <v>30</v>
      </c>
      <c r="AD191">
        <v>0.1</v>
      </c>
      <c r="AE191">
        <f t="shared" si="42"/>
        <v>0.74766355140186913</v>
      </c>
      <c r="AF191">
        <f t="shared" si="43"/>
        <v>0.35046728971962615</v>
      </c>
      <c r="AG191" s="3">
        <v>20.3</v>
      </c>
      <c r="AH191">
        <v>23.3</v>
      </c>
      <c r="AI191" s="3">
        <v>45.9</v>
      </c>
    </row>
    <row r="192" spans="1:35" x14ac:dyDescent="0.5">
      <c r="A192" s="4">
        <v>240</v>
      </c>
      <c r="B192">
        <v>260</v>
      </c>
      <c r="C192">
        <v>0.1</v>
      </c>
      <c r="D192">
        <v>17.5</v>
      </c>
      <c r="E192">
        <v>1000</v>
      </c>
      <c r="F192">
        <v>262.5</v>
      </c>
      <c r="G192" s="3">
        <f t="shared" si="86"/>
        <v>15</v>
      </c>
      <c r="N192">
        <v>90</v>
      </c>
      <c r="Q192">
        <v>48.4</v>
      </c>
      <c r="R192">
        <v>6.5</v>
      </c>
      <c r="S192">
        <v>1</v>
      </c>
      <c r="T192">
        <v>43.9</v>
      </c>
      <c r="U192">
        <v>0.2</v>
      </c>
      <c r="V192">
        <f t="shared" si="87"/>
        <v>1.6115702479338843</v>
      </c>
      <c r="W192">
        <f t="shared" si="88"/>
        <v>0.68026859504132231</v>
      </c>
      <c r="X192">
        <v>16</v>
      </c>
      <c r="Y192" s="3">
        <v>20.100000000000001</v>
      </c>
      <c r="Z192">
        <v>71.400000000000006</v>
      </c>
      <c r="AA192">
        <v>4.7</v>
      </c>
      <c r="AB192">
        <v>1.6</v>
      </c>
      <c r="AC192">
        <v>22.2</v>
      </c>
      <c r="AD192">
        <v>0.2</v>
      </c>
      <c r="AE192">
        <f t="shared" si="42"/>
        <v>0.78991596638655459</v>
      </c>
      <c r="AF192">
        <f t="shared" si="43"/>
        <v>0.23319327731092435</v>
      </c>
      <c r="AG192" s="3">
        <v>25</v>
      </c>
      <c r="AH192">
        <v>27.6</v>
      </c>
      <c r="AI192" s="3">
        <v>51.1</v>
      </c>
    </row>
    <row r="193" spans="1:38" x14ac:dyDescent="0.5">
      <c r="A193" s="4">
        <v>360</v>
      </c>
      <c r="B193">
        <v>260</v>
      </c>
      <c r="C193">
        <v>0.1</v>
      </c>
      <c r="D193">
        <v>17.5</v>
      </c>
      <c r="E193">
        <v>1000</v>
      </c>
      <c r="F193">
        <v>262.5</v>
      </c>
      <c r="G193" s="3">
        <f t="shared" si="86"/>
        <v>15</v>
      </c>
      <c r="N193">
        <v>90</v>
      </c>
      <c r="Q193">
        <v>48.4</v>
      </c>
      <c r="R193">
        <v>6.5</v>
      </c>
      <c r="S193">
        <v>1</v>
      </c>
      <c r="T193">
        <v>43.9</v>
      </c>
      <c r="U193">
        <v>0.2</v>
      </c>
      <c r="V193">
        <f t="shared" si="87"/>
        <v>1.6115702479338843</v>
      </c>
      <c r="W193">
        <f t="shared" si="88"/>
        <v>0.68026859504132231</v>
      </c>
      <c r="X193">
        <v>16</v>
      </c>
      <c r="Y193" s="3">
        <v>20.100000000000001</v>
      </c>
      <c r="Z193">
        <v>70.599999999999994</v>
      </c>
      <c r="AA193">
        <v>4.0999999999999996</v>
      </c>
      <c r="AB193">
        <v>1.5</v>
      </c>
      <c r="AC193">
        <v>23.6</v>
      </c>
      <c r="AD193">
        <v>0.2</v>
      </c>
      <c r="AE193">
        <f t="shared" si="42"/>
        <v>0.69688385269121811</v>
      </c>
      <c r="AF193">
        <f t="shared" si="43"/>
        <v>0.25070821529745047</v>
      </c>
      <c r="AG193" s="3">
        <v>32.6</v>
      </c>
      <c r="AH193">
        <v>26.3</v>
      </c>
      <c r="AI193" s="3">
        <v>57.6</v>
      </c>
    </row>
    <row r="194" spans="1:38" x14ac:dyDescent="0.5">
      <c r="A194" s="4">
        <v>480</v>
      </c>
      <c r="B194">
        <v>260</v>
      </c>
      <c r="C194">
        <v>0.1</v>
      </c>
      <c r="D194">
        <v>17.5</v>
      </c>
      <c r="E194">
        <v>1000</v>
      </c>
      <c r="F194">
        <v>262.5</v>
      </c>
      <c r="G194" s="3">
        <f t="shared" si="86"/>
        <v>15</v>
      </c>
      <c r="N194">
        <v>90</v>
      </c>
      <c r="Q194">
        <v>48.4</v>
      </c>
      <c r="R194">
        <v>6.5</v>
      </c>
      <c r="S194">
        <v>1</v>
      </c>
      <c r="T194">
        <v>43.9</v>
      </c>
      <c r="U194">
        <v>0.2</v>
      </c>
      <c r="V194">
        <f t="shared" si="87"/>
        <v>1.6115702479338843</v>
      </c>
      <c r="W194">
        <f t="shared" si="88"/>
        <v>0.68026859504132231</v>
      </c>
      <c r="X194">
        <v>16</v>
      </c>
      <c r="Y194" s="3">
        <v>20.100000000000001</v>
      </c>
      <c r="Z194">
        <v>74</v>
      </c>
      <c r="AA194">
        <v>4.9000000000000004</v>
      </c>
      <c r="AB194">
        <v>1.7</v>
      </c>
      <c r="AC194">
        <v>19.2</v>
      </c>
      <c r="AD194">
        <v>0.2</v>
      </c>
      <c r="AE194">
        <f t="shared" si="42"/>
        <v>0.79459459459459458</v>
      </c>
      <c r="AF194">
        <f t="shared" si="43"/>
        <v>0.19459459459459458</v>
      </c>
      <c r="AG194" s="3">
        <v>27.8</v>
      </c>
      <c r="AH194">
        <v>29.1</v>
      </c>
      <c r="AI194" s="3">
        <v>53.3</v>
      </c>
    </row>
    <row r="195" spans="1:38" x14ac:dyDescent="0.5">
      <c r="A195" s="4">
        <v>120</v>
      </c>
      <c r="B195">
        <v>250</v>
      </c>
      <c r="C195">
        <v>0.1</v>
      </c>
      <c r="D195">
        <v>35</v>
      </c>
      <c r="E195">
        <v>500</v>
      </c>
      <c r="F195">
        <v>350</v>
      </c>
      <c r="G195" s="3">
        <f t="shared" si="86"/>
        <v>10</v>
      </c>
      <c r="N195">
        <v>76.8</v>
      </c>
      <c r="O195">
        <v>65.7</v>
      </c>
      <c r="P195" s="3">
        <v>3.8</v>
      </c>
      <c r="Q195">
        <v>32.9</v>
      </c>
      <c r="R195">
        <v>3</v>
      </c>
      <c r="S195">
        <v>4</v>
      </c>
      <c r="T195">
        <v>29.4</v>
      </c>
      <c r="U195">
        <v>0.2</v>
      </c>
      <c r="V195">
        <f t="shared" si="87"/>
        <v>1.094224924012158</v>
      </c>
      <c r="W195">
        <f t="shared" si="88"/>
        <v>0.67021276595744672</v>
      </c>
      <c r="X195">
        <v>30.5</v>
      </c>
      <c r="Y195" s="3">
        <v>13.2</v>
      </c>
      <c r="Z195">
        <v>34.4</v>
      </c>
      <c r="AA195">
        <v>3.6</v>
      </c>
      <c r="AB195">
        <v>1.8</v>
      </c>
      <c r="AC195">
        <v>12</v>
      </c>
      <c r="AD195">
        <v>0.7</v>
      </c>
      <c r="AE195">
        <f t="shared" si="42"/>
        <v>1.2558139534883721</v>
      </c>
      <c r="AF195">
        <f t="shared" si="43"/>
        <v>0.26162790697674421</v>
      </c>
      <c r="AG195" s="3">
        <v>47.7</v>
      </c>
      <c r="AH195">
        <v>13.89</v>
      </c>
      <c r="AI195" s="3">
        <v>51</v>
      </c>
      <c r="AJ195" s="2" t="s">
        <v>74</v>
      </c>
      <c r="AK195" t="s">
        <v>75</v>
      </c>
      <c r="AL195">
        <v>20</v>
      </c>
    </row>
    <row r="196" spans="1:38" x14ac:dyDescent="0.5">
      <c r="A196" s="4">
        <v>120</v>
      </c>
      <c r="B196">
        <v>250</v>
      </c>
      <c r="C196">
        <v>0.1</v>
      </c>
      <c r="D196">
        <v>35</v>
      </c>
      <c r="E196">
        <v>500</v>
      </c>
      <c r="F196">
        <v>350</v>
      </c>
      <c r="G196" s="3">
        <f t="shared" ref="G196:G198" si="89">F196/D196</f>
        <v>10</v>
      </c>
      <c r="N196">
        <v>35</v>
      </c>
      <c r="O196">
        <v>74.099999999999994</v>
      </c>
      <c r="P196" s="3">
        <v>13.3</v>
      </c>
      <c r="Q196">
        <v>39.4</v>
      </c>
      <c r="R196">
        <v>5.3</v>
      </c>
      <c r="S196">
        <v>1</v>
      </c>
      <c r="T196">
        <v>41.3</v>
      </c>
      <c r="U196">
        <v>0.5</v>
      </c>
      <c r="V196">
        <f t="shared" si="87"/>
        <v>1.6142131979695431</v>
      </c>
      <c r="W196">
        <f t="shared" si="88"/>
        <v>0.78616751269035534</v>
      </c>
      <c r="X196">
        <v>12.6</v>
      </c>
      <c r="Y196" s="3">
        <v>16.7</v>
      </c>
      <c r="Z196">
        <v>54.5</v>
      </c>
      <c r="AA196">
        <v>5.2</v>
      </c>
      <c r="AB196">
        <v>0.8</v>
      </c>
      <c r="AC196">
        <v>18.899999999999999</v>
      </c>
      <c r="AD196">
        <v>0.6</v>
      </c>
      <c r="AE196">
        <f t="shared" si="42"/>
        <v>1.144954128440367</v>
      </c>
      <c r="AF196">
        <f t="shared" si="43"/>
        <v>0.26009174311926603</v>
      </c>
      <c r="AG196" s="3">
        <v>20</v>
      </c>
      <c r="AH196">
        <v>20.73</v>
      </c>
      <c r="AI196" s="3">
        <v>47</v>
      </c>
    </row>
    <row r="197" spans="1:38" x14ac:dyDescent="0.5">
      <c r="A197" s="4">
        <v>120</v>
      </c>
      <c r="B197">
        <v>250</v>
      </c>
      <c r="C197">
        <v>0.1</v>
      </c>
      <c r="D197">
        <v>35</v>
      </c>
      <c r="E197">
        <v>500</v>
      </c>
      <c r="F197">
        <v>350</v>
      </c>
      <c r="G197" s="3">
        <f t="shared" si="89"/>
        <v>10</v>
      </c>
      <c r="N197">
        <f>(N195+N196)/2</f>
        <v>55.9</v>
      </c>
      <c r="O197">
        <f t="shared" ref="O197:R197" si="90">(O195+O196)/2</f>
        <v>69.900000000000006</v>
      </c>
      <c r="P197" s="3">
        <f t="shared" si="90"/>
        <v>8.5500000000000007</v>
      </c>
      <c r="Q197">
        <f t="shared" si="90"/>
        <v>36.15</v>
      </c>
      <c r="R197">
        <f t="shared" si="90"/>
        <v>4.1500000000000004</v>
      </c>
      <c r="S197">
        <f t="shared" ref="S197" si="91">(S195+S196)/2</f>
        <v>2.5</v>
      </c>
      <c r="T197">
        <f t="shared" ref="T197" si="92">(T195+T196)/2</f>
        <v>35.349999999999994</v>
      </c>
      <c r="U197">
        <f t="shared" ref="U197" si="93">(U195+U196)/2</f>
        <v>0.35</v>
      </c>
      <c r="V197">
        <f t="shared" ref="V197" si="94">(R197/1)/(Q197/12)</f>
        <v>1.3775933609958508</v>
      </c>
      <c r="W197">
        <f t="shared" ref="W197" si="95">(T197/16)/(Q197/12)</f>
        <v>0.73340248962655596</v>
      </c>
      <c r="X197">
        <f t="shared" ref="X197" si="96">(X195+X196)/2</f>
        <v>21.55</v>
      </c>
      <c r="Y197" s="3">
        <f t="shared" ref="Y197" si="97">(Y195+Y196)/2</f>
        <v>14.95</v>
      </c>
      <c r="Z197">
        <v>44.1</v>
      </c>
      <c r="AA197">
        <v>4.5999999999999996</v>
      </c>
      <c r="AB197">
        <v>1.7</v>
      </c>
      <c r="AC197">
        <v>15.7</v>
      </c>
      <c r="AD197">
        <v>0.6</v>
      </c>
      <c r="AE197">
        <f t="shared" si="42"/>
        <v>1.2517006802721087</v>
      </c>
      <c r="AF197">
        <f t="shared" si="43"/>
        <v>0.2670068027210884</v>
      </c>
      <c r="AG197" s="3">
        <v>33.4</v>
      </c>
      <c r="AH197">
        <v>18.850000000000001</v>
      </c>
      <c r="AI197" s="3">
        <v>44</v>
      </c>
    </row>
    <row r="198" spans="1:38" x14ac:dyDescent="0.5">
      <c r="A198" s="4">
        <v>60</v>
      </c>
      <c r="B198">
        <v>150</v>
      </c>
      <c r="C198">
        <v>0.1</v>
      </c>
      <c r="D198">
        <v>40</v>
      </c>
      <c r="E198">
        <v>600</v>
      </c>
      <c r="F198">
        <v>200</v>
      </c>
      <c r="G198" s="3">
        <f t="shared" si="89"/>
        <v>5</v>
      </c>
      <c r="H198">
        <v>17.7</v>
      </c>
      <c r="O198">
        <v>70.2</v>
      </c>
      <c r="P198" s="3">
        <v>13.8</v>
      </c>
      <c r="Q198">
        <v>44.1</v>
      </c>
      <c r="R198">
        <v>5.0999999999999996</v>
      </c>
      <c r="S198">
        <v>3.2</v>
      </c>
      <c r="T198">
        <v>31.3</v>
      </c>
      <c r="U198">
        <v>0.3</v>
      </c>
      <c r="V198">
        <f t="shared" ref="V198" si="98">(R198/1)/(Q198/12)</f>
        <v>1.3877551020408161</v>
      </c>
      <c r="W198">
        <f t="shared" ref="W198" si="99">(T198/16)/(Q198/12)</f>
        <v>0.53231292517006801</v>
      </c>
      <c r="X198">
        <v>16</v>
      </c>
      <c r="Y198" s="3">
        <v>17.8</v>
      </c>
      <c r="Z198">
        <v>44.2</v>
      </c>
      <c r="AA198">
        <v>4.8</v>
      </c>
      <c r="AB198">
        <v>3.1</v>
      </c>
      <c r="AC198">
        <v>27.5</v>
      </c>
      <c r="AD198">
        <v>0</v>
      </c>
      <c r="AE198">
        <f t="shared" si="42"/>
        <v>1.3031674208144794</v>
      </c>
      <c r="AF198">
        <f t="shared" si="43"/>
        <v>0.46662895927601805</v>
      </c>
      <c r="AG198" s="3">
        <v>20.399999999999999</v>
      </c>
      <c r="AH198">
        <v>17.899999999999999</v>
      </c>
      <c r="AI198" s="3">
        <v>82.7</v>
      </c>
      <c r="AJ198" s="2" t="s">
        <v>76</v>
      </c>
      <c r="AK198" t="s">
        <v>77</v>
      </c>
      <c r="AL198">
        <v>21</v>
      </c>
    </row>
    <row r="199" spans="1:38" x14ac:dyDescent="0.5">
      <c r="A199" s="4">
        <v>60</v>
      </c>
      <c r="B199">
        <v>200</v>
      </c>
      <c r="C199">
        <v>0.1</v>
      </c>
      <c r="D199">
        <v>40</v>
      </c>
      <c r="E199">
        <v>600</v>
      </c>
      <c r="F199">
        <v>200</v>
      </c>
      <c r="G199" s="3">
        <f t="shared" ref="G199:G201" si="100">F199/D199</f>
        <v>5</v>
      </c>
      <c r="H199">
        <v>17.7</v>
      </c>
      <c r="O199">
        <v>70.2</v>
      </c>
      <c r="P199" s="3">
        <v>13.8</v>
      </c>
      <c r="Q199">
        <v>44.1</v>
      </c>
      <c r="R199">
        <v>5.0999999999999996</v>
      </c>
      <c r="S199">
        <v>3.2</v>
      </c>
      <c r="T199">
        <v>31.3</v>
      </c>
      <c r="U199">
        <v>0.3</v>
      </c>
      <c r="V199">
        <f t="shared" ref="V199:V201" si="101">(R199/1)/(Q199/12)</f>
        <v>1.3877551020408161</v>
      </c>
      <c r="W199">
        <f t="shared" ref="W199:W201" si="102">(T199/16)/(Q199/12)</f>
        <v>0.53231292517006801</v>
      </c>
      <c r="X199">
        <v>16</v>
      </c>
      <c r="Y199" s="3">
        <v>17.8</v>
      </c>
      <c r="Z199">
        <v>50.8</v>
      </c>
      <c r="AA199">
        <v>6</v>
      </c>
      <c r="AB199">
        <v>3.3</v>
      </c>
      <c r="AC199">
        <v>24.4</v>
      </c>
      <c r="AD199">
        <v>0.1</v>
      </c>
      <c r="AE199">
        <f t="shared" si="42"/>
        <v>1.4173228346456692</v>
      </c>
      <c r="AF199">
        <f t="shared" si="43"/>
        <v>0.36023622047244092</v>
      </c>
      <c r="AG199" s="3">
        <v>15.3</v>
      </c>
      <c r="AH199">
        <v>20.7</v>
      </c>
      <c r="AI199" s="3">
        <v>67.8</v>
      </c>
    </row>
    <row r="200" spans="1:38" x14ac:dyDescent="0.5">
      <c r="A200" s="4">
        <v>60</v>
      </c>
      <c r="B200">
        <v>250</v>
      </c>
      <c r="C200">
        <v>0.1</v>
      </c>
      <c r="D200">
        <v>40</v>
      </c>
      <c r="E200">
        <v>600</v>
      </c>
      <c r="F200">
        <v>200</v>
      </c>
      <c r="G200" s="3">
        <f t="shared" si="100"/>
        <v>5</v>
      </c>
      <c r="H200">
        <v>17.7</v>
      </c>
      <c r="O200">
        <v>70.2</v>
      </c>
      <c r="P200" s="3">
        <v>13.8</v>
      </c>
      <c r="Q200">
        <v>44.1</v>
      </c>
      <c r="R200">
        <v>5.0999999999999996</v>
      </c>
      <c r="S200">
        <v>3.2</v>
      </c>
      <c r="T200">
        <v>31.3</v>
      </c>
      <c r="U200">
        <v>0.3</v>
      </c>
      <c r="V200">
        <f t="shared" si="101"/>
        <v>1.3877551020408161</v>
      </c>
      <c r="W200">
        <f t="shared" si="102"/>
        <v>0.53231292517006801</v>
      </c>
      <c r="X200">
        <v>16</v>
      </c>
      <c r="Y200" s="3">
        <v>17.8</v>
      </c>
      <c r="Z200">
        <v>57.1</v>
      </c>
      <c r="AA200">
        <v>6.6</v>
      </c>
      <c r="AB200">
        <v>3.9</v>
      </c>
      <c r="AC200">
        <v>12</v>
      </c>
      <c r="AD200">
        <v>0.2</v>
      </c>
      <c r="AE200">
        <f t="shared" si="42"/>
        <v>1.3870402802101574</v>
      </c>
      <c r="AF200">
        <f t="shared" si="43"/>
        <v>0.15761821366024517</v>
      </c>
      <c r="AG200" s="3">
        <v>20.2</v>
      </c>
      <c r="AH200">
        <v>24.2</v>
      </c>
      <c r="AI200" s="3">
        <v>51.1</v>
      </c>
    </row>
    <row r="201" spans="1:38" x14ac:dyDescent="0.5">
      <c r="A201" s="4">
        <v>60</v>
      </c>
      <c r="B201">
        <v>150</v>
      </c>
      <c r="C201">
        <v>0.1</v>
      </c>
      <c r="D201">
        <v>40</v>
      </c>
      <c r="E201">
        <v>600</v>
      </c>
      <c r="F201">
        <v>200</v>
      </c>
      <c r="G201" s="3">
        <f t="shared" si="100"/>
        <v>5</v>
      </c>
      <c r="H201">
        <v>6.8</v>
      </c>
      <c r="O201">
        <v>36.200000000000003</v>
      </c>
      <c r="P201" s="3">
        <v>8.3000000000000007</v>
      </c>
      <c r="Q201">
        <v>24.1</v>
      </c>
      <c r="R201">
        <v>1.7</v>
      </c>
      <c r="S201">
        <v>1.5</v>
      </c>
      <c r="T201">
        <v>16.899999999999999</v>
      </c>
      <c r="U201">
        <v>0.2</v>
      </c>
      <c r="V201">
        <f t="shared" si="101"/>
        <v>0.84647302904564314</v>
      </c>
      <c r="W201">
        <f t="shared" si="102"/>
        <v>0.52593360995850624</v>
      </c>
      <c r="X201">
        <v>55.5</v>
      </c>
      <c r="Y201" s="3">
        <v>15.6</v>
      </c>
      <c r="Z201">
        <v>23.8</v>
      </c>
      <c r="AA201">
        <v>2.1</v>
      </c>
      <c r="AB201">
        <v>1.2</v>
      </c>
      <c r="AC201">
        <v>19</v>
      </c>
      <c r="AD201">
        <v>0</v>
      </c>
      <c r="AE201">
        <f t="shared" si="42"/>
        <v>1.0588235294117647</v>
      </c>
      <c r="AF201">
        <f t="shared" si="43"/>
        <v>0.59873949579831931</v>
      </c>
      <c r="AG201" s="3">
        <v>54</v>
      </c>
      <c r="AH201">
        <v>15.2</v>
      </c>
      <c r="AI201" s="3">
        <v>90.6</v>
      </c>
    </row>
    <row r="202" spans="1:38" x14ac:dyDescent="0.5">
      <c r="A202" s="4">
        <v>60</v>
      </c>
      <c r="B202">
        <v>200</v>
      </c>
      <c r="C202">
        <v>0.1</v>
      </c>
      <c r="D202">
        <v>40</v>
      </c>
      <c r="E202">
        <v>600</v>
      </c>
      <c r="F202">
        <v>200</v>
      </c>
      <c r="G202" s="3">
        <f t="shared" ref="G202:G209" si="103">F202/D202</f>
        <v>5</v>
      </c>
      <c r="H202">
        <v>6.8</v>
      </c>
      <c r="O202">
        <v>36.200000000000003</v>
      </c>
      <c r="P202" s="3">
        <v>8.3000000000000007</v>
      </c>
      <c r="Q202">
        <v>24.1</v>
      </c>
      <c r="R202">
        <v>1.7</v>
      </c>
      <c r="S202">
        <v>1.5</v>
      </c>
      <c r="T202">
        <v>16.899999999999999</v>
      </c>
      <c r="U202">
        <v>0.2</v>
      </c>
      <c r="V202">
        <f t="shared" ref="V202:V204" si="104">(R202/1)/(Q202/12)</f>
        <v>0.84647302904564314</v>
      </c>
      <c r="W202">
        <f t="shared" ref="W202:W204" si="105">(T202/16)/(Q202/12)</f>
        <v>0.52593360995850624</v>
      </c>
      <c r="X202">
        <v>55.5</v>
      </c>
      <c r="Y202" s="3">
        <v>15.6</v>
      </c>
      <c r="Z202">
        <v>21.4</v>
      </c>
      <c r="AA202">
        <v>1.6</v>
      </c>
      <c r="AB202">
        <v>0.9</v>
      </c>
      <c r="AC202">
        <v>13.9</v>
      </c>
      <c r="AD202">
        <v>0.1</v>
      </c>
      <c r="AE202">
        <f t="shared" si="42"/>
        <v>0.89719626168224309</v>
      </c>
      <c r="AF202">
        <f t="shared" si="43"/>
        <v>0.48714953271028044</v>
      </c>
      <c r="AG202" s="3">
        <v>62.1</v>
      </c>
      <c r="AH202">
        <v>15.6</v>
      </c>
      <c r="AI202" s="3">
        <v>87.1</v>
      </c>
    </row>
    <row r="203" spans="1:38" x14ac:dyDescent="0.5">
      <c r="A203" s="4">
        <v>60</v>
      </c>
      <c r="B203">
        <v>250</v>
      </c>
      <c r="C203">
        <v>0.1</v>
      </c>
      <c r="D203">
        <v>40</v>
      </c>
      <c r="E203">
        <v>600</v>
      </c>
      <c r="F203">
        <v>200</v>
      </c>
      <c r="G203" s="3">
        <f t="shared" si="103"/>
        <v>5</v>
      </c>
      <c r="H203">
        <v>6.8</v>
      </c>
      <c r="O203">
        <v>36.200000000000003</v>
      </c>
      <c r="P203" s="3">
        <v>8.3000000000000007</v>
      </c>
      <c r="Q203">
        <v>24.1</v>
      </c>
      <c r="R203">
        <v>1.7</v>
      </c>
      <c r="S203">
        <v>1.5</v>
      </c>
      <c r="T203">
        <v>16.899999999999999</v>
      </c>
      <c r="U203">
        <v>0.2</v>
      </c>
      <c r="V203">
        <f t="shared" si="104"/>
        <v>0.84647302904564314</v>
      </c>
      <c r="W203">
        <f t="shared" si="105"/>
        <v>0.52593360995850624</v>
      </c>
      <c r="X203">
        <v>55.5</v>
      </c>
      <c r="Y203" s="3">
        <v>15.6</v>
      </c>
      <c r="Z203">
        <v>21.7</v>
      </c>
      <c r="AA203">
        <v>1.6</v>
      </c>
      <c r="AB203">
        <v>0.8</v>
      </c>
      <c r="AC203">
        <v>7.9</v>
      </c>
      <c r="AD203">
        <v>0</v>
      </c>
      <c r="AE203">
        <f t="shared" si="42"/>
        <v>0.88479262672811065</v>
      </c>
      <c r="AF203">
        <f t="shared" si="43"/>
        <v>0.27304147465437789</v>
      </c>
      <c r="AG203" s="3">
        <v>68</v>
      </c>
      <c r="AH203">
        <v>15.6</v>
      </c>
      <c r="AI203" s="3">
        <v>84.4</v>
      </c>
    </row>
    <row r="204" spans="1:38" x14ac:dyDescent="0.5">
      <c r="A204" s="4">
        <v>60</v>
      </c>
      <c r="B204">
        <v>150</v>
      </c>
      <c r="C204">
        <v>0.1</v>
      </c>
      <c r="D204">
        <v>40</v>
      </c>
      <c r="E204">
        <v>600</v>
      </c>
      <c r="F204">
        <v>200</v>
      </c>
      <c r="G204" s="3">
        <f t="shared" si="103"/>
        <v>5</v>
      </c>
      <c r="H204">
        <v>24.3</v>
      </c>
      <c r="O204">
        <v>51</v>
      </c>
      <c r="P204" s="3">
        <v>2.1</v>
      </c>
      <c r="Q204">
        <v>28.6</v>
      </c>
      <c r="R204">
        <v>3.1</v>
      </c>
      <c r="S204">
        <v>3.4</v>
      </c>
      <c r="T204">
        <v>16.399999999999999</v>
      </c>
      <c r="U204">
        <v>1.5</v>
      </c>
      <c r="V204">
        <f t="shared" si="104"/>
        <v>1.3006993006993008</v>
      </c>
      <c r="W204">
        <f t="shared" si="105"/>
        <v>0.43006993006993005</v>
      </c>
      <c r="X204">
        <v>46.9</v>
      </c>
      <c r="Y204" s="3">
        <v>14.9</v>
      </c>
      <c r="Z204">
        <v>33.4</v>
      </c>
      <c r="AA204">
        <v>4.4000000000000004</v>
      </c>
      <c r="AB204">
        <v>3.2</v>
      </c>
      <c r="AC204">
        <v>15</v>
      </c>
      <c r="AD204">
        <v>0.3</v>
      </c>
      <c r="AE204">
        <f t="shared" si="42"/>
        <v>1.5808383233532937</v>
      </c>
      <c r="AF204">
        <f t="shared" si="43"/>
        <v>0.33682634730538924</v>
      </c>
      <c r="AG204" s="3">
        <v>43.8</v>
      </c>
      <c r="AH204">
        <v>15</v>
      </c>
      <c r="AI204" s="3">
        <v>87.1</v>
      </c>
    </row>
    <row r="205" spans="1:38" x14ac:dyDescent="0.5">
      <c r="A205" s="4">
        <v>60</v>
      </c>
      <c r="B205">
        <v>200</v>
      </c>
      <c r="C205">
        <v>0.1</v>
      </c>
      <c r="D205">
        <v>40</v>
      </c>
      <c r="E205">
        <v>600</v>
      </c>
      <c r="F205">
        <v>200</v>
      </c>
      <c r="G205" s="3">
        <f t="shared" si="103"/>
        <v>5</v>
      </c>
      <c r="H205">
        <v>24.3</v>
      </c>
      <c r="O205">
        <v>51</v>
      </c>
      <c r="P205" s="3">
        <v>2.1</v>
      </c>
      <c r="Q205">
        <v>28.6</v>
      </c>
      <c r="R205">
        <v>3.1</v>
      </c>
      <c r="S205">
        <v>3.4</v>
      </c>
      <c r="T205">
        <v>16.399999999999999</v>
      </c>
      <c r="U205">
        <v>1.5</v>
      </c>
      <c r="V205">
        <f t="shared" ref="V205:V207" si="106">(R205/1)/(Q205/12)</f>
        <v>1.3006993006993008</v>
      </c>
      <c r="W205">
        <f t="shared" ref="W205:W207" si="107">(T205/16)/(Q205/12)</f>
        <v>0.43006993006993005</v>
      </c>
      <c r="X205">
        <v>46.9</v>
      </c>
      <c r="Y205" s="3">
        <v>14.9</v>
      </c>
      <c r="Z205">
        <v>34</v>
      </c>
      <c r="AA205">
        <v>4.2</v>
      </c>
      <c r="AB205">
        <v>2.4</v>
      </c>
      <c r="AC205">
        <v>14</v>
      </c>
      <c r="AD205">
        <v>0.9</v>
      </c>
      <c r="AE205">
        <f t="shared" si="42"/>
        <v>1.4823529411764707</v>
      </c>
      <c r="AF205">
        <f t="shared" si="43"/>
        <v>0.30882352941176466</v>
      </c>
      <c r="AG205" s="3">
        <v>44.4</v>
      </c>
      <c r="AH205">
        <v>15.1</v>
      </c>
      <c r="AI205" s="3">
        <v>76.099999999999994</v>
      </c>
    </row>
    <row r="206" spans="1:38" x14ac:dyDescent="0.5">
      <c r="A206" s="4">
        <v>60</v>
      </c>
      <c r="B206">
        <v>250</v>
      </c>
      <c r="C206">
        <v>0.1</v>
      </c>
      <c r="D206">
        <v>40</v>
      </c>
      <c r="E206">
        <v>600</v>
      </c>
      <c r="F206">
        <v>200</v>
      </c>
      <c r="G206" s="3">
        <f t="shared" si="103"/>
        <v>5</v>
      </c>
      <c r="H206">
        <v>24.3</v>
      </c>
      <c r="O206">
        <v>51</v>
      </c>
      <c r="P206" s="3">
        <v>2.1</v>
      </c>
      <c r="Q206">
        <v>28.6</v>
      </c>
      <c r="R206">
        <v>3.1</v>
      </c>
      <c r="S206">
        <v>3.4</v>
      </c>
      <c r="T206">
        <v>16.399999999999999</v>
      </c>
      <c r="U206">
        <v>1.5</v>
      </c>
      <c r="V206">
        <f t="shared" si="106"/>
        <v>1.3006993006993008</v>
      </c>
      <c r="W206">
        <f t="shared" si="107"/>
        <v>0.43006993006993005</v>
      </c>
      <c r="X206">
        <v>46.9</v>
      </c>
      <c r="Y206" s="3">
        <v>14.9</v>
      </c>
      <c r="Z206">
        <v>34.700000000000003</v>
      </c>
      <c r="AA206">
        <v>4.0999999999999996</v>
      </c>
      <c r="AB206">
        <v>2.4</v>
      </c>
      <c r="AC206">
        <v>10.6</v>
      </c>
      <c r="AD206">
        <v>0.7</v>
      </c>
      <c r="AE206">
        <f t="shared" si="42"/>
        <v>1.4178674351585012</v>
      </c>
      <c r="AF206">
        <f t="shared" si="43"/>
        <v>0.22910662824207489</v>
      </c>
      <c r="AG206" s="3">
        <v>47.5</v>
      </c>
      <c r="AH206">
        <v>15.3</v>
      </c>
      <c r="AI206" s="3">
        <v>67.900000000000006</v>
      </c>
    </row>
    <row r="207" spans="1:38" x14ac:dyDescent="0.5">
      <c r="A207" s="4">
        <v>60</v>
      </c>
      <c r="B207">
        <v>150</v>
      </c>
      <c r="C207">
        <v>0.1</v>
      </c>
      <c r="D207">
        <v>40</v>
      </c>
      <c r="E207">
        <v>600</v>
      </c>
      <c r="F207">
        <v>200</v>
      </c>
      <c r="G207" s="3">
        <f t="shared" si="103"/>
        <v>5</v>
      </c>
      <c r="H207">
        <v>9.8000000000000007</v>
      </c>
      <c r="O207">
        <v>47.2</v>
      </c>
      <c r="P207" s="3">
        <v>9</v>
      </c>
      <c r="Q207">
        <v>29.5</v>
      </c>
      <c r="R207">
        <v>3</v>
      </c>
      <c r="S207">
        <v>2</v>
      </c>
      <c r="T207">
        <v>21.3</v>
      </c>
      <c r="U207">
        <v>0.3</v>
      </c>
      <c r="V207">
        <f t="shared" si="106"/>
        <v>1.2203389830508473</v>
      </c>
      <c r="W207">
        <f t="shared" si="107"/>
        <v>0.54152542372881352</v>
      </c>
      <c r="X207">
        <v>43.8</v>
      </c>
      <c r="Y207" s="3">
        <v>14.9</v>
      </c>
      <c r="Z207">
        <v>29.7</v>
      </c>
      <c r="AA207">
        <v>3</v>
      </c>
      <c r="AB207">
        <v>1.9</v>
      </c>
      <c r="AC207">
        <v>12.2</v>
      </c>
      <c r="AD207">
        <v>0</v>
      </c>
      <c r="AE207">
        <f t="shared" si="42"/>
        <v>1.2121212121212122</v>
      </c>
      <c r="AF207">
        <f t="shared" si="43"/>
        <v>0.30808080808080807</v>
      </c>
      <c r="AG207" s="3">
        <v>53.1</v>
      </c>
      <c r="AH207">
        <v>15</v>
      </c>
      <c r="AI207" s="3">
        <v>89</v>
      </c>
    </row>
    <row r="208" spans="1:38" x14ac:dyDescent="0.5">
      <c r="A208" s="4">
        <v>60</v>
      </c>
      <c r="B208">
        <v>200</v>
      </c>
      <c r="C208">
        <v>0.1</v>
      </c>
      <c r="D208">
        <v>40</v>
      </c>
      <c r="E208">
        <v>600</v>
      </c>
      <c r="F208">
        <v>200</v>
      </c>
      <c r="G208" s="3">
        <f t="shared" si="103"/>
        <v>5</v>
      </c>
      <c r="H208">
        <v>9.8000000000000007</v>
      </c>
      <c r="O208">
        <v>47.2</v>
      </c>
      <c r="P208" s="3">
        <v>9</v>
      </c>
      <c r="Q208">
        <v>29.5</v>
      </c>
      <c r="R208">
        <v>3</v>
      </c>
      <c r="S208">
        <v>2</v>
      </c>
      <c r="T208">
        <v>21.3</v>
      </c>
      <c r="U208">
        <v>0.3</v>
      </c>
      <c r="V208">
        <f t="shared" ref="V208:V211" si="108">(R208/1)/(Q208/12)</f>
        <v>1.2203389830508473</v>
      </c>
      <c r="W208">
        <f t="shared" ref="W208:W211" si="109">(T208/16)/(Q208/12)</f>
        <v>0.54152542372881352</v>
      </c>
      <c r="X208">
        <v>43.8</v>
      </c>
      <c r="Y208" s="3">
        <v>14.9</v>
      </c>
      <c r="Z208">
        <v>32.200000000000003</v>
      </c>
      <c r="AA208">
        <v>3.3</v>
      </c>
      <c r="AB208">
        <v>1.5</v>
      </c>
      <c r="AC208">
        <v>13.3</v>
      </c>
      <c r="AD208">
        <v>0.3</v>
      </c>
      <c r="AE208">
        <f t="shared" si="42"/>
        <v>1.2298136645962732</v>
      </c>
      <c r="AF208">
        <f t="shared" si="43"/>
        <v>0.30978260869565216</v>
      </c>
      <c r="AG208" s="3">
        <v>49.4</v>
      </c>
      <c r="AH208">
        <v>15.1</v>
      </c>
      <c r="AI208" s="3">
        <v>80.900000000000006</v>
      </c>
    </row>
    <row r="209" spans="1:35" x14ac:dyDescent="0.5">
      <c r="A209" s="4">
        <v>60</v>
      </c>
      <c r="B209">
        <v>250</v>
      </c>
      <c r="C209">
        <v>0.1</v>
      </c>
      <c r="D209">
        <v>40</v>
      </c>
      <c r="E209">
        <v>600</v>
      </c>
      <c r="F209">
        <v>200</v>
      </c>
      <c r="G209" s="3">
        <f t="shared" si="103"/>
        <v>5</v>
      </c>
      <c r="H209">
        <v>9.8000000000000007</v>
      </c>
      <c r="O209">
        <v>47.2</v>
      </c>
      <c r="P209" s="3">
        <v>9</v>
      </c>
      <c r="Q209">
        <v>29.5</v>
      </c>
      <c r="R209">
        <v>3</v>
      </c>
      <c r="S209">
        <v>2</v>
      </c>
      <c r="T209">
        <v>21.3</v>
      </c>
      <c r="U209">
        <v>0.3</v>
      </c>
      <c r="V209">
        <f t="shared" si="108"/>
        <v>1.2203389830508473</v>
      </c>
      <c r="W209">
        <f t="shared" si="109"/>
        <v>0.54152542372881352</v>
      </c>
      <c r="X209">
        <v>43.8</v>
      </c>
      <c r="Y209" s="3">
        <v>14.9</v>
      </c>
      <c r="Z209">
        <v>27.8</v>
      </c>
      <c r="AA209">
        <v>2.7</v>
      </c>
      <c r="AB209">
        <v>1.4</v>
      </c>
      <c r="AC209">
        <v>9</v>
      </c>
      <c r="AD209">
        <v>0.1</v>
      </c>
      <c r="AE209">
        <f t="shared" si="42"/>
        <v>1.1654676258992807</v>
      </c>
      <c r="AF209">
        <f t="shared" si="43"/>
        <v>0.24280575539568344</v>
      </c>
      <c r="AG209" s="3">
        <v>59</v>
      </c>
      <c r="AH209">
        <v>14.9</v>
      </c>
      <c r="AI209" s="3">
        <v>71.400000000000006</v>
      </c>
    </row>
    <row r="210" spans="1:35" x14ac:dyDescent="0.5">
      <c r="A210" s="4">
        <v>60</v>
      </c>
      <c r="B210">
        <v>200</v>
      </c>
      <c r="C210">
        <v>0.1</v>
      </c>
      <c r="D210">
        <v>20</v>
      </c>
      <c r="E210">
        <v>600</v>
      </c>
      <c r="F210">
        <v>200</v>
      </c>
      <c r="G210" s="3">
        <f t="shared" ref="G210:G211" si="110">F210/D210</f>
        <v>10</v>
      </c>
      <c r="H210">
        <v>17.7</v>
      </c>
      <c r="O210">
        <v>70.2</v>
      </c>
      <c r="P210" s="3">
        <v>13.8</v>
      </c>
      <c r="Q210">
        <v>44.1</v>
      </c>
      <c r="R210">
        <v>5.0999999999999996</v>
      </c>
      <c r="S210">
        <v>3.2</v>
      </c>
      <c r="T210">
        <v>31.3</v>
      </c>
      <c r="U210">
        <v>0.3</v>
      </c>
      <c r="V210">
        <f t="shared" si="108"/>
        <v>1.3877551020408161</v>
      </c>
      <c r="W210">
        <f t="shared" si="109"/>
        <v>0.53231292517006801</v>
      </c>
      <c r="X210">
        <v>16</v>
      </c>
      <c r="Y210" s="3">
        <v>17.8</v>
      </c>
      <c r="Z210">
        <v>52</v>
      </c>
      <c r="AA210">
        <v>6.9</v>
      </c>
      <c r="AB210">
        <v>3.1</v>
      </c>
      <c r="AC210">
        <v>23.1</v>
      </c>
      <c r="AD210">
        <v>0.1</v>
      </c>
      <c r="AE210">
        <f t="shared" si="42"/>
        <v>1.5923076923076924</v>
      </c>
      <c r="AF210">
        <f t="shared" si="43"/>
        <v>0.33317307692307696</v>
      </c>
      <c r="AG210" s="3">
        <v>14.7</v>
      </c>
      <c r="AH210">
        <v>21.6</v>
      </c>
      <c r="AI210" s="3">
        <v>60</v>
      </c>
    </row>
    <row r="211" spans="1:35" x14ac:dyDescent="0.5">
      <c r="A211" s="4">
        <v>60</v>
      </c>
      <c r="B211">
        <v>200</v>
      </c>
      <c r="C211">
        <v>0.1</v>
      </c>
      <c r="D211">
        <v>60</v>
      </c>
      <c r="E211">
        <v>600</v>
      </c>
      <c r="F211">
        <v>200</v>
      </c>
      <c r="G211" s="3">
        <f t="shared" si="110"/>
        <v>3.3333333333333335</v>
      </c>
      <c r="H211">
        <v>17.7</v>
      </c>
      <c r="O211">
        <v>70.2</v>
      </c>
      <c r="P211" s="3">
        <v>13.8</v>
      </c>
      <c r="Q211">
        <v>44.1</v>
      </c>
      <c r="R211">
        <v>5.0999999999999996</v>
      </c>
      <c r="S211">
        <v>3.2</v>
      </c>
      <c r="T211">
        <v>31.3</v>
      </c>
      <c r="U211">
        <v>0.3</v>
      </c>
      <c r="V211">
        <f t="shared" si="108"/>
        <v>1.3877551020408161</v>
      </c>
      <c r="W211">
        <f t="shared" si="109"/>
        <v>0.53231292517006801</v>
      </c>
      <c r="X211">
        <v>16</v>
      </c>
      <c r="Y211" s="3">
        <v>17.8</v>
      </c>
      <c r="Z211">
        <v>51.2</v>
      </c>
      <c r="AA211">
        <v>6.1</v>
      </c>
      <c r="AB211">
        <v>3.5</v>
      </c>
      <c r="AC211">
        <v>22.8</v>
      </c>
      <c r="AD211">
        <v>0</v>
      </c>
      <c r="AE211">
        <f t="shared" si="42"/>
        <v>1.4296875</v>
      </c>
      <c r="AF211">
        <f>(AC211/16)/(Z211/12)</f>
        <v>0.333984375</v>
      </c>
      <c r="AG211" s="3">
        <v>16.3</v>
      </c>
      <c r="AH211">
        <v>20.9</v>
      </c>
      <c r="AI211" s="3">
        <v>80.099999999999994</v>
      </c>
    </row>
    <row r="212" spans="1:35" x14ac:dyDescent="0.5">
      <c r="A212" s="4">
        <v>60</v>
      </c>
      <c r="B212">
        <v>250</v>
      </c>
      <c r="C212">
        <v>0.1</v>
      </c>
      <c r="D212">
        <v>20</v>
      </c>
      <c r="E212">
        <v>600</v>
      </c>
      <c r="F212">
        <v>200</v>
      </c>
      <c r="G212" s="3">
        <f t="shared" ref="G212:G215" si="111">F212/D212</f>
        <v>10</v>
      </c>
      <c r="H212">
        <v>17.7</v>
      </c>
      <c r="O212">
        <v>70.2</v>
      </c>
      <c r="P212" s="3">
        <v>13.8</v>
      </c>
      <c r="Q212">
        <v>44.1</v>
      </c>
      <c r="R212">
        <v>5.0999999999999996</v>
      </c>
      <c r="S212">
        <v>3.2</v>
      </c>
      <c r="T212">
        <v>31.3</v>
      </c>
      <c r="U212">
        <v>0.3</v>
      </c>
      <c r="V212">
        <f t="shared" ref="V212:V223" si="112">(R212/1)/(Q212/12)</f>
        <v>1.3877551020408161</v>
      </c>
      <c r="W212">
        <f t="shared" ref="W212:W223" si="113">(T212/16)/(Q212/12)</f>
        <v>0.53231292517006801</v>
      </c>
      <c r="X212">
        <v>16</v>
      </c>
      <c r="Y212" s="3">
        <v>17.8</v>
      </c>
      <c r="Z212">
        <v>57.3</v>
      </c>
      <c r="AA212">
        <v>6.3</v>
      </c>
      <c r="AB212">
        <v>3.6</v>
      </c>
      <c r="AC212">
        <v>11.5</v>
      </c>
      <c r="AD212">
        <v>0.2</v>
      </c>
      <c r="AE212">
        <f t="shared" si="42"/>
        <v>1.3193717277486912</v>
      </c>
      <c r="AF212">
        <f t="shared" ref="AF212:AF237" si="114">(AC212/16)/(Z212/12)</f>
        <v>0.15052356020942409</v>
      </c>
      <c r="AG212" s="3">
        <v>21</v>
      </c>
      <c r="AH212">
        <v>24</v>
      </c>
      <c r="AI212" s="3">
        <v>47.2</v>
      </c>
    </row>
    <row r="213" spans="1:35" x14ac:dyDescent="0.5">
      <c r="A213" s="4">
        <v>60</v>
      </c>
      <c r="B213">
        <v>250</v>
      </c>
      <c r="C213">
        <v>0.1</v>
      </c>
      <c r="D213">
        <v>60</v>
      </c>
      <c r="E213">
        <v>600</v>
      </c>
      <c r="F213">
        <v>200</v>
      </c>
      <c r="G213" s="3">
        <f t="shared" si="111"/>
        <v>3.3333333333333335</v>
      </c>
      <c r="H213">
        <v>17.7</v>
      </c>
      <c r="O213">
        <v>70.2</v>
      </c>
      <c r="P213" s="3">
        <v>13.8</v>
      </c>
      <c r="Q213">
        <v>44.1</v>
      </c>
      <c r="R213">
        <v>5.0999999999999996</v>
      </c>
      <c r="S213">
        <v>3.2</v>
      </c>
      <c r="T213">
        <v>31.3</v>
      </c>
      <c r="U213">
        <v>0.3</v>
      </c>
      <c r="V213">
        <f t="shared" si="112"/>
        <v>1.3877551020408161</v>
      </c>
      <c r="W213">
        <f t="shared" si="113"/>
        <v>0.53231292517006801</v>
      </c>
      <c r="X213">
        <v>16</v>
      </c>
      <c r="Y213" s="3">
        <v>17.8</v>
      </c>
      <c r="Z213">
        <v>56.7</v>
      </c>
      <c r="AA213">
        <v>5.8</v>
      </c>
      <c r="AB213">
        <v>3.8</v>
      </c>
      <c r="AC213">
        <v>12.7</v>
      </c>
      <c r="AD213">
        <v>0.3</v>
      </c>
      <c r="AE213">
        <f t="shared" si="42"/>
        <v>1.2275132275132274</v>
      </c>
      <c r="AF213">
        <f t="shared" si="114"/>
        <v>0.16798941798941797</v>
      </c>
      <c r="AG213" s="3">
        <v>20.7</v>
      </c>
      <c r="AH213">
        <v>23.3</v>
      </c>
      <c r="AI213" s="3">
        <v>49.4</v>
      </c>
    </row>
    <row r="214" spans="1:35" x14ac:dyDescent="0.5">
      <c r="A214" s="4">
        <v>60</v>
      </c>
      <c r="B214">
        <v>200</v>
      </c>
      <c r="C214">
        <v>0.1</v>
      </c>
      <c r="D214">
        <v>20</v>
      </c>
      <c r="E214">
        <v>600</v>
      </c>
      <c r="F214">
        <v>200</v>
      </c>
      <c r="G214" s="3">
        <f t="shared" si="111"/>
        <v>10</v>
      </c>
      <c r="H214">
        <v>6.8</v>
      </c>
      <c r="O214">
        <v>36.200000000000003</v>
      </c>
      <c r="P214" s="3">
        <v>8.3000000000000007</v>
      </c>
      <c r="Q214">
        <v>24.1</v>
      </c>
      <c r="R214">
        <v>1.7</v>
      </c>
      <c r="S214">
        <v>1.5</v>
      </c>
      <c r="T214">
        <v>16.899999999999999</v>
      </c>
      <c r="U214">
        <v>0.2</v>
      </c>
      <c r="V214">
        <f t="shared" si="112"/>
        <v>0.84647302904564314</v>
      </c>
      <c r="W214">
        <f t="shared" si="113"/>
        <v>0.52593360995850624</v>
      </c>
      <c r="X214">
        <v>55.5</v>
      </c>
      <c r="Y214" s="3">
        <v>15.6</v>
      </c>
      <c r="Z214">
        <v>22.6</v>
      </c>
      <c r="AA214">
        <v>1.6</v>
      </c>
      <c r="AB214">
        <v>0.7</v>
      </c>
      <c r="AC214">
        <v>11.7</v>
      </c>
      <c r="AD214">
        <v>0.1</v>
      </c>
      <c r="AE214">
        <f t="shared" si="42"/>
        <v>0.84955752212389379</v>
      </c>
      <c r="AF214">
        <f t="shared" si="114"/>
        <v>0.38827433628318575</v>
      </c>
      <c r="AG214" s="3">
        <v>63.4</v>
      </c>
      <c r="AH214">
        <v>15.5</v>
      </c>
      <c r="AI214" s="3">
        <v>85</v>
      </c>
    </row>
    <row r="215" spans="1:35" x14ac:dyDescent="0.5">
      <c r="A215" s="4">
        <v>60</v>
      </c>
      <c r="B215">
        <v>200</v>
      </c>
      <c r="C215">
        <v>0.1</v>
      </c>
      <c r="D215">
        <v>60</v>
      </c>
      <c r="E215">
        <v>600</v>
      </c>
      <c r="F215">
        <v>200</v>
      </c>
      <c r="G215" s="3">
        <f t="shared" si="111"/>
        <v>3.3333333333333335</v>
      </c>
      <c r="H215">
        <v>6.8</v>
      </c>
      <c r="O215">
        <v>36.200000000000003</v>
      </c>
      <c r="P215" s="3">
        <v>8.3000000000000007</v>
      </c>
      <c r="Q215">
        <v>24.1</v>
      </c>
      <c r="R215">
        <v>1.7</v>
      </c>
      <c r="S215">
        <v>1.5</v>
      </c>
      <c r="T215">
        <v>16.899999999999999</v>
      </c>
      <c r="U215">
        <v>0.2</v>
      </c>
      <c r="V215">
        <f t="shared" si="112"/>
        <v>0.84647302904564314</v>
      </c>
      <c r="W215">
        <f t="shared" si="113"/>
        <v>0.52593360995850624</v>
      </c>
      <c r="X215">
        <v>55.5</v>
      </c>
      <c r="Y215" s="3">
        <v>15.6</v>
      </c>
      <c r="Z215">
        <v>24</v>
      </c>
      <c r="AA215">
        <v>1.8</v>
      </c>
      <c r="AB215">
        <v>0.9</v>
      </c>
      <c r="AC215">
        <v>12.2</v>
      </c>
      <c r="AD215">
        <v>0.1</v>
      </c>
      <c r="AE215">
        <f t="shared" si="42"/>
        <v>0.9</v>
      </c>
      <c r="AF215">
        <f t="shared" si="114"/>
        <v>0.38124999999999998</v>
      </c>
      <c r="AG215" s="3">
        <v>61.1</v>
      </c>
      <c r="AH215">
        <v>15.4</v>
      </c>
      <c r="AI215" s="3">
        <v>85.7</v>
      </c>
    </row>
    <row r="216" spans="1:35" x14ac:dyDescent="0.5">
      <c r="A216" s="4">
        <v>60</v>
      </c>
      <c r="B216">
        <v>250</v>
      </c>
      <c r="C216">
        <v>0.1</v>
      </c>
      <c r="D216">
        <v>20</v>
      </c>
      <c r="E216">
        <v>600</v>
      </c>
      <c r="F216">
        <v>200</v>
      </c>
      <c r="G216" s="3">
        <f t="shared" ref="G216:G219" si="115">F216/D216</f>
        <v>10</v>
      </c>
      <c r="H216">
        <v>6.8</v>
      </c>
      <c r="O216">
        <v>36.200000000000003</v>
      </c>
      <c r="P216" s="3">
        <v>8.3000000000000007</v>
      </c>
      <c r="Q216">
        <v>24.1</v>
      </c>
      <c r="R216">
        <v>1.7</v>
      </c>
      <c r="S216">
        <v>1.5</v>
      </c>
      <c r="T216">
        <v>16.899999999999999</v>
      </c>
      <c r="U216">
        <v>0.2</v>
      </c>
      <c r="V216">
        <f t="shared" si="112"/>
        <v>0.84647302904564314</v>
      </c>
      <c r="W216">
        <f t="shared" si="113"/>
        <v>0.52593360995850624</v>
      </c>
      <c r="X216">
        <v>55.5</v>
      </c>
      <c r="Y216" s="3">
        <v>15.6</v>
      </c>
      <c r="Z216">
        <v>23</v>
      </c>
      <c r="AA216">
        <v>1.6</v>
      </c>
      <c r="AB216">
        <v>0.7</v>
      </c>
      <c r="AC216">
        <v>9.6999999999999993</v>
      </c>
      <c r="AD216">
        <v>0.2</v>
      </c>
      <c r="AE216">
        <f t="shared" si="42"/>
        <v>0.83478260869565224</v>
      </c>
      <c r="AF216">
        <f t="shared" si="114"/>
        <v>0.31630434782608691</v>
      </c>
      <c r="AG216" s="3">
        <v>64.900000000000006</v>
      </c>
      <c r="AH216">
        <v>15.6</v>
      </c>
      <c r="AI216" s="3">
        <v>82</v>
      </c>
    </row>
    <row r="217" spans="1:35" x14ac:dyDescent="0.5">
      <c r="A217" s="4">
        <v>60</v>
      </c>
      <c r="B217">
        <v>250</v>
      </c>
      <c r="C217">
        <v>0.1</v>
      </c>
      <c r="D217">
        <v>60</v>
      </c>
      <c r="E217">
        <v>600</v>
      </c>
      <c r="F217">
        <v>200</v>
      </c>
      <c r="G217" s="3">
        <f t="shared" si="115"/>
        <v>3.3333333333333335</v>
      </c>
      <c r="H217">
        <v>6.8</v>
      </c>
      <c r="O217">
        <v>36.200000000000003</v>
      </c>
      <c r="P217" s="3">
        <v>8.3000000000000007</v>
      </c>
      <c r="Q217">
        <v>24.1</v>
      </c>
      <c r="R217">
        <v>1.7</v>
      </c>
      <c r="S217">
        <v>1.5</v>
      </c>
      <c r="T217">
        <v>16.899999999999999</v>
      </c>
      <c r="U217">
        <v>0.2</v>
      </c>
      <c r="V217">
        <f t="shared" si="112"/>
        <v>0.84647302904564314</v>
      </c>
      <c r="W217">
        <f t="shared" si="113"/>
        <v>0.52593360995850624</v>
      </c>
      <c r="X217">
        <v>55.5</v>
      </c>
      <c r="Y217" s="3">
        <v>15.6</v>
      </c>
      <c r="Z217">
        <v>23.4</v>
      </c>
      <c r="AA217">
        <v>1.7</v>
      </c>
      <c r="AB217">
        <v>0.9</v>
      </c>
      <c r="AC217">
        <v>7.8</v>
      </c>
      <c r="AD217">
        <v>0</v>
      </c>
      <c r="AE217">
        <f t="shared" si="42"/>
        <v>0.87179487179487181</v>
      </c>
      <c r="AF217">
        <f t="shared" si="114"/>
        <v>0.25</v>
      </c>
      <c r="AG217" s="3">
        <v>66.3</v>
      </c>
      <c r="AH217">
        <v>15.5</v>
      </c>
      <c r="AI217" s="3">
        <v>83.5</v>
      </c>
    </row>
    <row r="218" spans="1:35" x14ac:dyDescent="0.5">
      <c r="A218" s="4">
        <v>60</v>
      </c>
      <c r="B218">
        <v>200</v>
      </c>
      <c r="C218">
        <v>0.1</v>
      </c>
      <c r="D218">
        <v>20</v>
      </c>
      <c r="E218">
        <v>600</v>
      </c>
      <c r="F218">
        <v>200</v>
      </c>
      <c r="G218" s="3">
        <f t="shared" si="115"/>
        <v>10</v>
      </c>
      <c r="H218">
        <v>24.3</v>
      </c>
      <c r="O218">
        <v>51</v>
      </c>
      <c r="P218" s="3">
        <v>2.1</v>
      </c>
      <c r="Q218">
        <v>28.6</v>
      </c>
      <c r="R218">
        <v>3.1</v>
      </c>
      <c r="S218">
        <v>3.4</v>
      </c>
      <c r="T218">
        <v>16.399999999999999</v>
      </c>
      <c r="U218">
        <v>1.5</v>
      </c>
      <c r="V218">
        <f t="shared" si="112"/>
        <v>1.3006993006993008</v>
      </c>
      <c r="W218">
        <f t="shared" si="113"/>
        <v>0.43006993006993005</v>
      </c>
      <c r="X218">
        <v>46.9</v>
      </c>
      <c r="Y218" s="3">
        <v>14.9</v>
      </c>
      <c r="Z218">
        <v>34</v>
      </c>
      <c r="AA218">
        <v>4.2</v>
      </c>
      <c r="AB218">
        <v>2.1</v>
      </c>
      <c r="AC218">
        <v>13</v>
      </c>
      <c r="AD218">
        <v>0.8</v>
      </c>
      <c r="AE218">
        <f t="shared" si="42"/>
        <v>1.4823529411764707</v>
      </c>
      <c r="AF218">
        <f t="shared" si="114"/>
        <v>0.28676470588235292</v>
      </c>
      <c r="AG218" s="3">
        <v>46</v>
      </c>
      <c r="AH218">
        <v>15</v>
      </c>
      <c r="AI218" s="3">
        <v>72.599999999999994</v>
      </c>
    </row>
    <row r="219" spans="1:35" x14ac:dyDescent="0.5">
      <c r="A219" s="4">
        <v>60</v>
      </c>
      <c r="B219">
        <v>200</v>
      </c>
      <c r="C219">
        <v>0.1</v>
      </c>
      <c r="D219">
        <v>60</v>
      </c>
      <c r="E219">
        <v>600</v>
      </c>
      <c r="F219">
        <v>200</v>
      </c>
      <c r="G219" s="3">
        <f t="shared" si="115"/>
        <v>3.3333333333333335</v>
      </c>
      <c r="H219">
        <v>24.3</v>
      </c>
      <c r="O219">
        <v>51</v>
      </c>
      <c r="P219" s="3">
        <v>2.1</v>
      </c>
      <c r="Q219">
        <v>28.6</v>
      </c>
      <c r="R219">
        <v>3.1</v>
      </c>
      <c r="S219">
        <v>3.4</v>
      </c>
      <c r="T219">
        <v>16.399999999999999</v>
      </c>
      <c r="U219">
        <v>1.5</v>
      </c>
      <c r="V219">
        <f t="shared" si="112"/>
        <v>1.3006993006993008</v>
      </c>
      <c r="W219">
        <f t="shared" si="113"/>
        <v>0.43006993006993005</v>
      </c>
      <c r="X219">
        <v>46.9</v>
      </c>
      <c r="Y219" s="3">
        <v>14.9</v>
      </c>
      <c r="Z219">
        <v>35.200000000000003</v>
      </c>
      <c r="AA219">
        <v>4.4000000000000004</v>
      </c>
      <c r="AB219">
        <v>2.9</v>
      </c>
      <c r="AC219">
        <v>12.7</v>
      </c>
      <c r="AD219">
        <v>1.2</v>
      </c>
      <c r="AE219">
        <f t="shared" si="42"/>
        <v>1.5</v>
      </c>
      <c r="AF219">
        <f t="shared" si="114"/>
        <v>0.27059659090909088</v>
      </c>
      <c r="AG219" s="3">
        <v>43.7</v>
      </c>
      <c r="AH219">
        <v>15.4</v>
      </c>
      <c r="AI219" s="3">
        <v>78</v>
      </c>
    </row>
    <row r="220" spans="1:35" x14ac:dyDescent="0.5">
      <c r="A220" s="4">
        <v>60</v>
      </c>
      <c r="B220">
        <v>250</v>
      </c>
      <c r="C220">
        <v>0.1</v>
      </c>
      <c r="D220">
        <v>20</v>
      </c>
      <c r="E220">
        <v>600</v>
      </c>
      <c r="F220">
        <v>200</v>
      </c>
      <c r="G220" s="3">
        <f t="shared" ref="G220:G223" si="116">F220/D220</f>
        <v>10</v>
      </c>
      <c r="H220">
        <v>24.3</v>
      </c>
      <c r="O220">
        <v>51</v>
      </c>
      <c r="P220" s="3">
        <v>2.1</v>
      </c>
      <c r="Q220">
        <v>28.6</v>
      </c>
      <c r="R220">
        <v>3.1</v>
      </c>
      <c r="S220">
        <v>3.4</v>
      </c>
      <c r="T220">
        <v>16.399999999999999</v>
      </c>
      <c r="U220">
        <v>1.5</v>
      </c>
      <c r="V220">
        <f t="shared" si="112"/>
        <v>1.3006993006993008</v>
      </c>
      <c r="W220">
        <f t="shared" si="113"/>
        <v>0.43006993006993005</v>
      </c>
      <c r="X220">
        <v>46.9</v>
      </c>
      <c r="Y220" s="3">
        <v>14.9</v>
      </c>
      <c r="Z220">
        <v>34.4</v>
      </c>
      <c r="AA220">
        <v>4</v>
      </c>
      <c r="AB220">
        <v>2.2000000000000002</v>
      </c>
      <c r="AC220">
        <v>9.1999999999999993</v>
      </c>
      <c r="AD220">
        <v>0.8</v>
      </c>
      <c r="AE220">
        <f t="shared" si="42"/>
        <v>1.3953488372093024</v>
      </c>
      <c r="AF220">
        <f t="shared" si="114"/>
        <v>0.2005813953488372</v>
      </c>
      <c r="AG220" s="3">
        <v>49.5</v>
      </c>
      <c r="AH220">
        <v>15.2</v>
      </c>
      <c r="AI220" s="3">
        <v>65.599999999999994</v>
      </c>
    </row>
    <row r="221" spans="1:35" x14ac:dyDescent="0.5">
      <c r="A221" s="4">
        <v>60</v>
      </c>
      <c r="B221">
        <v>250</v>
      </c>
      <c r="C221">
        <v>0.1</v>
      </c>
      <c r="D221">
        <v>60</v>
      </c>
      <c r="E221">
        <v>600</v>
      </c>
      <c r="F221">
        <v>200</v>
      </c>
      <c r="G221" s="3">
        <f t="shared" si="116"/>
        <v>3.3333333333333335</v>
      </c>
      <c r="H221">
        <v>24.3</v>
      </c>
      <c r="O221">
        <v>51</v>
      </c>
      <c r="P221" s="3">
        <v>2.1</v>
      </c>
      <c r="Q221">
        <v>28.6</v>
      </c>
      <c r="R221">
        <v>3.1</v>
      </c>
      <c r="S221">
        <v>3.4</v>
      </c>
      <c r="T221">
        <v>16.399999999999999</v>
      </c>
      <c r="U221">
        <v>1.5</v>
      </c>
      <c r="V221">
        <f t="shared" si="112"/>
        <v>1.3006993006993008</v>
      </c>
      <c r="W221">
        <f t="shared" si="113"/>
        <v>0.43006993006993005</v>
      </c>
      <c r="X221">
        <v>46.9</v>
      </c>
      <c r="Y221" s="3">
        <v>14.9</v>
      </c>
      <c r="Z221">
        <v>36.4</v>
      </c>
      <c r="AA221">
        <v>4.3</v>
      </c>
      <c r="AB221">
        <v>2.8</v>
      </c>
      <c r="AC221">
        <v>9</v>
      </c>
      <c r="AD221">
        <v>0.9</v>
      </c>
      <c r="AE221">
        <f t="shared" si="42"/>
        <v>1.4175824175824177</v>
      </c>
      <c r="AF221">
        <f t="shared" si="114"/>
        <v>0.18543956043956045</v>
      </c>
      <c r="AG221" s="3">
        <v>46.6</v>
      </c>
      <c r="AH221">
        <v>15.7</v>
      </c>
      <c r="AI221" s="3">
        <v>69.5</v>
      </c>
    </row>
    <row r="222" spans="1:35" x14ac:dyDescent="0.5">
      <c r="A222" s="4">
        <v>60</v>
      </c>
      <c r="B222">
        <v>200</v>
      </c>
      <c r="C222">
        <v>0.1</v>
      </c>
      <c r="D222">
        <v>20</v>
      </c>
      <c r="E222">
        <v>600</v>
      </c>
      <c r="F222">
        <v>200</v>
      </c>
      <c r="G222" s="3">
        <f t="shared" si="116"/>
        <v>10</v>
      </c>
      <c r="H222">
        <v>9.8000000000000007</v>
      </c>
      <c r="O222">
        <v>47.2</v>
      </c>
      <c r="P222" s="3">
        <v>9</v>
      </c>
      <c r="Q222">
        <v>29.5</v>
      </c>
      <c r="R222">
        <v>3</v>
      </c>
      <c r="S222">
        <v>2</v>
      </c>
      <c r="T222">
        <v>21.3</v>
      </c>
      <c r="U222">
        <v>0.3</v>
      </c>
      <c r="V222">
        <f t="shared" si="112"/>
        <v>1.2203389830508473</v>
      </c>
      <c r="W222">
        <f t="shared" si="113"/>
        <v>0.54152542372881352</v>
      </c>
      <c r="X222">
        <v>43.8</v>
      </c>
      <c r="Y222" s="3">
        <v>14.9</v>
      </c>
      <c r="Z222">
        <v>26.3</v>
      </c>
      <c r="AA222">
        <v>2.7</v>
      </c>
      <c r="AB222">
        <v>1.1000000000000001</v>
      </c>
      <c r="AC222">
        <v>14.4</v>
      </c>
      <c r="AD222">
        <v>0.2</v>
      </c>
      <c r="AE222">
        <f t="shared" si="42"/>
        <v>1.2319391634980987</v>
      </c>
      <c r="AF222">
        <f t="shared" si="114"/>
        <v>0.41064638783269958</v>
      </c>
      <c r="AG222" s="3">
        <v>55.3</v>
      </c>
      <c r="AH222">
        <v>14.8</v>
      </c>
      <c r="AI222" s="3">
        <v>79.5</v>
      </c>
    </row>
    <row r="223" spans="1:35" x14ac:dyDescent="0.5">
      <c r="A223" s="4">
        <v>60</v>
      </c>
      <c r="B223">
        <v>200</v>
      </c>
      <c r="C223">
        <v>0.1</v>
      </c>
      <c r="D223">
        <v>60</v>
      </c>
      <c r="E223">
        <v>600</v>
      </c>
      <c r="F223">
        <v>200</v>
      </c>
      <c r="G223" s="3">
        <f t="shared" si="116"/>
        <v>3.3333333333333335</v>
      </c>
      <c r="H223">
        <v>9.8000000000000007</v>
      </c>
      <c r="O223">
        <v>47.2</v>
      </c>
      <c r="P223" s="3">
        <v>9</v>
      </c>
      <c r="Q223">
        <v>29.5</v>
      </c>
      <c r="R223">
        <v>3</v>
      </c>
      <c r="S223">
        <v>2</v>
      </c>
      <c r="T223">
        <v>21.3</v>
      </c>
      <c r="U223">
        <v>0.3</v>
      </c>
      <c r="V223">
        <f t="shared" si="112"/>
        <v>1.2203389830508473</v>
      </c>
      <c r="W223">
        <f t="shared" si="113"/>
        <v>0.54152542372881352</v>
      </c>
      <c r="X223">
        <v>43.8</v>
      </c>
      <c r="Y223" s="3">
        <v>14.9</v>
      </c>
      <c r="Z223">
        <v>30.4</v>
      </c>
      <c r="AA223">
        <v>3.1</v>
      </c>
      <c r="AB223">
        <v>1.4</v>
      </c>
      <c r="AC223">
        <v>12.5</v>
      </c>
      <c r="AD223">
        <v>0.2</v>
      </c>
      <c r="AE223">
        <f t="shared" si="42"/>
        <v>1.2236842105263159</v>
      </c>
      <c r="AF223">
        <f t="shared" si="114"/>
        <v>0.30838815789473684</v>
      </c>
      <c r="AG223" s="3">
        <v>52.3</v>
      </c>
      <c r="AH223">
        <v>14.9</v>
      </c>
      <c r="AI223" s="3">
        <v>79.8</v>
      </c>
    </row>
    <row r="224" spans="1:35" x14ac:dyDescent="0.5">
      <c r="A224" s="4">
        <v>60</v>
      </c>
      <c r="B224">
        <v>250</v>
      </c>
      <c r="C224">
        <v>0.1</v>
      </c>
      <c r="D224">
        <v>20</v>
      </c>
      <c r="E224">
        <v>600</v>
      </c>
      <c r="F224">
        <v>200</v>
      </c>
      <c r="G224" s="3">
        <f t="shared" ref="G224:G226" si="117">F224/D224</f>
        <v>10</v>
      </c>
      <c r="H224">
        <v>9.8000000000000007</v>
      </c>
      <c r="O224">
        <v>47.2</v>
      </c>
      <c r="P224" s="3">
        <v>9</v>
      </c>
      <c r="Q224">
        <v>29.5</v>
      </c>
      <c r="R224">
        <v>3</v>
      </c>
      <c r="S224">
        <v>2</v>
      </c>
      <c r="T224">
        <v>21.3</v>
      </c>
      <c r="U224">
        <v>0.3</v>
      </c>
      <c r="V224">
        <f t="shared" ref="V224:V226" si="118">(R224/1)/(Q224/12)</f>
        <v>1.2203389830508473</v>
      </c>
      <c r="W224">
        <f t="shared" ref="W224:W226" si="119">(T224/16)/(Q224/12)</f>
        <v>0.54152542372881352</v>
      </c>
      <c r="X224">
        <v>43.8</v>
      </c>
      <c r="Y224" s="3">
        <v>14.9</v>
      </c>
      <c r="Z224">
        <v>26.4</v>
      </c>
      <c r="AA224">
        <v>2.6</v>
      </c>
      <c r="AB224">
        <v>1.2</v>
      </c>
      <c r="AC224">
        <v>8.3000000000000007</v>
      </c>
      <c r="AD224">
        <v>0.1</v>
      </c>
      <c r="AE224">
        <f t="shared" si="42"/>
        <v>1.1818181818181821</v>
      </c>
      <c r="AF224">
        <f t="shared" si="114"/>
        <v>0.23579545454545459</v>
      </c>
      <c r="AG224" s="3">
        <v>61.3</v>
      </c>
      <c r="AH224">
        <v>14.8</v>
      </c>
      <c r="AI224" s="3">
        <v>71.099999999999994</v>
      </c>
    </row>
    <row r="225" spans="1:38" x14ac:dyDescent="0.5">
      <c r="A225" s="4">
        <v>60</v>
      </c>
      <c r="B225">
        <v>250</v>
      </c>
      <c r="C225">
        <v>0.1</v>
      </c>
      <c r="D225">
        <v>60</v>
      </c>
      <c r="E225">
        <v>600</v>
      </c>
      <c r="F225">
        <v>200</v>
      </c>
      <c r="G225" s="3">
        <f t="shared" si="117"/>
        <v>3.3333333333333335</v>
      </c>
      <c r="H225">
        <v>9.8000000000000007</v>
      </c>
      <c r="O225">
        <v>47.2</v>
      </c>
      <c r="P225" s="3">
        <v>9</v>
      </c>
      <c r="Q225">
        <v>29.5</v>
      </c>
      <c r="R225">
        <v>3</v>
      </c>
      <c r="S225">
        <v>2</v>
      </c>
      <c r="T225">
        <v>21.3</v>
      </c>
      <c r="U225">
        <v>0.3</v>
      </c>
      <c r="V225">
        <f t="shared" si="118"/>
        <v>1.2203389830508473</v>
      </c>
      <c r="W225">
        <f t="shared" si="119"/>
        <v>0.54152542372881352</v>
      </c>
      <c r="X225">
        <v>43.8</v>
      </c>
      <c r="Y225" s="3">
        <v>14.9</v>
      </c>
      <c r="Z225">
        <v>29.1</v>
      </c>
      <c r="AA225">
        <v>2.9</v>
      </c>
      <c r="AB225">
        <v>1.5</v>
      </c>
      <c r="AC225">
        <v>5.4</v>
      </c>
      <c r="AD225">
        <v>0.1</v>
      </c>
      <c r="AE225">
        <f t="shared" si="42"/>
        <v>1.1958762886597936</v>
      </c>
      <c r="AF225">
        <f t="shared" si="114"/>
        <v>0.13917525773195877</v>
      </c>
      <c r="AG225" s="3">
        <v>61</v>
      </c>
      <c r="AH225">
        <v>15</v>
      </c>
      <c r="AI225" s="3">
        <v>73.7</v>
      </c>
    </row>
    <row r="226" spans="1:38" x14ac:dyDescent="0.5">
      <c r="A226" s="4">
        <v>60</v>
      </c>
      <c r="B226">
        <v>180</v>
      </c>
      <c r="C226">
        <v>0.1</v>
      </c>
      <c r="D226">
        <v>12</v>
      </c>
      <c r="E226">
        <v>50</v>
      </c>
      <c r="F226">
        <v>36</v>
      </c>
      <c r="G226" s="3">
        <f t="shared" si="117"/>
        <v>3</v>
      </c>
      <c r="Q226">
        <v>35.799999999999997</v>
      </c>
      <c r="R226">
        <v>4.8</v>
      </c>
      <c r="S226">
        <v>2.1</v>
      </c>
      <c r="T226">
        <v>24.6</v>
      </c>
      <c r="U226">
        <v>0.5</v>
      </c>
      <c r="V226">
        <f t="shared" si="118"/>
        <v>1.6089385474860336</v>
      </c>
      <c r="W226">
        <f t="shared" si="119"/>
        <v>0.51536312849162025</v>
      </c>
      <c r="X226">
        <v>32.1</v>
      </c>
      <c r="Y226" s="3">
        <v>14.6</v>
      </c>
      <c r="Z226">
        <v>36.299999999999997</v>
      </c>
      <c r="AA226">
        <v>4.3</v>
      </c>
      <c r="AB226">
        <v>2.4</v>
      </c>
      <c r="AC226">
        <v>16.600000000000001</v>
      </c>
      <c r="AD226">
        <v>0.6</v>
      </c>
      <c r="AE226">
        <f t="shared" si="42"/>
        <v>1.4214876033057851</v>
      </c>
      <c r="AF226">
        <f t="shared" si="114"/>
        <v>0.34297520661157027</v>
      </c>
      <c r="AG226" s="3">
        <v>39.9</v>
      </c>
      <c r="AH226">
        <v>11.4</v>
      </c>
      <c r="AI226" s="3">
        <v>79.5</v>
      </c>
      <c r="AJ226" s="2" t="s">
        <v>79</v>
      </c>
      <c r="AK226" t="s">
        <v>78</v>
      </c>
      <c r="AL226">
        <v>22</v>
      </c>
    </row>
    <row r="227" spans="1:38" x14ac:dyDescent="0.5">
      <c r="A227" s="4">
        <v>60</v>
      </c>
      <c r="B227">
        <v>210</v>
      </c>
      <c r="C227">
        <v>0.1</v>
      </c>
      <c r="D227">
        <v>12</v>
      </c>
      <c r="E227">
        <v>50</v>
      </c>
      <c r="F227">
        <v>36</v>
      </c>
      <c r="G227" s="3">
        <f t="shared" ref="G227:G231" si="120">F227/D227</f>
        <v>3</v>
      </c>
      <c r="Q227">
        <v>35.799999999999997</v>
      </c>
      <c r="R227">
        <v>4.8</v>
      </c>
      <c r="S227">
        <v>2.1</v>
      </c>
      <c r="T227">
        <v>24.6</v>
      </c>
      <c r="U227">
        <v>0.5</v>
      </c>
      <c r="V227">
        <f t="shared" ref="V227:V229" si="121">(R227/1)/(Q227/12)</f>
        <v>1.6089385474860336</v>
      </c>
      <c r="W227">
        <f t="shared" ref="W227:W229" si="122">(T227/16)/(Q227/12)</f>
        <v>0.51536312849162025</v>
      </c>
      <c r="X227">
        <v>32.1</v>
      </c>
      <c r="Y227" s="3">
        <v>14.6</v>
      </c>
      <c r="Z227">
        <v>40.5</v>
      </c>
      <c r="AA227">
        <v>4.4000000000000004</v>
      </c>
      <c r="AB227">
        <v>2.5</v>
      </c>
      <c r="AC227">
        <v>13.7</v>
      </c>
      <c r="AD227">
        <v>0.6</v>
      </c>
      <c r="AE227">
        <f t="shared" si="42"/>
        <v>1.3037037037037038</v>
      </c>
      <c r="AF227">
        <f t="shared" si="114"/>
        <v>0.25370370370370371</v>
      </c>
      <c r="AG227" s="3">
        <v>38.200000000000003</v>
      </c>
      <c r="AH227">
        <v>13</v>
      </c>
      <c r="AI227" s="3">
        <v>75.7</v>
      </c>
    </row>
    <row r="228" spans="1:38" x14ac:dyDescent="0.5">
      <c r="A228" s="4">
        <v>60</v>
      </c>
      <c r="B228">
        <v>240</v>
      </c>
      <c r="C228">
        <v>0.1</v>
      </c>
      <c r="D228">
        <v>12</v>
      </c>
      <c r="E228">
        <v>50</v>
      </c>
      <c r="F228">
        <v>36</v>
      </c>
      <c r="G228" s="3">
        <f t="shared" si="120"/>
        <v>3</v>
      </c>
      <c r="Q228">
        <v>35.799999999999997</v>
      </c>
      <c r="R228">
        <v>4.8</v>
      </c>
      <c r="S228">
        <v>2.1</v>
      </c>
      <c r="T228">
        <v>24.6</v>
      </c>
      <c r="U228">
        <v>0.5</v>
      </c>
      <c r="V228">
        <f t="shared" si="121"/>
        <v>1.6089385474860336</v>
      </c>
      <c r="W228">
        <f t="shared" si="122"/>
        <v>0.51536312849162025</v>
      </c>
      <c r="X228">
        <v>32.1</v>
      </c>
      <c r="Y228" s="3">
        <v>14.6</v>
      </c>
      <c r="Z228">
        <v>41</v>
      </c>
      <c r="AA228">
        <v>4</v>
      </c>
      <c r="AB228">
        <v>2.6</v>
      </c>
      <c r="AC228">
        <v>8.1999999999999993</v>
      </c>
      <c r="AD228">
        <v>0.7</v>
      </c>
      <c r="AE228">
        <f t="shared" si="42"/>
        <v>1.1707317073170733</v>
      </c>
      <c r="AF228">
        <f t="shared" si="114"/>
        <v>0.15</v>
      </c>
      <c r="AG228" s="3">
        <v>43.5</v>
      </c>
      <c r="AH228">
        <v>13.7</v>
      </c>
      <c r="AI228" s="3">
        <v>65.7</v>
      </c>
    </row>
    <row r="229" spans="1:38" x14ac:dyDescent="0.5">
      <c r="A229" s="4">
        <v>60</v>
      </c>
      <c r="B229">
        <v>180</v>
      </c>
      <c r="C229">
        <v>0.1</v>
      </c>
      <c r="D229">
        <v>12</v>
      </c>
      <c r="E229">
        <v>50</v>
      </c>
      <c r="F229">
        <v>36</v>
      </c>
      <c r="G229" s="3">
        <f t="shared" si="120"/>
        <v>3</v>
      </c>
      <c r="Q229">
        <v>37.700000000000003</v>
      </c>
      <c r="R229">
        <v>5</v>
      </c>
      <c r="S229">
        <v>2.2999999999999998</v>
      </c>
      <c r="T229">
        <v>26.1</v>
      </c>
      <c r="U229">
        <v>0.9</v>
      </c>
      <c r="V229">
        <f t="shared" si="121"/>
        <v>1.5915119363395223</v>
      </c>
      <c r="W229">
        <f t="shared" si="122"/>
        <v>0.51923076923076916</v>
      </c>
      <c r="X229">
        <v>28.5</v>
      </c>
      <c r="Y229" s="3">
        <v>15.9</v>
      </c>
      <c r="Z229">
        <v>40.9</v>
      </c>
      <c r="AA229">
        <v>4.5999999999999996</v>
      </c>
      <c r="AB229">
        <v>2.8</v>
      </c>
      <c r="AC229">
        <v>18.8</v>
      </c>
      <c r="AD229">
        <v>0.6</v>
      </c>
      <c r="AE229">
        <f t="shared" si="42"/>
        <v>1.3496332518337408</v>
      </c>
      <c r="AF229">
        <f t="shared" si="114"/>
        <v>0.34474327628361862</v>
      </c>
      <c r="AG229" s="3">
        <v>32.5</v>
      </c>
      <c r="AH229">
        <v>15.5</v>
      </c>
      <c r="AI229" s="3">
        <v>86.6</v>
      </c>
    </row>
    <row r="230" spans="1:38" x14ac:dyDescent="0.5">
      <c r="A230" s="4">
        <v>60</v>
      </c>
      <c r="B230">
        <v>210</v>
      </c>
      <c r="C230">
        <v>0.1</v>
      </c>
      <c r="D230">
        <v>12</v>
      </c>
      <c r="E230">
        <v>50</v>
      </c>
      <c r="F230">
        <v>36</v>
      </c>
      <c r="G230" s="3">
        <f t="shared" si="120"/>
        <v>3</v>
      </c>
      <c r="Q230">
        <v>37.700000000000003</v>
      </c>
      <c r="R230">
        <v>5</v>
      </c>
      <c r="S230">
        <v>2.2999999999999998</v>
      </c>
      <c r="T230">
        <v>26.1</v>
      </c>
      <c r="U230">
        <v>0.9</v>
      </c>
      <c r="V230">
        <f t="shared" ref="V230:V232" si="123">(R230/1)/(Q230/12)</f>
        <v>1.5915119363395223</v>
      </c>
      <c r="W230">
        <f t="shared" ref="W230:W232" si="124">(T230/16)/(Q230/12)</f>
        <v>0.51923076923076916</v>
      </c>
      <c r="X230">
        <v>28.5</v>
      </c>
      <c r="Y230" s="3">
        <v>15.9</v>
      </c>
      <c r="Z230">
        <v>45.2</v>
      </c>
      <c r="AA230">
        <v>4.8</v>
      </c>
      <c r="AB230">
        <v>2.9</v>
      </c>
      <c r="AC230">
        <v>11.4</v>
      </c>
      <c r="AD230">
        <v>0.6</v>
      </c>
      <c r="AE230">
        <f t="shared" si="42"/>
        <v>1.2743362831858405</v>
      </c>
      <c r="AF230">
        <f t="shared" si="114"/>
        <v>0.18915929203539822</v>
      </c>
      <c r="AG230" s="3">
        <v>35</v>
      </c>
      <c r="AH230">
        <v>14.5</v>
      </c>
      <c r="AI230" s="3">
        <v>81.099999999999994</v>
      </c>
    </row>
    <row r="231" spans="1:38" x14ac:dyDescent="0.5">
      <c r="A231" s="4">
        <v>60</v>
      </c>
      <c r="B231">
        <v>240</v>
      </c>
      <c r="C231">
        <v>0.1</v>
      </c>
      <c r="D231">
        <v>12</v>
      </c>
      <c r="E231">
        <v>50</v>
      </c>
      <c r="F231">
        <v>36</v>
      </c>
      <c r="G231" s="3">
        <f t="shared" si="120"/>
        <v>3</v>
      </c>
      <c r="Q231">
        <v>37.700000000000003</v>
      </c>
      <c r="R231">
        <v>5</v>
      </c>
      <c r="S231">
        <v>2.2999999999999998</v>
      </c>
      <c r="T231">
        <v>26.1</v>
      </c>
      <c r="U231">
        <v>0.9</v>
      </c>
      <c r="V231">
        <f t="shared" si="123"/>
        <v>1.5915119363395223</v>
      </c>
      <c r="W231">
        <f t="shared" si="124"/>
        <v>0.51923076923076916</v>
      </c>
      <c r="X231">
        <v>28.5</v>
      </c>
      <c r="Y231" s="3">
        <v>15.9</v>
      </c>
      <c r="Z231">
        <v>45</v>
      </c>
      <c r="AA231">
        <v>4.5999999999999996</v>
      </c>
      <c r="AB231">
        <v>2.9</v>
      </c>
      <c r="AC231">
        <v>8.6999999999999993</v>
      </c>
      <c r="AD231">
        <v>0.6</v>
      </c>
      <c r="AE231">
        <f t="shared" si="42"/>
        <v>1.2266666666666666</v>
      </c>
      <c r="AF231">
        <f t="shared" si="114"/>
        <v>0.14499999999999999</v>
      </c>
      <c r="AG231" s="3">
        <v>38.299999999999997</v>
      </c>
      <c r="AH231">
        <v>16.100000000000001</v>
      </c>
      <c r="AI231" s="3">
        <v>68.3</v>
      </c>
    </row>
    <row r="232" spans="1:38" x14ac:dyDescent="0.5">
      <c r="A232" s="4">
        <v>60</v>
      </c>
      <c r="B232">
        <v>180</v>
      </c>
      <c r="C232">
        <v>0.1</v>
      </c>
      <c r="D232">
        <v>12</v>
      </c>
      <c r="E232">
        <v>50</v>
      </c>
      <c r="F232">
        <v>36</v>
      </c>
      <c r="G232" s="3">
        <f t="shared" ref="G232:G239" si="125">F232/D232</f>
        <v>3</v>
      </c>
      <c r="Q232">
        <v>26.8</v>
      </c>
      <c r="R232">
        <v>3.4</v>
      </c>
      <c r="S232">
        <v>1.7</v>
      </c>
      <c r="T232">
        <v>22.8</v>
      </c>
      <c r="U232">
        <v>0.4</v>
      </c>
      <c r="V232">
        <f t="shared" si="123"/>
        <v>1.5223880597014925</v>
      </c>
      <c r="W232">
        <f t="shared" si="124"/>
        <v>0.63805970149253732</v>
      </c>
      <c r="X232">
        <v>44.8</v>
      </c>
      <c r="Y232" s="3">
        <f>(0.338*Q232)+1.428*(R232-(T232/8))</f>
        <v>9.8437999999999999</v>
      </c>
      <c r="Z232">
        <v>28.9</v>
      </c>
      <c r="AA232">
        <v>3.4</v>
      </c>
      <c r="AB232">
        <v>1.8</v>
      </c>
      <c r="AC232">
        <v>16.2</v>
      </c>
      <c r="AD232">
        <v>0.2</v>
      </c>
      <c r="AE232">
        <f t="shared" si="42"/>
        <v>1.411764705882353</v>
      </c>
      <c r="AF232">
        <f t="shared" si="114"/>
        <v>0.42041522491349481</v>
      </c>
      <c r="AG232" s="3">
        <v>49.5</v>
      </c>
      <c r="AH232">
        <f>(0.338*Z232)+1.428*(AA232-(AC232/8))</f>
        <v>11.7317</v>
      </c>
      <c r="AI232" s="3">
        <v>61</v>
      </c>
    </row>
    <row r="233" spans="1:38" x14ac:dyDescent="0.5">
      <c r="A233" s="4">
        <v>60</v>
      </c>
      <c r="B233">
        <v>210</v>
      </c>
      <c r="C233">
        <v>0.1</v>
      </c>
      <c r="D233">
        <v>12</v>
      </c>
      <c r="E233">
        <v>50</v>
      </c>
      <c r="F233">
        <v>36</v>
      </c>
      <c r="G233" s="3">
        <f t="shared" si="125"/>
        <v>3</v>
      </c>
      <c r="Q233">
        <v>26.8</v>
      </c>
      <c r="R233">
        <v>3.4</v>
      </c>
      <c r="S233">
        <v>1.7</v>
      </c>
      <c r="T233">
        <v>22.8</v>
      </c>
      <c r="U233">
        <v>0.4</v>
      </c>
      <c r="V233">
        <f t="shared" ref="V233:V235" si="126">(R233/1)/(Q233/12)</f>
        <v>1.5223880597014925</v>
      </c>
      <c r="W233">
        <f t="shared" ref="W233:W235" si="127">(T233/16)/(Q233/12)</f>
        <v>0.63805970149253732</v>
      </c>
      <c r="X233">
        <v>45.8</v>
      </c>
      <c r="Y233" s="3">
        <f t="shared" ref="Y233:Y234" si="128">(0.338*Q233)+1.428*(R233-(T233/8))</f>
        <v>9.8437999999999999</v>
      </c>
      <c r="Z233">
        <v>31.4</v>
      </c>
      <c r="AA233">
        <v>3.5</v>
      </c>
      <c r="AB233">
        <v>1.9</v>
      </c>
      <c r="AC233">
        <v>9.1</v>
      </c>
      <c r="AD233">
        <v>0.4</v>
      </c>
      <c r="AE233">
        <f t="shared" si="42"/>
        <v>1.3375796178343948</v>
      </c>
      <c r="AF233">
        <f t="shared" si="114"/>
        <v>0.21735668789808915</v>
      </c>
      <c r="AG233" s="3">
        <v>53.7</v>
      </c>
      <c r="AH233">
        <f t="shared" ref="AH233:AH236" si="129">(0.338*Z233)+1.428*(AA233-(AC233/8))</f>
        <v>13.98685</v>
      </c>
      <c r="AI233" s="3">
        <v>66.099999999999994</v>
      </c>
    </row>
    <row r="234" spans="1:38" x14ac:dyDescent="0.5">
      <c r="A234" s="4">
        <v>60</v>
      </c>
      <c r="B234">
        <v>240</v>
      </c>
      <c r="C234">
        <v>0.1</v>
      </c>
      <c r="D234">
        <v>12</v>
      </c>
      <c r="E234">
        <v>50</v>
      </c>
      <c r="F234">
        <v>36</v>
      </c>
      <c r="G234" s="3">
        <f t="shared" si="125"/>
        <v>3</v>
      </c>
      <c r="Q234">
        <v>26.8</v>
      </c>
      <c r="R234">
        <v>3.4</v>
      </c>
      <c r="S234">
        <v>1.7</v>
      </c>
      <c r="T234">
        <v>22.8</v>
      </c>
      <c r="U234">
        <v>0.4</v>
      </c>
      <c r="V234">
        <f t="shared" si="126"/>
        <v>1.5223880597014925</v>
      </c>
      <c r="W234">
        <f t="shared" si="127"/>
        <v>0.63805970149253732</v>
      </c>
      <c r="X234">
        <v>46.8</v>
      </c>
      <c r="Y234" s="3">
        <f t="shared" si="128"/>
        <v>9.8437999999999999</v>
      </c>
      <c r="Z234">
        <v>32.5</v>
      </c>
      <c r="AA234">
        <v>3.3</v>
      </c>
      <c r="AB234">
        <v>1.9</v>
      </c>
      <c r="AC234">
        <v>3.2</v>
      </c>
      <c r="AD234">
        <v>0.5</v>
      </c>
      <c r="AE234">
        <f t="shared" si="42"/>
        <v>1.2184615384615383</v>
      </c>
      <c r="AF234">
        <f t="shared" si="114"/>
        <v>7.3846153846153853E-2</v>
      </c>
      <c r="AG234" s="3">
        <v>58.6</v>
      </c>
      <c r="AH234">
        <f t="shared" si="129"/>
        <v>15.126200000000001</v>
      </c>
      <c r="AI234" s="3">
        <v>60.5</v>
      </c>
    </row>
    <row r="235" spans="1:38" x14ac:dyDescent="0.5">
      <c r="A235" s="4">
        <v>60</v>
      </c>
      <c r="B235">
        <v>180</v>
      </c>
      <c r="C235">
        <v>0.1</v>
      </c>
      <c r="D235">
        <v>12</v>
      </c>
      <c r="E235">
        <v>50</v>
      </c>
      <c r="F235">
        <v>36</v>
      </c>
      <c r="G235" s="3">
        <f t="shared" si="125"/>
        <v>3</v>
      </c>
      <c r="Q235">
        <v>28.2</v>
      </c>
      <c r="R235">
        <v>3.6</v>
      </c>
      <c r="S235">
        <v>1.7</v>
      </c>
      <c r="T235">
        <v>20.3</v>
      </c>
      <c r="U235">
        <v>0.4</v>
      </c>
      <c r="V235">
        <f t="shared" si="126"/>
        <v>1.5319148936170213</v>
      </c>
      <c r="W235">
        <f t="shared" si="127"/>
        <v>0.53989361702127658</v>
      </c>
      <c r="X235">
        <v>45.7</v>
      </c>
      <c r="Y235" s="3">
        <f>(0.338*Q235)+1.428*(R235-(T235/8))</f>
        <v>11.048850000000002</v>
      </c>
      <c r="Z235">
        <v>36.700000000000003</v>
      </c>
      <c r="AA235">
        <v>4.2</v>
      </c>
      <c r="AB235">
        <v>2.2999999999999998</v>
      </c>
      <c r="AC235">
        <v>12.9</v>
      </c>
      <c r="AD235">
        <v>0.5</v>
      </c>
      <c r="AE235">
        <f t="shared" si="42"/>
        <v>1.3732970027247955</v>
      </c>
      <c r="AF235">
        <f t="shared" si="114"/>
        <v>0.26362397820163486</v>
      </c>
      <c r="AG235" s="3">
        <v>43.4</v>
      </c>
      <c r="AH235">
        <f t="shared" si="129"/>
        <v>16.099550000000001</v>
      </c>
      <c r="AI235" s="3">
        <v>86.2</v>
      </c>
    </row>
    <row r="236" spans="1:38" x14ac:dyDescent="0.5">
      <c r="A236" s="4">
        <v>60</v>
      </c>
      <c r="B236">
        <v>210</v>
      </c>
      <c r="C236">
        <v>0.1</v>
      </c>
      <c r="D236">
        <v>12</v>
      </c>
      <c r="E236">
        <v>50</v>
      </c>
      <c r="F236">
        <v>36</v>
      </c>
      <c r="G236" s="3">
        <f t="shared" si="125"/>
        <v>3</v>
      </c>
      <c r="Q236">
        <v>28.2</v>
      </c>
      <c r="R236">
        <v>3.6</v>
      </c>
      <c r="S236">
        <v>1.7</v>
      </c>
      <c r="T236">
        <v>20.3</v>
      </c>
      <c r="U236">
        <v>0.4</v>
      </c>
      <c r="V236">
        <f t="shared" ref="V236:V237" si="130">(R236/1)/(Q236/12)</f>
        <v>1.5319148936170213</v>
      </c>
      <c r="W236">
        <f t="shared" ref="W236:W237" si="131">(T236/16)/(Q236/12)</f>
        <v>0.53989361702127658</v>
      </c>
      <c r="X236">
        <v>46.7</v>
      </c>
      <c r="Y236" s="3">
        <f t="shared" ref="Y236:Y237" si="132">(0.338*Q236)+1.428*(R236-(T236/8))</f>
        <v>11.048850000000002</v>
      </c>
      <c r="Z236">
        <v>35.5</v>
      </c>
      <c r="AA236">
        <v>3.8</v>
      </c>
      <c r="AB236">
        <v>2.1</v>
      </c>
      <c r="AC236">
        <v>13.6</v>
      </c>
      <c r="AD236">
        <v>0.4</v>
      </c>
      <c r="AE236">
        <f t="shared" si="42"/>
        <v>1.284507042253521</v>
      </c>
      <c r="AF236">
        <f t="shared" si="114"/>
        <v>0.28732394366197184</v>
      </c>
      <c r="AG236" s="3">
        <v>44.6</v>
      </c>
      <c r="AH236">
        <f t="shared" si="129"/>
        <v>14.9978</v>
      </c>
      <c r="AI236" s="3">
        <v>75.8</v>
      </c>
    </row>
    <row r="237" spans="1:38" x14ac:dyDescent="0.5">
      <c r="A237" s="4">
        <v>60</v>
      </c>
      <c r="B237">
        <v>240</v>
      </c>
      <c r="C237">
        <v>0.1</v>
      </c>
      <c r="D237">
        <v>12</v>
      </c>
      <c r="E237">
        <v>50</v>
      </c>
      <c r="F237">
        <v>36</v>
      </c>
      <c r="G237" s="3">
        <f t="shared" si="125"/>
        <v>3</v>
      </c>
      <c r="Q237">
        <v>28.2</v>
      </c>
      <c r="R237">
        <v>3.6</v>
      </c>
      <c r="S237">
        <v>1.7</v>
      </c>
      <c r="T237">
        <v>20.3</v>
      </c>
      <c r="U237">
        <v>0.4</v>
      </c>
      <c r="V237">
        <f t="shared" si="130"/>
        <v>1.5319148936170213</v>
      </c>
      <c r="W237">
        <f t="shared" si="131"/>
        <v>0.53989361702127658</v>
      </c>
      <c r="X237">
        <v>47.7</v>
      </c>
      <c r="Y237" s="3">
        <f t="shared" si="132"/>
        <v>11.048850000000002</v>
      </c>
      <c r="Z237">
        <v>37.700000000000003</v>
      </c>
      <c r="AA237">
        <v>3.9</v>
      </c>
      <c r="AB237">
        <v>2.2000000000000002</v>
      </c>
      <c r="AC237">
        <v>6</v>
      </c>
      <c r="AD237">
        <v>0.3</v>
      </c>
      <c r="AE237">
        <f t="shared" si="42"/>
        <v>1.2413793103448274</v>
      </c>
      <c r="AF237">
        <f t="shared" si="114"/>
        <v>0.11936339522546417</v>
      </c>
      <c r="AG237" s="3">
        <v>49.9</v>
      </c>
      <c r="AH237">
        <f>(0.338*Z237)+1.428*(AA237-(AC237/8))</f>
        <v>17.2408</v>
      </c>
      <c r="AI237" s="3">
        <v>70.3</v>
      </c>
    </row>
    <row r="238" spans="1:38" x14ac:dyDescent="0.5">
      <c r="A238">
        <v>120</v>
      </c>
      <c r="B238" s="4">
        <v>210</v>
      </c>
      <c r="C238">
        <v>0.1</v>
      </c>
      <c r="D238">
        <v>60</v>
      </c>
      <c r="E238">
        <v>1000</v>
      </c>
      <c r="F238">
        <v>300</v>
      </c>
      <c r="G238" s="3">
        <f t="shared" si="125"/>
        <v>5</v>
      </c>
      <c r="K238">
        <v>30.19</v>
      </c>
      <c r="L238">
        <v>15.64</v>
      </c>
      <c r="M238">
        <v>51.72</v>
      </c>
      <c r="N238">
        <v>67</v>
      </c>
      <c r="O238">
        <v>15.03</v>
      </c>
      <c r="P238" s="3">
        <v>10.79</v>
      </c>
      <c r="Q238">
        <v>51.25</v>
      </c>
      <c r="R238">
        <v>7.57</v>
      </c>
      <c r="S238">
        <v>0.92</v>
      </c>
      <c r="T238">
        <v>31.4</v>
      </c>
      <c r="U238">
        <v>0</v>
      </c>
      <c r="V238">
        <f t="shared" ref="V238:V259" si="133">(R238/1)/(Q238/12)</f>
        <v>1.772487804878049</v>
      </c>
      <c r="W238">
        <f t="shared" ref="W238:W258" si="134">(T238/16)/(Q238/12)</f>
        <v>0.45951219512195124</v>
      </c>
      <c r="X238">
        <v>7.18</v>
      </c>
      <c r="Y238" s="3">
        <v>18.61</v>
      </c>
      <c r="AH238">
        <v>27.38</v>
      </c>
      <c r="AI238" s="3">
        <v>62</v>
      </c>
      <c r="AJ238" s="2" t="s">
        <v>80</v>
      </c>
      <c r="AK238" t="s">
        <v>81</v>
      </c>
      <c r="AL238">
        <v>23</v>
      </c>
    </row>
    <row r="239" spans="1:38" x14ac:dyDescent="0.5">
      <c r="A239">
        <v>240</v>
      </c>
      <c r="B239" s="4">
        <v>210</v>
      </c>
      <c r="C239">
        <v>0.1</v>
      </c>
      <c r="D239">
        <v>120</v>
      </c>
      <c r="E239">
        <v>1000</v>
      </c>
      <c r="F239">
        <v>300</v>
      </c>
      <c r="G239" s="3">
        <f t="shared" si="125"/>
        <v>2.5</v>
      </c>
      <c r="K239">
        <v>30.19</v>
      </c>
      <c r="L239">
        <v>15.64</v>
      </c>
      <c r="M239">
        <v>51.72</v>
      </c>
      <c r="N239">
        <v>67</v>
      </c>
      <c r="O239">
        <v>15.03</v>
      </c>
      <c r="P239" s="3">
        <v>10.79</v>
      </c>
      <c r="Q239">
        <v>51.25</v>
      </c>
      <c r="R239">
        <v>7.57</v>
      </c>
      <c r="S239">
        <v>0.92</v>
      </c>
      <c r="T239">
        <v>31.4</v>
      </c>
      <c r="U239">
        <v>0</v>
      </c>
      <c r="V239">
        <f t="shared" si="133"/>
        <v>1.772487804878049</v>
      </c>
      <c r="W239">
        <f t="shared" si="134"/>
        <v>0.45951219512195124</v>
      </c>
      <c r="X239">
        <v>7.18</v>
      </c>
      <c r="Y239" s="3">
        <v>18.61</v>
      </c>
      <c r="AH239">
        <v>28.91</v>
      </c>
      <c r="AI239" s="3">
        <v>60.5</v>
      </c>
    </row>
    <row r="240" spans="1:38" x14ac:dyDescent="0.5">
      <c r="A240">
        <v>120</v>
      </c>
      <c r="B240" s="4">
        <v>240</v>
      </c>
      <c r="C240">
        <v>0.1</v>
      </c>
      <c r="D240">
        <v>120</v>
      </c>
      <c r="E240">
        <v>1000</v>
      </c>
      <c r="F240">
        <v>300</v>
      </c>
      <c r="G240" s="3">
        <f t="shared" ref="G240" si="135">F240/D240</f>
        <v>2.5</v>
      </c>
      <c r="K240">
        <v>30.19</v>
      </c>
      <c r="L240">
        <v>15.64</v>
      </c>
      <c r="M240">
        <v>51.72</v>
      </c>
      <c r="N240">
        <v>67</v>
      </c>
      <c r="O240">
        <v>15.03</v>
      </c>
      <c r="P240" s="3">
        <v>10.79</v>
      </c>
      <c r="Q240">
        <v>51.25</v>
      </c>
      <c r="R240">
        <v>7.57</v>
      </c>
      <c r="S240">
        <v>0.92</v>
      </c>
      <c r="T240">
        <v>31.4</v>
      </c>
      <c r="U240">
        <v>0</v>
      </c>
      <c r="V240">
        <f t="shared" si="133"/>
        <v>1.772487804878049</v>
      </c>
      <c r="W240">
        <f t="shared" si="134"/>
        <v>0.45951219512195124</v>
      </c>
      <c r="X240">
        <v>7.18</v>
      </c>
      <c r="Y240" s="3">
        <v>18.61</v>
      </c>
      <c r="AH240">
        <v>31.38</v>
      </c>
      <c r="AI240" s="3">
        <v>54</v>
      </c>
    </row>
    <row r="241" spans="1:38" x14ac:dyDescent="0.5">
      <c r="A241">
        <v>120</v>
      </c>
      <c r="B241" s="4">
        <v>180</v>
      </c>
      <c r="C241">
        <v>0.1</v>
      </c>
      <c r="D241">
        <v>120</v>
      </c>
      <c r="E241">
        <v>1000</v>
      </c>
      <c r="F241">
        <v>300</v>
      </c>
      <c r="G241" s="3">
        <f t="shared" ref="G241:G245" si="136">F241/D241</f>
        <v>2.5</v>
      </c>
      <c r="K241">
        <v>30.19</v>
      </c>
      <c r="L241">
        <v>15.64</v>
      </c>
      <c r="M241">
        <v>51.72</v>
      </c>
      <c r="N241">
        <v>67</v>
      </c>
      <c r="O241">
        <v>15.03</v>
      </c>
      <c r="P241" s="3">
        <v>10.79</v>
      </c>
      <c r="Q241">
        <v>51.25</v>
      </c>
      <c r="R241">
        <v>7.57</v>
      </c>
      <c r="S241">
        <v>0.92</v>
      </c>
      <c r="T241">
        <v>31.4</v>
      </c>
      <c r="U241">
        <v>0</v>
      </c>
      <c r="V241">
        <f t="shared" si="133"/>
        <v>1.772487804878049</v>
      </c>
      <c r="W241">
        <f t="shared" si="134"/>
        <v>0.45951219512195124</v>
      </c>
      <c r="X241">
        <v>7.18</v>
      </c>
      <c r="Y241" s="3">
        <v>18.61</v>
      </c>
      <c r="AH241">
        <v>28.72</v>
      </c>
      <c r="AI241" s="3">
        <v>70</v>
      </c>
    </row>
    <row r="242" spans="1:38" x14ac:dyDescent="0.5">
      <c r="A242">
        <v>240</v>
      </c>
      <c r="B242" s="4">
        <v>210</v>
      </c>
      <c r="C242">
        <v>0.1</v>
      </c>
      <c r="D242">
        <v>120</v>
      </c>
      <c r="E242">
        <v>1000</v>
      </c>
      <c r="F242">
        <v>300</v>
      </c>
      <c r="G242" s="3">
        <f t="shared" si="136"/>
        <v>2.5</v>
      </c>
      <c r="K242">
        <v>30.19</v>
      </c>
      <c r="L242">
        <v>15.64</v>
      </c>
      <c r="M242">
        <v>51.72</v>
      </c>
      <c r="N242">
        <v>67</v>
      </c>
      <c r="O242">
        <v>15.03</v>
      </c>
      <c r="P242" s="3">
        <v>10.79</v>
      </c>
      <c r="Q242">
        <v>51.25</v>
      </c>
      <c r="R242">
        <v>7.57</v>
      </c>
      <c r="S242">
        <v>0.92</v>
      </c>
      <c r="T242">
        <v>31.4</v>
      </c>
      <c r="U242">
        <v>0</v>
      </c>
      <c r="V242">
        <f t="shared" si="133"/>
        <v>1.772487804878049</v>
      </c>
      <c r="W242">
        <f t="shared" si="134"/>
        <v>0.45951219512195124</v>
      </c>
      <c r="X242">
        <v>7.18</v>
      </c>
      <c r="Y242" s="3">
        <v>18.61</v>
      </c>
      <c r="AH242">
        <v>27.95</v>
      </c>
      <c r="AI242" s="3">
        <v>61</v>
      </c>
    </row>
    <row r="243" spans="1:38" x14ac:dyDescent="0.5">
      <c r="A243">
        <v>360</v>
      </c>
      <c r="B243" s="4">
        <v>240</v>
      </c>
      <c r="C243">
        <v>0.1</v>
      </c>
      <c r="D243">
        <v>120</v>
      </c>
      <c r="E243">
        <v>1000</v>
      </c>
      <c r="F243">
        <v>300</v>
      </c>
      <c r="G243" s="3">
        <f t="shared" si="136"/>
        <v>2.5</v>
      </c>
      <c r="K243">
        <v>30.19</v>
      </c>
      <c r="L243">
        <v>15.64</v>
      </c>
      <c r="M243">
        <v>51.72</v>
      </c>
      <c r="N243">
        <v>67</v>
      </c>
      <c r="O243">
        <v>15.03</v>
      </c>
      <c r="P243" s="3">
        <v>10.79</v>
      </c>
      <c r="Q243">
        <v>51.25</v>
      </c>
      <c r="R243">
        <v>7.57</v>
      </c>
      <c r="S243">
        <v>0.92</v>
      </c>
      <c r="T243">
        <v>31.4</v>
      </c>
      <c r="U243">
        <v>0</v>
      </c>
      <c r="V243">
        <f t="shared" si="133"/>
        <v>1.772487804878049</v>
      </c>
      <c r="W243">
        <f t="shared" si="134"/>
        <v>0.45951219512195124</v>
      </c>
      <c r="X243">
        <v>7.18</v>
      </c>
      <c r="Y243" s="3">
        <v>18.61</v>
      </c>
      <c r="AH243">
        <v>32.64</v>
      </c>
      <c r="AI243" s="3">
        <v>51</v>
      </c>
    </row>
    <row r="244" spans="1:38" x14ac:dyDescent="0.5">
      <c r="A244">
        <v>360</v>
      </c>
      <c r="B244" s="4">
        <v>210</v>
      </c>
      <c r="C244">
        <v>0.1</v>
      </c>
      <c r="D244">
        <v>60</v>
      </c>
      <c r="E244">
        <v>1000</v>
      </c>
      <c r="F244">
        <v>300</v>
      </c>
      <c r="G244" s="3">
        <f t="shared" si="136"/>
        <v>5</v>
      </c>
      <c r="K244">
        <v>30.19</v>
      </c>
      <c r="L244">
        <v>15.64</v>
      </c>
      <c r="M244">
        <v>51.72</v>
      </c>
      <c r="N244">
        <v>67</v>
      </c>
      <c r="O244">
        <v>15.03</v>
      </c>
      <c r="P244" s="3">
        <v>10.79</v>
      </c>
      <c r="Q244">
        <v>51.25</v>
      </c>
      <c r="R244">
        <v>7.57</v>
      </c>
      <c r="S244">
        <v>0.92</v>
      </c>
      <c r="T244">
        <v>31.4</v>
      </c>
      <c r="U244">
        <v>0</v>
      </c>
      <c r="V244">
        <f t="shared" si="133"/>
        <v>1.772487804878049</v>
      </c>
      <c r="W244">
        <f t="shared" si="134"/>
        <v>0.45951219512195124</v>
      </c>
      <c r="X244">
        <v>7.18</v>
      </c>
      <c r="Y244" s="3">
        <v>18.61</v>
      </c>
      <c r="AH244">
        <v>29.9</v>
      </c>
      <c r="AI244" s="3">
        <v>60</v>
      </c>
    </row>
    <row r="245" spans="1:38" x14ac:dyDescent="0.5">
      <c r="A245">
        <v>240</v>
      </c>
      <c r="B245" s="4">
        <v>180</v>
      </c>
      <c r="C245">
        <v>0.1</v>
      </c>
      <c r="D245">
        <v>60</v>
      </c>
      <c r="E245">
        <v>1000</v>
      </c>
      <c r="F245">
        <v>300</v>
      </c>
      <c r="G245" s="3">
        <f t="shared" si="136"/>
        <v>5</v>
      </c>
      <c r="K245">
        <v>30.19</v>
      </c>
      <c r="L245">
        <v>15.64</v>
      </c>
      <c r="M245">
        <v>51.72</v>
      </c>
      <c r="N245">
        <v>67</v>
      </c>
      <c r="O245">
        <v>15.03</v>
      </c>
      <c r="P245" s="3">
        <v>10.79</v>
      </c>
      <c r="Q245">
        <v>51.25</v>
      </c>
      <c r="R245">
        <v>7.57</v>
      </c>
      <c r="S245">
        <v>0.92</v>
      </c>
      <c r="T245">
        <v>31.4</v>
      </c>
      <c r="U245">
        <v>0</v>
      </c>
      <c r="V245">
        <f t="shared" si="133"/>
        <v>1.772487804878049</v>
      </c>
      <c r="W245">
        <f t="shared" si="134"/>
        <v>0.45951219512195124</v>
      </c>
      <c r="X245">
        <v>7.18</v>
      </c>
      <c r="Y245" s="3">
        <v>18.61</v>
      </c>
      <c r="AH245">
        <v>26.32</v>
      </c>
      <c r="AI245" s="3">
        <v>69</v>
      </c>
    </row>
    <row r="246" spans="1:38" x14ac:dyDescent="0.5">
      <c r="A246">
        <v>240</v>
      </c>
      <c r="B246" s="4">
        <v>210</v>
      </c>
      <c r="C246">
        <v>0.1</v>
      </c>
      <c r="D246">
        <v>120</v>
      </c>
      <c r="E246">
        <v>1000</v>
      </c>
      <c r="F246">
        <v>300</v>
      </c>
      <c r="G246" s="3">
        <f t="shared" ref="G246:G247" si="137">F246/D246</f>
        <v>2.5</v>
      </c>
      <c r="K246">
        <v>30.19</v>
      </c>
      <c r="L246">
        <v>15.64</v>
      </c>
      <c r="M246">
        <v>51.72</v>
      </c>
      <c r="N246">
        <v>67</v>
      </c>
      <c r="O246">
        <v>15.03</v>
      </c>
      <c r="P246" s="3">
        <v>10.79</v>
      </c>
      <c r="Q246">
        <v>51.25</v>
      </c>
      <c r="R246">
        <v>7.57</v>
      </c>
      <c r="S246">
        <v>0.92</v>
      </c>
      <c r="T246">
        <v>31.4</v>
      </c>
      <c r="U246">
        <v>0</v>
      </c>
      <c r="V246">
        <f t="shared" si="133"/>
        <v>1.772487804878049</v>
      </c>
      <c r="W246">
        <f t="shared" si="134"/>
        <v>0.45951219512195124</v>
      </c>
      <c r="X246">
        <v>7.18</v>
      </c>
      <c r="Y246" s="3">
        <v>18.61</v>
      </c>
      <c r="AH246">
        <v>28.91</v>
      </c>
      <c r="AI246" s="3">
        <v>60.2</v>
      </c>
    </row>
    <row r="247" spans="1:38" x14ac:dyDescent="0.5">
      <c r="A247">
        <v>240</v>
      </c>
      <c r="B247" s="4">
        <v>180</v>
      </c>
      <c r="C247">
        <v>0.1</v>
      </c>
      <c r="D247">
        <v>180</v>
      </c>
      <c r="E247">
        <v>1000</v>
      </c>
      <c r="F247">
        <v>300</v>
      </c>
      <c r="G247" s="3">
        <f t="shared" si="137"/>
        <v>1.6666666666666667</v>
      </c>
      <c r="K247">
        <v>30.19</v>
      </c>
      <c r="L247">
        <v>15.64</v>
      </c>
      <c r="M247">
        <v>51.72</v>
      </c>
      <c r="N247">
        <v>67</v>
      </c>
      <c r="O247">
        <v>15.03</v>
      </c>
      <c r="P247" s="3">
        <v>10.79</v>
      </c>
      <c r="Q247">
        <v>51.25</v>
      </c>
      <c r="R247">
        <v>7.57</v>
      </c>
      <c r="S247">
        <v>0.92</v>
      </c>
      <c r="T247">
        <v>31.4</v>
      </c>
      <c r="U247">
        <v>0</v>
      </c>
      <c r="V247">
        <f t="shared" si="133"/>
        <v>1.772487804878049</v>
      </c>
      <c r="W247">
        <f t="shared" si="134"/>
        <v>0.45951219512195124</v>
      </c>
      <c r="X247">
        <v>7.18</v>
      </c>
      <c r="Y247" s="3">
        <v>18.61</v>
      </c>
      <c r="AH247">
        <v>27.79</v>
      </c>
      <c r="AI247" s="3">
        <v>68</v>
      </c>
    </row>
    <row r="248" spans="1:38" x14ac:dyDescent="0.5">
      <c r="A248">
        <v>360</v>
      </c>
      <c r="B248" s="4">
        <v>210</v>
      </c>
      <c r="C248">
        <v>0.1</v>
      </c>
      <c r="D248">
        <v>180</v>
      </c>
      <c r="E248">
        <v>1000</v>
      </c>
      <c r="F248">
        <v>300</v>
      </c>
      <c r="G248" s="3">
        <f t="shared" ref="G248:G253" si="138">F248/D248</f>
        <v>1.6666666666666667</v>
      </c>
      <c r="K248">
        <v>30.19</v>
      </c>
      <c r="L248">
        <v>15.64</v>
      </c>
      <c r="M248">
        <v>51.72</v>
      </c>
      <c r="N248">
        <v>67</v>
      </c>
      <c r="O248">
        <v>15.03</v>
      </c>
      <c r="P248" s="3">
        <v>10.79</v>
      </c>
      <c r="Q248">
        <v>51.25</v>
      </c>
      <c r="R248">
        <v>7.57</v>
      </c>
      <c r="S248">
        <v>0.92</v>
      </c>
      <c r="T248">
        <v>31.4</v>
      </c>
      <c r="U248">
        <v>0</v>
      </c>
      <c r="V248">
        <f t="shared" si="133"/>
        <v>1.772487804878049</v>
      </c>
      <c r="W248">
        <f t="shared" si="134"/>
        <v>0.45951219512195124</v>
      </c>
      <c r="X248">
        <v>7.18</v>
      </c>
      <c r="Y248" s="3">
        <v>18.61</v>
      </c>
      <c r="AH248">
        <v>28.69</v>
      </c>
      <c r="AI248" s="3">
        <v>59</v>
      </c>
    </row>
    <row r="249" spans="1:38" x14ac:dyDescent="0.5">
      <c r="A249">
        <v>120</v>
      </c>
      <c r="B249" s="4">
        <v>210</v>
      </c>
      <c r="C249">
        <v>0.1</v>
      </c>
      <c r="D249">
        <v>180</v>
      </c>
      <c r="E249">
        <v>1000</v>
      </c>
      <c r="F249">
        <v>300</v>
      </c>
      <c r="G249" s="3">
        <f t="shared" si="138"/>
        <v>1.6666666666666667</v>
      </c>
      <c r="K249">
        <v>30.19</v>
      </c>
      <c r="L249">
        <v>15.64</v>
      </c>
      <c r="M249">
        <v>51.72</v>
      </c>
      <c r="N249">
        <v>67</v>
      </c>
      <c r="O249">
        <v>15.03</v>
      </c>
      <c r="P249" s="3">
        <v>10.79</v>
      </c>
      <c r="Q249">
        <v>51.25</v>
      </c>
      <c r="R249">
        <v>7.57</v>
      </c>
      <c r="S249">
        <v>0.92</v>
      </c>
      <c r="T249">
        <v>31.4</v>
      </c>
      <c r="U249">
        <v>0</v>
      </c>
      <c r="V249">
        <f t="shared" si="133"/>
        <v>1.772487804878049</v>
      </c>
      <c r="W249">
        <f t="shared" si="134"/>
        <v>0.45951219512195124</v>
      </c>
      <c r="X249">
        <v>7.18</v>
      </c>
      <c r="Y249" s="3">
        <v>18.61</v>
      </c>
      <c r="AH249">
        <v>27.35</v>
      </c>
      <c r="AI249" s="3">
        <v>60.4</v>
      </c>
    </row>
    <row r="250" spans="1:38" x14ac:dyDescent="0.5">
      <c r="A250">
        <v>240</v>
      </c>
      <c r="B250" s="4">
        <v>240</v>
      </c>
      <c r="C250">
        <v>0.1</v>
      </c>
      <c r="D250">
        <v>180</v>
      </c>
      <c r="E250">
        <v>1000</v>
      </c>
      <c r="F250">
        <v>300</v>
      </c>
      <c r="G250" s="3">
        <f t="shared" si="138"/>
        <v>1.6666666666666667</v>
      </c>
      <c r="K250">
        <v>30.19</v>
      </c>
      <c r="L250">
        <v>15.64</v>
      </c>
      <c r="M250">
        <v>51.72</v>
      </c>
      <c r="N250">
        <v>67</v>
      </c>
      <c r="O250">
        <v>15.03</v>
      </c>
      <c r="P250" s="3">
        <v>10.79</v>
      </c>
      <c r="Q250">
        <v>51.25</v>
      </c>
      <c r="R250">
        <v>7.57</v>
      </c>
      <c r="S250">
        <v>0.92</v>
      </c>
      <c r="T250">
        <v>31.4</v>
      </c>
      <c r="U250">
        <v>0</v>
      </c>
      <c r="V250">
        <f t="shared" si="133"/>
        <v>1.772487804878049</v>
      </c>
      <c r="W250">
        <f t="shared" si="134"/>
        <v>0.45951219512195124</v>
      </c>
      <c r="X250">
        <v>7.18</v>
      </c>
      <c r="Y250" s="3">
        <v>18.61</v>
      </c>
      <c r="AH250">
        <v>32.409999999999997</v>
      </c>
      <c r="AI250" s="3">
        <v>52</v>
      </c>
    </row>
    <row r="251" spans="1:38" x14ac:dyDescent="0.5">
      <c r="A251">
        <v>360</v>
      </c>
      <c r="B251" s="4">
        <v>180</v>
      </c>
      <c r="C251">
        <v>0.1</v>
      </c>
      <c r="D251">
        <v>120</v>
      </c>
      <c r="E251">
        <v>1000</v>
      </c>
      <c r="F251">
        <v>300</v>
      </c>
      <c r="G251" s="3">
        <f t="shared" si="138"/>
        <v>2.5</v>
      </c>
      <c r="K251">
        <v>30.19</v>
      </c>
      <c r="L251">
        <v>15.64</v>
      </c>
      <c r="M251">
        <v>51.72</v>
      </c>
      <c r="N251">
        <v>67</v>
      </c>
      <c r="O251">
        <v>15.03</v>
      </c>
      <c r="P251" s="3">
        <v>10.79</v>
      </c>
      <c r="Q251">
        <v>51.25</v>
      </c>
      <c r="R251">
        <v>7.57</v>
      </c>
      <c r="S251">
        <v>0.92</v>
      </c>
      <c r="T251">
        <v>31.4</v>
      </c>
      <c r="U251">
        <v>0</v>
      </c>
      <c r="V251">
        <f t="shared" si="133"/>
        <v>1.772487804878049</v>
      </c>
      <c r="W251">
        <f t="shared" si="134"/>
        <v>0.45951219512195124</v>
      </c>
      <c r="X251">
        <v>7.18</v>
      </c>
      <c r="Y251" s="3">
        <v>18.61</v>
      </c>
      <c r="AH251">
        <v>29.07</v>
      </c>
      <c r="AI251" s="3">
        <v>68.5</v>
      </c>
    </row>
    <row r="252" spans="1:38" x14ac:dyDescent="0.5">
      <c r="A252">
        <v>240</v>
      </c>
      <c r="B252" s="4">
        <v>240</v>
      </c>
      <c r="C252">
        <v>0.1</v>
      </c>
      <c r="D252">
        <v>60</v>
      </c>
      <c r="E252">
        <v>1000</v>
      </c>
      <c r="F252">
        <v>300</v>
      </c>
      <c r="G252" s="3">
        <f t="shared" si="138"/>
        <v>5</v>
      </c>
      <c r="K252">
        <v>30.19</v>
      </c>
      <c r="L252">
        <v>15.64</v>
      </c>
      <c r="M252">
        <v>51.72</v>
      </c>
      <c r="N252">
        <v>67</v>
      </c>
      <c r="O252">
        <v>15.03</v>
      </c>
      <c r="P252" s="3">
        <v>10.79</v>
      </c>
      <c r="Q252">
        <v>51.25</v>
      </c>
      <c r="R252">
        <v>7.57</v>
      </c>
      <c r="S252">
        <v>0.92</v>
      </c>
      <c r="T252">
        <v>31.4</v>
      </c>
      <c r="U252">
        <v>0</v>
      </c>
      <c r="V252">
        <f t="shared" si="133"/>
        <v>1.772487804878049</v>
      </c>
      <c r="W252">
        <f t="shared" si="134"/>
        <v>0.45951219512195124</v>
      </c>
      <c r="X252">
        <v>7.18</v>
      </c>
      <c r="Y252" s="3">
        <v>18.61</v>
      </c>
      <c r="AH252">
        <v>32.15</v>
      </c>
      <c r="AI252" s="3">
        <v>53</v>
      </c>
    </row>
    <row r="253" spans="1:38" x14ac:dyDescent="0.5">
      <c r="A253">
        <v>360</v>
      </c>
      <c r="B253" s="4">
        <v>270</v>
      </c>
      <c r="C253">
        <v>5</v>
      </c>
      <c r="D253">
        <v>10</v>
      </c>
      <c r="E253">
        <v>100</v>
      </c>
      <c r="F253">
        <v>60</v>
      </c>
      <c r="G253" s="3">
        <f t="shared" si="138"/>
        <v>6</v>
      </c>
      <c r="Q253">
        <v>42.2</v>
      </c>
      <c r="R253">
        <v>5.6</v>
      </c>
      <c r="S253">
        <v>5.2</v>
      </c>
      <c r="T253">
        <v>35.299999999999997</v>
      </c>
      <c r="U253">
        <v>0</v>
      </c>
      <c r="V253">
        <f t="shared" si="133"/>
        <v>1.5924170616113742</v>
      </c>
      <c r="W253">
        <f t="shared" si="134"/>
        <v>0.62736966824644536</v>
      </c>
      <c r="X253">
        <v>11.7</v>
      </c>
      <c r="Y253" s="3">
        <v>17.100000000000001</v>
      </c>
      <c r="Z253">
        <v>69.099999999999994</v>
      </c>
      <c r="AA253">
        <v>0.5</v>
      </c>
      <c r="AB253">
        <v>3.1</v>
      </c>
      <c r="AC253">
        <v>6.4</v>
      </c>
      <c r="AD253">
        <v>0</v>
      </c>
      <c r="AE253">
        <f t="shared" ref="AE253:AE255" si="139">(AA253/1)/(Z253/12)</f>
        <v>8.683068017366137E-2</v>
      </c>
      <c r="AF253">
        <f t="shared" ref="AF253:AF255" si="140">(AC253/16)/(Z253/12)</f>
        <v>6.9464544138929094E-2</v>
      </c>
      <c r="AG253" s="3">
        <v>20.9</v>
      </c>
      <c r="AH253">
        <v>23</v>
      </c>
      <c r="AI253" s="3">
        <v>42.7</v>
      </c>
      <c r="AJ253" s="2" t="s">
        <v>82</v>
      </c>
      <c r="AK253" t="s">
        <v>83</v>
      </c>
      <c r="AL253">
        <v>24</v>
      </c>
    </row>
    <row r="254" spans="1:38" x14ac:dyDescent="0.5">
      <c r="A254">
        <v>360</v>
      </c>
      <c r="B254" s="4">
        <v>270</v>
      </c>
      <c r="C254">
        <v>5</v>
      </c>
      <c r="D254">
        <v>10</v>
      </c>
      <c r="E254">
        <v>100</v>
      </c>
      <c r="F254">
        <v>60</v>
      </c>
      <c r="G254" s="3">
        <f t="shared" ref="G254:G256" si="141">F254/D254</f>
        <v>6</v>
      </c>
      <c r="Q254">
        <v>43.7</v>
      </c>
      <c r="R254">
        <v>6.6</v>
      </c>
      <c r="S254">
        <v>1.1000000000000001</v>
      </c>
      <c r="T254">
        <v>48.3</v>
      </c>
      <c r="U254">
        <v>0</v>
      </c>
      <c r="V254">
        <f t="shared" si="133"/>
        <v>1.812356979405034</v>
      </c>
      <c r="W254">
        <f t="shared" si="134"/>
        <v>0.82894736842105254</v>
      </c>
      <c r="X254">
        <v>0.35</v>
      </c>
      <c r="Y254" s="3">
        <v>17.7</v>
      </c>
      <c r="Z254">
        <v>66.7</v>
      </c>
      <c r="AA254">
        <v>3.6</v>
      </c>
      <c r="AB254">
        <v>2.2999999999999998</v>
      </c>
      <c r="AC254">
        <v>23.3</v>
      </c>
      <c r="AD254">
        <v>0</v>
      </c>
      <c r="AE254">
        <f t="shared" si="139"/>
        <v>0.64767616191904043</v>
      </c>
      <c r="AF254">
        <f t="shared" si="140"/>
        <v>0.26199400299850073</v>
      </c>
      <c r="AG254" s="3">
        <v>4.0999999999999996</v>
      </c>
      <c r="AH254">
        <v>24.5</v>
      </c>
      <c r="AI254" s="3">
        <v>61.4</v>
      </c>
    </row>
    <row r="255" spans="1:38" x14ac:dyDescent="0.5">
      <c r="A255">
        <v>360</v>
      </c>
      <c r="B255" s="4">
        <v>270</v>
      </c>
      <c r="C255">
        <v>5</v>
      </c>
      <c r="D255">
        <v>10</v>
      </c>
      <c r="E255">
        <v>100</v>
      </c>
      <c r="F255">
        <v>60</v>
      </c>
      <c r="G255" s="3">
        <f t="shared" si="141"/>
        <v>6</v>
      </c>
      <c r="Q255">
        <f>(Q253+Q254)/2</f>
        <v>42.95</v>
      </c>
      <c r="R255">
        <f t="shared" ref="R255:Y255" si="142">(R253+R254)/2</f>
        <v>6.1</v>
      </c>
      <c r="S255">
        <f t="shared" si="142"/>
        <v>3.1500000000000004</v>
      </c>
      <c r="T255">
        <f t="shared" si="142"/>
        <v>41.8</v>
      </c>
      <c r="U255">
        <f t="shared" si="142"/>
        <v>0</v>
      </c>
      <c r="V255">
        <f>(R255/1)/(Q255/12)</f>
        <v>1.7043073341094293</v>
      </c>
      <c r="W255">
        <f t="shared" si="134"/>
        <v>0.72991850989522689</v>
      </c>
      <c r="X255">
        <f t="shared" si="142"/>
        <v>6.0249999999999995</v>
      </c>
      <c r="Y255" s="3">
        <f t="shared" si="142"/>
        <v>17.399999999999999</v>
      </c>
      <c r="Z255">
        <v>51.3</v>
      </c>
      <c r="AA255">
        <v>3.6</v>
      </c>
      <c r="AB255">
        <v>3.4</v>
      </c>
      <c r="AC255">
        <v>28.5</v>
      </c>
      <c r="AD255">
        <v>0</v>
      </c>
      <c r="AE255">
        <f t="shared" si="139"/>
        <v>0.84210526315789491</v>
      </c>
      <c r="AF255">
        <f t="shared" si="140"/>
        <v>0.41666666666666674</v>
      </c>
      <c r="AG255" s="3">
        <v>13.2</v>
      </c>
      <c r="AH255">
        <v>18.5</v>
      </c>
      <c r="AI255" s="3">
        <v>53.3</v>
      </c>
    </row>
    <row r="256" spans="1:38" x14ac:dyDescent="0.5">
      <c r="A256">
        <v>360</v>
      </c>
      <c r="B256" s="4">
        <v>270</v>
      </c>
      <c r="C256">
        <v>5</v>
      </c>
      <c r="D256">
        <v>10</v>
      </c>
      <c r="E256">
        <v>100</v>
      </c>
      <c r="F256">
        <v>60</v>
      </c>
      <c r="G256" s="3">
        <f t="shared" si="141"/>
        <v>6</v>
      </c>
      <c r="Q256">
        <v>72.3</v>
      </c>
      <c r="R256">
        <v>1</v>
      </c>
      <c r="S256">
        <v>1.7</v>
      </c>
      <c r="T256">
        <v>4.5999999999999996</v>
      </c>
      <c r="U256">
        <f t="shared" ref="U256:U258" si="143">(U254+U255)/2</f>
        <v>0</v>
      </c>
      <c r="V256">
        <f t="shared" si="133"/>
        <v>0.16597510373443985</v>
      </c>
      <c r="W256">
        <f t="shared" si="134"/>
        <v>4.7717842323651456E-2</v>
      </c>
      <c r="X256" s="3">
        <v>20.3</v>
      </c>
      <c r="Y256" s="3">
        <v>25</v>
      </c>
      <c r="Z256">
        <v>74.400000000000006</v>
      </c>
      <c r="AA256">
        <v>1</v>
      </c>
      <c r="AB256">
        <v>1.9</v>
      </c>
      <c r="AC256">
        <v>2.2999999999999998</v>
      </c>
      <c r="AD256">
        <v>1</v>
      </c>
      <c r="AE256">
        <f t="shared" ref="AE256:AE276" si="144">(AA256/1)/(Z256/12)</f>
        <v>0.16129032258064516</v>
      </c>
      <c r="AF256">
        <f t="shared" ref="AF256:AF352" si="145">(AC256/16)/(Z256/12)</f>
        <v>2.3185483870967739E-2</v>
      </c>
      <c r="AG256" s="3">
        <v>20.399999999999999</v>
      </c>
      <c r="AH256">
        <v>25.9</v>
      </c>
      <c r="AI256" s="3">
        <v>26.7</v>
      </c>
    </row>
    <row r="257" spans="1:38" x14ac:dyDescent="0.5">
      <c r="A257">
        <v>360</v>
      </c>
      <c r="B257" s="4">
        <v>270</v>
      </c>
      <c r="C257">
        <v>5</v>
      </c>
      <c r="D257">
        <v>10</v>
      </c>
      <c r="E257">
        <v>100</v>
      </c>
      <c r="F257">
        <v>60</v>
      </c>
      <c r="G257" s="3">
        <f t="shared" ref="G257:G259" si="146">F257/D257</f>
        <v>6</v>
      </c>
      <c r="Q257">
        <v>76.099999999999994</v>
      </c>
      <c r="R257">
        <v>1.1000000000000001</v>
      </c>
      <c r="S257">
        <v>1.5</v>
      </c>
      <c r="T257">
        <v>15.7</v>
      </c>
      <c r="U257">
        <f t="shared" si="143"/>
        <v>0</v>
      </c>
      <c r="V257">
        <f t="shared" si="133"/>
        <v>0.1734559789750329</v>
      </c>
      <c r="W257">
        <f t="shared" si="134"/>
        <v>0.15473061760841</v>
      </c>
      <c r="X257">
        <v>5.6</v>
      </c>
      <c r="Y257" s="3">
        <v>25.5</v>
      </c>
      <c r="Z257">
        <v>78.599999999999994</v>
      </c>
      <c r="AA257">
        <v>1.1000000000000001</v>
      </c>
      <c r="AB257">
        <v>1.2</v>
      </c>
      <c r="AC257">
        <v>12</v>
      </c>
      <c r="AD257">
        <v>2</v>
      </c>
      <c r="AE257">
        <f t="shared" si="144"/>
        <v>0.16793893129770995</v>
      </c>
      <c r="AF257">
        <f t="shared" si="145"/>
        <v>0.11450381679389313</v>
      </c>
      <c r="AG257" s="3">
        <v>7.1</v>
      </c>
      <c r="AH257">
        <v>26.8</v>
      </c>
      <c r="AI257" s="3">
        <v>51.9</v>
      </c>
    </row>
    <row r="258" spans="1:38" x14ac:dyDescent="0.5">
      <c r="A258">
        <v>360</v>
      </c>
      <c r="B258" s="4">
        <v>270</v>
      </c>
      <c r="C258">
        <v>5</v>
      </c>
      <c r="D258">
        <v>10</v>
      </c>
      <c r="E258">
        <v>100</v>
      </c>
      <c r="F258">
        <v>60</v>
      </c>
      <c r="G258" s="3">
        <f t="shared" si="146"/>
        <v>6</v>
      </c>
      <c r="Q258">
        <v>78.2</v>
      </c>
      <c r="R258">
        <v>0.9</v>
      </c>
      <c r="S258">
        <v>1.7</v>
      </c>
      <c r="T258">
        <v>6</v>
      </c>
      <c r="U258">
        <f t="shared" si="143"/>
        <v>0</v>
      </c>
      <c r="V258">
        <f t="shared" si="133"/>
        <v>0.13810741687979541</v>
      </c>
      <c r="W258">
        <f t="shared" si="134"/>
        <v>5.754475703324808E-2</v>
      </c>
      <c r="X258">
        <v>13.2</v>
      </c>
      <c r="Y258" s="3">
        <v>26.9</v>
      </c>
      <c r="Z258">
        <v>79.900000000000006</v>
      </c>
      <c r="AA258">
        <v>1.1000000000000001</v>
      </c>
      <c r="AB258">
        <v>1.6</v>
      </c>
      <c r="AC258">
        <v>2.4</v>
      </c>
      <c r="AD258">
        <v>3</v>
      </c>
      <c r="AE258">
        <f t="shared" si="144"/>
        <v>0.16520650813516896</v>
      </c>
      <c r="AF258">
        <f t="shared" si="145"/>
        <v>2.2528160200250308E-2</v>
      </c>
      <c r="AG258" s="3">
        <v>15</v>
      </c>
      <c r="AH258">
        <v>28.1</v>
      </c>
      <c r="AI258" s="3">
        <v>87.7</v>
      </c>
    </row>
    <row r="259" spans="1:38" x14ac:dyDescent="0.5">
      <c r="A259">
        <v>60</v>
      </c>
      <c r="B259" s="4">
        <v>180</v>
      </c>
      <c r="C259">
        <v>0.1</v>
      </c>
      <c r="D259">
        <v>75</v>
      </c>
      <c r="E259">
        <v>1000</v>
      </c>
      <c r="F259">
        <v>500</v>
      </c>
      <c r="G259" s="3">
        <f t="shared" si="146"/>
        <v>6.666666666666667</v>
      </c>
      <c r="N259">
        <v>26</v>
      </c>
      <c r="O259">
        <v>51.7</v>
      </c>
      <c r="P259" s="3">
        <v>9.1999999999999993</v>
      </c>
      <c r="Q259">
        <v>36</v>
      </c>
      <c r="R259">
        <v>5.2</v>
      </c>
      <c r="S259">
        <v>1.3</v>
      </c>
      <c r="T259">
        <v>18.2</v>
      </c>
      <c r="U259">
        <v>0.2</v>
      </c>
      <c r="V259">
        <f t="shared" si="133"/>
        <v>1.7333333333333334</v>
      </c>
      <c r="W259">
        <f>(T259/16)/(Q259/12)</f>
        <v>0.37916666666666665</v>
      </c>
      <c r="X259">
        <v>39.200000000000003</v>
      </c>
      <c r="Y259" s="3">
        <v>14.6</v>
      </c>
      <c r="Z259">
        <v>29.2</v>
      </c>
      <c r="AA259">
        <v>3.7</v>
      </c>
      <c r="AB259">
        <v>0.85</v>
      </c>
      <c r="AC259">
        <v>16.2</v>
      </c>
      <c r="AD259">
        <v>0.62</v>
      </c>
      <c r="AE259">
        <f t="shared" si="144"/>
        <v>1.5205479452054798</v>
      </c>
      <c r="AF259">
        <f t="shared" si="145"/>
        <v>0.4160958904109589</v>
      </c>
      <c r="AG259" s="3">
        <v>49.5</v>
      </c>
      <c r="AH259">
        <v>11.51</v>
      </c>
      <c r="AI259" s="3">
        <v>70.7</v>
      </c>
      <c r="AJ259" s="2" t="s">
        <v>85</v>
      </c>
      <c r="AK259" t="s">
        <v>84</v>
      </c>
      <c r="AL259">
        <v>25</v>
      </c>
    </row>
    <row r="260" spans="1:38" x14ac:dyDescent="0.5">
      <c r="A260">
        <v>240</v>
      </c>
      <c r="B260" s="4">
        <v>180</v>
      </c>
      <c r="C260">
        <v>0.1</v>
      </c>
      <c r="D260">
        <v>75</v>
      </c>
      <c r="E260">
        <v>1000</v>
      </c>
      <c r="F260">
        <v>500</v>
      </c>
      <c r="G260" s="3">
        <f t="shared" ref="G260:G268" si="147">F260/D260</f>
        <v>6.666666666666667</v>
      </c>
      <c r="N260">
        <v>26</v>
      </c>
      <c r="O260">
        <v>51.7</v>
      </c>
      <c r="P260" s="3">
        <v>9.1999999999999993</v>
      </c>
      <c r="Q260">
        <v>36</v>
      </c>
      <c r="R260">
        <v>5.2</v>
      </c>
      <c r="S260">
        <v>1.3</v>
      </c>
      <c r="T260">
        <v>18.2</v>
      </c>
      <c r="U260">
        <v>0.2</v>
      </c>
      <c r="V260">
        <f t="shared" ref="V260:V277" si="148">(R260/1)/(Q260/12)</f>
        <v>1.7333333333333334</v>
      </c>
      <c r="W260">
        <f t="shared" ref="W260:W277" si="149">(T260/16)/(Q260/12)</f>
        <v>0.37916666666666665</v>
      </c>
      <c r="X260">
        <v>39.200000000000003</v>
      </c>
      <c r="Y260" s="3">
        <v>14.6</v>
      </c>
      <c r="Z260">
        <v>29.9</v>
      </c>
      <c r="AA260">
        <v>3.7</v>
      </c>
      <c r="AB260">
        <v>0.9</v>
      </c>
      <c r="AC260">
        <v>15.3</v>
      </c>
      <c r="AD260">
        <v>0.74</v>
      </c>
      <c r="AE260">
        <f t="shared" si="144"/>
        <v>1.4849498327759199</v>
      </c>
      <c r="AF260">
        <f t="shared" si="145"/>
        <v>0.38377926421404684</v>
      </c>
      <c r="AG260" s="3">
        <v>49.5</v>
      </c>
      <c r="AH260">
        <v>12</v>
      </c>
      <c r="AI260" s="3">
        <v>67.599999999999994</v>
      </c>
    </row>
    <row r="261" spans="1:38" x14ac:dyDescent="0.5">
      <c r="A261">
        <v>480</v>
      </c>
      <c r="B261" s="4">
        <v>180</v>
      </c>
      <c r="C261">
        <v>0.1</v>
      </c>
      <c r="D261">
        <v>75</v>
      </c>
      <c r="E261">
        <v>1000</v>
      </c>
      <c r="F261">
        <v>500</v>
      </c>
      <c r="G261" s="3">
        <f t="shared" si="147"/>
        <v>6.666666666666667</v>
      </c>
      <c r="N261">
        <v>26</v>
      </c>
      <c r="O261">
        <v>51.7</v>
      </c>
      <c r="P261" s="3">
        <v>9.1999999999999993</v>
      </c>
      <c r="Q261">
        <v>36</v>
      </c>
      <c r="R261">
        <v>5.2</v>
      </c>
      <c r="S261">
        <v>1.3</v>
      </c>
      <c r="T261">
        <v>18.2</v>
      </c>
      <c r="U261">
        <v>0.2</v>
      </c>
      <c r="V261">
        <f t="shared" si="148"/>
        <v>1.7333333333333334</v>
      </c>
      <c r="W261">
        <f t="shared" si="149"/>
        <v>0.37916666666666665</v>
      </c>
      <c r="X261">
        <v>39.200000000000003</v>
      </c>
      <c r="Y261" s="3">
        <v>14.6</v>
      </c>
      <c r="Z261">
        <v>27.3</v>
      </c>
      <c r="AA261">
        <v>3.3</v>
      </c>
      <c r="AB261">
        <v>0.75</v>
      </c>
      <c r="AC261">
        <v>10.5</v>
      </c>
      <c r="AD261">
        <v>0.74</v>
      </c>
      <c r="AE261">
        <f t="shared" si="144"/>
        <v>1.4505494505494505</v>
      </c>
      <c r="AF261">
        <f t="shared" si="145"/>
        <v>0.28846153846153849</v>
      </c>
      <c r="AG261" s="3">
        <v>57.4</v>
      </c>
      <c r="AH261">
        <v>10.7</v>
      </c>
      <c r="AI261" s="3">
        <v>66.3</v>
      </c>
    </row>
    <row r="262" spans="1:38" x14ac:dyDescent="0.5">
      <c r="A262">
        <v>60</v>
      </c>
      <c r="B262" s="4">
        <v>200</v>
      </c>
      <c r="C262">
        <v>0.1</v>
      </c>
      <c r="D262">
        <v>75</v>
      </c>
      <c r="E262">
        <v>1000</v>
      </c>
      <c r="F262">
        <v>500</v>
      </c>
      <c r="G262" s="3">
        <f t="shared" si="147"/>
        <v>6.666666666666667</v>
      </c>
      <c r="N262">
        <v>26</v>
      </c>
      <c r="O262">
        <v>51.7</v>
      </c>
      <c r="P262" s="3">
        <v>9.1999999999999993</v>
      </c>
      <c r="Q262">
        <v>36</v>
      </c>
      <c r="R262">
        <v>5.2</v>
      </c>
      <c r="S262">
        <v>1.3</v>
      </c>
      <c r="T262">
        <v>18.2</v>
      </c>
      <c r="U262">
        <v>0.2</v>
      </c>
      <c r="V262">
        <f t="shared" si="148"/>
        <v>1.7333333333333334</v>
      </c>
      <c r="W262">
        <f t="shared" si="149"/>
        <v>0.37916666666666665</v>
      </c>
      <c r="X262">
        <v>39.200000000000003</v>
      </c>
      <c r="Y262" s="3">
        <v>14.6</v>
      </c>
      <c r="Z262">
        <v>32.6</v>
      </c>
      <c r="AA262">
        <v>4.2</v>
      </c>
      <c r="AB262">
        <v>0.8</v>
      </c>
      <c r="AC262">
        <v>13.9</v>
      </c>
      <c r="AD262">
        <v>0.5</v>
      </c>
      <c r="AE262">
        <f t="shared" si="144"/>
        <v>1.5460122699386503</v>
      </c>
      <c r="AF262">
        <f t="shared" si="145"/>
        <v>0.31978527607361962</v>
      </c>
      <c r="AG262" s="3">
        <v>48</v>
      </c>
      <c r="AH262">
        <v>13.5</v>
      </c>
      <c r="AI262" s="3">
        <v>64.2</v>
      </c>
    </row>
    <row r="263" spans="1:38" x14ac:dyDescent="0.5">
      <c r="A263">
        <v>240</v>
      </c>
      <c r="B263" s="4">
        <v>200</v>
      </c>
      <c r="C263">
        <v>0.1</v>
      </c>
      <c r="D263">
        <v>75</v>
      </c>
      <c r="E263">
        <v>1000</v>
      </c>
      <c r="F263">
        <v>500</v>
      </c>
      <c r="G263" s="3">
        <f t="shared" si="147"/>
        <v>6.666666666666667</v>
      </c>
      <c r="N263">
        <v>26</v>
      </c>
      <c r="O263">
        <v>51.7</v>
      </c>
      <c r="P263" s="3">
        <v>9.1999999999999993</v>
      </c>
      <c r="Q263">
        <v>36</v>
      </c>
      <c r="R263">
        <v>5.2</v>
      </c>
      <c r="S263">
        <v>1.3</v>
      </c>
      <c r="T263">
        <v>18.2</v>
      </c>
      <c r="U263">
        <v>0.2</v>
      </c>
      <c r="V263">
        <f t="shared" si="148"/>
        <v>1.7333333333333334</v>
      </c>
      <c r="W263">
        <f t="shared" si="149"/>
        <v>0.37916666666666665</v>
      </c>
      <c r="X263">
        <v>39.200000000000003</v>
      </c>
      <c r="Y263" s="3">
        <v>14.6</v>
      </c>
      <c r="Z263">
        <v>33.700000000000003</v>
      </c>
      <c r="AA263">
        <v>4.2</v>
      </c>
      <c r="AB263">
        <v>0.9</v>
      </c>
      <c r="AC263">
        <v>12.7</v>
      </c>
      <c r="AD263">
        <v>0.5</v>
      </c>
      <c r="AE263">
        <f t="shared" si="144"/>
        <v>1.4955489614243322</v>
      </c>
      <c r="AF263">
        <f t="shared" si="145"/>
        <v>0.2826409495548961</v>
      </c>
      <c r="AG263" s="3">
        <v>48.1</v>
      </c>
      <c r="AH263">
        <v>14.2</v>
      </c>
      <c r="AI263" s="3">
        <v>63.3</v>
      </c>
    </row>
    <row r="264" spans="1:38" x14ac:dyDescent="0.5">
      <c r="A264">
        <v>480</v>
      </c>
      <c r="B264" s="4">
        <v>200</v>
      </c>
      <c r="C264">
        <v>0.1</v>
      </c>
      <c r="D264">
        <v>75</v>
      </c>
      <c r="E264">
        <v>1000</v>
      </c>
      <c r="F264">
        <v>500</v>
      </c>
      <c r="G264" s="3">
        <f t="shared" si="147"/>
        <v>6.666666666666667</v>
      </c>
      <c r="N264">
        <v>26</v>
      </c>
      <c r="O264">
        <v>51.7</v>
      </c>
      <c r="P264" s="3">
        <v>9.1999999999999993</v>
      </c>
      <c r="Q264">
        <v>36</v>
      </c>
      <c r="R264">
        <v>5.2</v>
      </c>
      <c r="S264">
        <v>1.3</v>
      </c>
      <c r="T264">
        <v>18.2</v>
      </c>
      <c r="U264">
        <v>0.2</v>
      </c>
      <c r="V264">
        <f t="shared" si="148"/>
        <v>1.7333333333333334</v>
      </c>
      <c r="W264">
        <f t="shared" si="149"/>
        <v>0.37916666666666665</v>
      </c>
      <c r="X264">
        <v>39.200000000000003</v>
      </c>
      <c r="Y264" s="3">
        <v>14.6</v>
      </c>
      <c r="Z264">
        <v>32.299999999999997</v>
      </c>
      <c r="AA264">
        <v>4</v>
      </c>
      <c r="AB264">
        <v>1</v>
      </c>
      <c r="AC264">
        <v>10.3</v>
      </c>
      <c r="AD264">
        <v>0.5</v>
      </c>
      <c r="AE264">
        <f t="shared" si="144"/>
        <v>1.4860681114551084</v>
      </c>
      <c r="AF264">
        <f t="shared" si="145"/>
        <v>0.23916408668730654</v>
      </c>
      <c r="AG264" s="3">
        <v>52</v>
      </c>
      <c r="AH264">
        <v>14.4</v>
      </c>
      <c r="AI264" s="3">
        <v>57.8</v>
      </c>
    </row>
    <row r="265" spans="1:38" x14ac:dyDescent="0.5">
      <c r="A265">
        <v>60</v>
      </c>
      <c r="B265" s="4">
        <v>220</v>
      </c>
      <c r="C265">
        <v>0.1</v>
      </c>
      <c r="D265">
        <v>75</v>
      </c>
      <c r="E265">
        <v>1000</v>
      </c>
      <c r="F265">
        <v>500</v>
      </c>
      <c r="G265" s="3">
        <f t="shared" si="147"/>
        <v>6.666666666666667</v>
      </c>
      <c r="N265">
        <v>26</v>
      </c>
      <c r="O265">
        <v>51.7</v>
      </c>
      <c r="P265" s="3">
        <v>9.1999999999999993</v>
      </c>
      <c r="Q265">
        <v>36</v>
      </c>
      <c r="R265">
        <v>5.2</v>
      </c>
      <c r="S265">
        <v>1.3</v>
      </c>
      <c r="T265">
        <v>18.2</v>
      </c>
      <c r="U265">
        <v>0.2</v>
      </c>
      <c r="V265">
        <f t="shared" si="148"/>
        <v>1.7333333333333334</v>
      </c>
      <c r="W265">
        <f t="shared" si="149"/>
        <v>0.37916666666666665</v>
      </c>
      <c r="X265">
        <v>39.200000000000003</v>
      </c>
      <c r="Y265" s="3">
        <v>14.6</v>
      </c>
      <c r="Z265">
        <v>38.299999999999997</v>
      </c>
      <c r="AA265">
        <v>4.7</v>
      </c>
      <c r="AB265">
        <v>0.9</v>
      </c>
      <c r="AC265">
        <v>15.4</v>
      </c>
      <c r="AD265">
        <v>0.14000000000000001</v>
      </c>
      <c r="AE265">
        <f t="shared" si="144"/>
        <v>1.4725848563968671</v>
      </c>
      <c r="AF265">
        <f t="shared" si="145"/>
        <v>0.30156657963446476</v>
      </c>
      <c r="AG265" s="3">
        <v>40.700000000000003</v>
      </c>
      <c r="AH265">
        <v>16.399999999999999</v>
      </c>
      <c r="AI265" s="3">
        <v>60.3</v>
      </c>
    </row>
    <row r="266" spans="1:38" x14ac:dyDescent="0.5">
      <c r="A266">
        <v>240</v>
      </c>
      <c r="B266" s="4">
        <v>220</v>
      </c>
      <c r="C266">
        <v>0.1</v>
      </c>
      <c r="D266">
        <v>75</v>
      </c>
      <c r="E266">
        <v>1000</v>
      </c>
      <c r="F266">
        <v>500</v>
      </c>
      <c r="G266" s="3">
        <f t="shared" si="147"/>
        <v>6.666666666666667</v>
      </c>
      <c r="N266">
        <v>26</v>
      </c>
      <c r="O266">
        <v>51.7</v>
      </c>
      <c r="P266" s="3">
        <v>9.1999999999999993</v>
      </c>
      <c r="Q266">
        <v>36</v>
      </c>
      <c r="R266">
        <v>5.2</v>
      </c>
      <c r="S266">
        <v>1.3</v>
      </c>
      <c r="T266">
        <v>18.2</v>
      </c>
      <c r="U266">
        <v>0.2</v>
      </c>
      <c r="V266">
        <f t="shared" si="148"/>
        <v>1.7333333333333334</v>
      </c>
      <c r="W266">
        <f t="shared" si="149"/>
        <v>0.37916666666666665</v>
      </c>
      <c r="X266">
        <v>39.200000000000003</v>
      </c>
      <c r="Y266" s="3">
        <v>14.6</v>
      </c>
      <c r="Z266">
        <v>38.200000000000003</v>
      </c>
      <c r="AA266">
        <v>4.5</v>
      </c>
      <c r="AB266">
        <v>1.1299999999999999</v>
      </c>
      <c r="AC266">
        <v>10.3</v>
      </c>
      <c r="AD266">
        <v>0.19</v>
      </c>
      <c r="AE266">
        <f t="shared" si="144"/>
        <v>1.413612565445026</v>
      </c>
      <c r="AF266">
        <f t="shared" si="145"/>
        <v>0.20222513089005237</v>
      </c>
      <c r="AG266" s="3">
        <v>45.7</v>
      </c>
      <c r="AH266">
        <v>16.7</v>
      </c>
      <c r="AI266" s="3">
        <v>52.8</v>
      </c>
    </row>
    <row r="267" spans="1:38" x14ac:dyDescent="0.5">
      <c r="A267">
        <v>480</v>
      </c>
      <c r="B267" s="4">
        <v>220</v>
      </c>
      <c r="C267">
        <v>0.1</v>
      </c>
      <c r="D267">
        <v>75</v>
      </c>
      <c r="E267">
        <v>1000</v>
      </c>
      <c r="F267">
        <v>500</v>
      </c>
      <c r="G267" s="3">
        <f t="shared" si="147"/>
        <v>6.666666666666667</v>
      </c>
      <c r="N267">
        <v>26</v>
      </c>
      <c r="O267">
        <v>51.7</v>
      </c>
      <c r="P267" s="3">
        <v>9.1999999999999993</v>
      </c>
      <c r="Q267">
        <v>36</v>
      </c>
      <c r="R267">
        <v>5.2</v>
      </c>
      <c r="S267">
        <v>1.3</v>
      </c>
      <c r="T267">
        <v>18.2</v>
      </c>
      <c r="U267">
        <v>0.2</v>
      </c>
      <c r="V267">
        <f t="shared" si="148"/>
        <v>1.7333333333333334</v>
      </c>
      <c r="W267">
        <f t="shared" si="149"/>
        <v>0.37916666666666665</v>
      </c>
      <c r="X267">
        <v>39.200000000000003</v>
      </c>
      <c r="Y267" s="3">
        <v>14.6</v>
      </c>
      <c r="Z267">
        <v>40.5</v>
      </c>
      <c r="AA267">
        <v>4.7699999999999996</v>
      </c>
      <c r="AB267">
        <v>1.33</v>
      </c>
      <c r="AC267">
        <v>7.1</v>
      </c>
      <c r="AD267">
        <v>0.3</v>
      </c>
      <c r="AE267">
        <f t="shared" si="144"/>
        <v>1.4133333333333331</v>
      </c>
      <c r="AF267">
        <f t="shared" si="145"/>
        <v>0.13148148148148148</v>
      </c>
      <c r="AG267" s="3">
        <v>46.1</v>
      </c>
      <c r="AH267">
        <v>18.5</v>
      </c>
      <c r="AI267" s="3">
        <v>44.8</v>
      </c>
    </row>
    <row r="268" spans="1:38" x14ac:dyDescent="0.5">
      <c r="A268">
        <v>60</v>
      </c>
      <c r="B268" s="4">
        <v>180</v>
      </c>
      <c r="C268">
        <v>0.1</v>
      </c>
      <c r="D268">
        <v>42</v>
      </c>
      <c r="E268">
        <v>1000</v>
      </c>
      <c r="F268">
        <v>600</v>
      </c>
      <c r="G268" s="3">
        <f t="shared" si="147"/>
        <v>14.285714285714286</v>
      </c>
      <c r="N268">
        <v>26</v>
      </c>
      <c r="O268">
        <v>51.7</v>
      </c>
      <c r="P268" s="3">
        <v>9.1999999999999993</v>
      </c>
      <c r="Q268">
        <v>36</v>
      </c>
      <c r="R268">
        <v>5.2</v>
      </c>
      <c r="S268">
        <v>1.3</v>
      </c>
      <c r="T268">
        <v>18.2</v>
      </c>
      <c r="U268">
        <v>0.2</v>
      </c>
      <c r="V268">
        <f t="shared" si="148"/>
        <v>1.7333333333333334</v>
      </c>
      <c r="W268">
        <f t="shared" si="149"/>
        <v>0.37916666666666665</v>
      </c>
      <c r="X268">
        <v>39.200000000000003</v>
      </c>
      <c r="Y268" s="3">
        <v>14.6</v>
      </c>
      <c r="Z268">
        <v>37.299999999999997</v>
      </c>
      <c r="AA268">
        <v>5.05</v>
      </c>
      <c r="AB268">
        <v>0.86</v>
      </c>
      <c r="AC268">
        <v>23.7</v>
      </c>
      <c r="AD268">
        <v>0.06</v>
      </c>
      <c r="AE268">
        <f t="shared" si="144"/>
        <v>1.6246648793565686</v>
      </c>
      <c r="AF268">
        <f t="shared" si="145"/>
        <v>0.47654155495978556</v>
      </c>
      <c r="AG268" s="3">
        <v>33</v>
      </c>
      <c r="AH268">
        <v>15.8</v>
      </c>
      <c r="AI268" s="3">
        <v>69.2</v>
      </c>
    </row>
    <row r="269" spans="1:38" x14ac:dyDescent="0.5">
      <c r="A269">
        <v>240</v>
      </c>
      <c r="B269" s="4">
        <v>180</v>
      </c>
      <c r="C269">
        <v>0.1</v>
      </c>
      <c r="D269">
        <v>42</v>
      </c>
      <c r="E269">
        <v>1000</v>
      </c>
      <c r="F269">
        <v>600</v>
      </c>
      <c r="G269" s="3">
        <f t="shared" ref="G269:G277" si="150">F269/D269</f>
        <v>14.285714285714286</v>
      </c>
      <c r="N269">
        <v>26</v>
      </c>
      <c r="O269">
        <v>51.7</v>
      </c>
      <c r="P269" s="3">
        <v>9.1999999999999993</v>
      </c>
      <c r="Q269">
        <v>36</v>
      </c>
      <c r="R269">
        <v>5.2</v>
      </c>
      <c r="S269">
        <v>1.3</v>
      </c>
      <c r="T269">
        <v>18.2</v>
      </c>
      <c r="U269">
        <v>0.2</v>
      </c>
      <c r="V269">
        <f t="shared" si="148"/>
        <v>1.7333333333333334</v>
      </c>
      <c r="W269">
        <f t="shared" si="149"/>
        <v>0.37916666666666665</v>
      </c>
      <c r="X269">
        <v>39.200000000000003</v>
      </c>
      <c r="Y269" s="3">
        <v>14.6</v>
      </c>
      <c r="Z269">
        <v>35.5</v>
      </c>
      <c r="AA269">
        <v>4.7</v>
      </c>
      <c r="AB269">
        <v>0.77</v>
      </c>
      <c r="AC269">
        <v>19.3</v>
      </c>
      <c r="AD269">
        <v>0.05</v>
      </c>
      <c r="AE269">
        <f t="shared" si="144"/>
        <v>1.5887323943661971</v>
      </c>
      <c r="AF269">
        <f t="shared" si="145"/>
        <v>0.40774647887323945</v>
      </c>
      <c r="AG269" s="3">
        <v>39.799999999999997</v>
      </c>
      <c r="AH269">
        <v>14.9</v>
      </c>
      <c r="AI269" s="3">
        <v>64.7</v>
      </c>
    </row>
    <row r="270" spans="1:38" x14ac:dyDescent="0.5">
      <c r="A270">
        <v>480</v>
      </c>
      <c r="B270" s="4">
        <v>180</v>
      </c>
      <c r="C270">
        <v>0.1</v>
      </c>
      <c r="D270">
        <v>42</v>
      </c>
      <c r="E270">
        <v>1000</v>
      </c>
      <c r="F270">
        <v>600</v>
      </c>
      <c r="G270" s="3">
        <f t="shared" si="150"/>
        <v>14.285714285714286</v>
      </c>
      <c r="N270">
        <v>26</v>
      </c>
      <c r="O270">
        <v>51.7</v>
      </c>
      <c r="P270" s="3">
        <v>9.1999999999999993</v>
      </c>
      <c r="Q270">
        <v>36</v>
      </c>
      <c r="R270">
        <v>5.2</v>
      </c>
      <c r="S270">
        <v>1.3</v>
      </c>
      <c r="T270">
        <v>18.2</v>
      </c>
      <c r="U270">
        <v>0.2</v>
      </c>
      <c r="V270">
        <f t="shared" si="148"/>
        <v>1.7333333333333334</v>
      </c>
      <c r="W270">
        <f t="shared" si="149"/>
        <v>0.37916666666666665</v>
      </c>
      <c r="X270">
        <v>39.200000000000003</v>
      </c>
      <c r="Y270" s="3">
        <v>14.6</v>
      </c>
      <c r="Z270">
        <v>36.4</v>
      </c>
      <c r="AA270">
        <v>4.9000000000000004</v>
      </c>
      <c r="AB270">
        <v>0.9</v>
      </c>
      <c r="AC270">
        <v>21.5</v>
      </c>
      <c r="AD270">
        <v>0.05</v>
      </c>
      <c r="AE270">
        <f t="shared" si="144"/>
        <v>1.6153846153846156</v>
      </c>
      <c r="AF270">
        <f t="shared" si="145"/>
        <v>0.44299450549450553</v>
      </c>
      <c r="AG270" s="3">
        <v>36.4</v>
      </c>
      <c r="AH270">
        <v>15.7</v>
      </c>
      <c r="AI270" s="3">
        <v>59.8</v>
      </c>
    </row>
    <row r="271" spans="1:38" x14ac:dyDescent="0.5">
      <c r="A271">
        <v>60</v>
      </c>
      <c r="B271" s="4">
        <v>200</v>
      </c>
      <c r="C271">
        <v>0.1</v>
      </c>
      <c r="D271">
        <v>42</v>
      </c>
      <c r="E271">
        <v>1000</v>
      </c>
      <c r="F271">
        <v>600</v>
      </c>
      <c r="G271" s="3">
        <f t="shared" si="150"/>
        <v>14.285714285714286</v>
      </c>
      <c r="N271">
        <v>26</v>
      </c>
      <c r="O271">
        <v>51.7</v>
      </c>
      <c r="P271" s="3">
        <v>9.1999999999999993</v>
      </c>
      <c r="Q271">
        <v>36</v>
      </c>
      <c r="R271">
        <v>5.2</v>
      </c>
      <c r="S271">
        <v>1.3</v>
      </c>
      <c r="T271">
        <v>18.2</v>
      </c>
      <c r="U271">
        <v>0.2</v>
      </c>
      <c r="V271">
        <f t="shared" si="148"/>
        <v>1.7333333333333334</v>
      </c>
      <c r="W271">
        <f t="shared" si="149"/>
        <v>0.37916666666666665</v>
      </c>
      <c r="X271">
        <v>39.200000000000003</v>
      </c>
      <c r="Y271" s="3">
        <v>14.6</v>
      </c>
      <c r="Z271">
        <v>38.200000000000003</v>
      </c>
      <c r="AA271">
        <v>5</v>
      </c>
      <c r="AB271">
        <v>0.79</v>
      </c>
      <c r="AC271">
        <v>20.2</v>
      </c>
      <c r="AD271">
        <v>0.2</v>
      </c>
      <c r="AE271">
        <f t="shared" si="144"/>
        <v>1.5706806282722512</v>
      </c>
      <c r="AF271">
        <f t="shared" si="145"/>
        <v>0.39659685863874339</v>
      </c>
      <c r="AG271" s="3">
        <v>35.700000000000003</v>
      </c>
      <c r="AH271">
        <v>16.5</v>
      </c>
      <c r="AI271" s="3">
        <v>62.7</v>
      </c>
    </row>
    <row r="272" spans="1:38" x14ac:dyDescent="0.5">
      <c r="A272">
        <v>240</v>
      </c>
      <c r="B272" s="4">
        <v>200</v>
      </c>
      <c r="C272">
        <v>0.1</v>
      </c>
      <c r="D272">
        <v>42</v>
      </c>
      <c r="E272">
        <v>1000</v>
      </c>
      <c r="F272">
        <v>600</v>
      </c>
      <c r="G272" s="3">
        <f t="shared" si="150"/>
        <v>14.285714285714286</v>
      </c>
      <c r="N272">
        <v>26</v>
      </c>
      <c r="O272">
        <v>51.7</v>
      </c>
      <c r="P272" s="3">
        <v>9.1999999999999993</v>
      </c>
      <c r="Q272">
        <v>36</v>
      </c>
      <c r="R272">
        <v>5.2</v>
      </c>
      <c r="S272">
        <v>1.3</v>
      </c>
      <c r="T272">
        <v>18.2</v>
      </c>
      <c r="U272">
        <v>0.2</v>
      </c>
      <c r="V272">
        <f t="shared" si="148"/>
        <v>1.7333333333333334</v>
      </c>
      <c r="W272">
        <f t="shared" si="149"/>
        <v>0.37916666666666665</v>
      </c>
      <c r="X272">
        <v>39.200000000000003</v>
      </c>
      <c r="Y272" s="3">
        <v>14.6</v>
      </c>
      <c r="Z272">
        <v>3.73</v>
      </c>
      <c r="AA272">
        <v>4.8</v>
      </c>
      <c r="AB272">
        <v>0.88</v>
      </c>
      <c r="AC272">
        <v>17.100000000000001</v>
      </c>
      <c r="AD272">
        <v>0.3</v>
      </c>
      <c r="AE272">
        <f t="shared" si="144"/>
        <v>15.442359249329757</v>
      </c>
      <c r="AF272">
        <f t="shared" si="145"/>
        <v>3.4383378016085793</v>
      </c>
      <c r="AG272" s="3">
        <v>39.700000000000003</v>
      </c>
      <c r="AH272">
        <v>15.9</v>
      </c>
      <c r="AI272" s="3">
        <v>56.9</v>
      </c>
    </row>
    <row r="273" spans="1:38" x14ac:dyDescent="0.5">
      <c r="A273">
        <v>480</v>
      </c>
      <c r="B273" s="4">
        <v>200</v>
      </c>
      <c r="C273">
        <v>0.1</v>
      </c>
      <c r="D273">
        <v>42</v>
      </c>
      <c r="E273">
        <v>1000</v>
      </c>
      <c r="F273">
        <v>600</v>
      </c>
      <c r="G273" s="3">
        <f t="shared" si="150"/>
        <v>14.285714285714286</v>
      </c>
      <c r="N273">
        <v>26</v>
      </c>
      <c r="O273">
        <v>51.7</v>
      </c>
      <c r="P273" s="3">
        <v>9.1999999999999993</v>
      </c>
      <c r="Q273">
        <v>36</v>
      </c>
      <c r="R273">
        <v>5.2</v>
      </c>
      <c r="S273">
        <v>1.3</v>
      </c>
      <c r="T273">
        <v>18.2</v>
      </c>
      <c r="U273">
        <v>0.2</v>
      </c>
      <c r="V273">
        <f t="shared" si="148"/>
        <v>1.7333333333333334</v>
      </c>
      <c r="W273">
        <f t="shared" si="149"/>
        <v>0.37916666666666665</v>
      </c>
      <c r="X273">
        <v>39.200000000000003</v>
      </c>
      <c r="Y273" s="3">
        <v>14.6</v>
      </c>
      <c r="Z273">
        <v>3.46</v>
      </c>
      <c r="AA273">
        <v>4.4000000000000004</v>
      </c>
      <c r="AB273">
        <v>0.93</v>
      </c>
      <c r="AC273">
        <v>14</v>
      </c>
      <c r="AD273">
        <v>0.3</v>
      </c>
      <c r="AE273">
        <f t="shared" si="144"/>
        <v>15.260115606936418</v>
      </c>
      <c r="AF273">
        <f t="shared" si="145"/>
        <v>3.0346820809248554</v>
      </c>
      <c r="AG273" s="3">
        <v>45.7</v>
      </c>
      <c r="AH273">
        <v>15.2</v>
      </c>
      <c r="AI273" s="3">
        <v>56.1</v>
      </c>
    </row>
    <row r="274" spans="1:38" x14ac:dyDescent="0.5">
      <c r="A274">
        <v>60</v>
      </c>
      <c r="B274" s="4">
        <v>220</v>
      </c>
      <c r="C274">
        <v>0.1</v>
      </c>
      <c r="D274">
        <v>42</v>
      </c>
      <c r="E274">
        <v>1000</v>
      </c>
      <c r="F274">
        <v>600</v>
      </c>
      <c r="G274" s="3">
        <f t="shared" si="150"/>
        <v>14.285714285714286</v>
      </c>
      <c r="N274">
        <v>26</v>
      </c>
      <c r="O274">
        <v>51.7</v>
      </c>
      <c r="P274" s="3">
        <v>9.1999999999999993</v>
      </c>
      <c r="Q274">
        <v>36</v>
      </c>
      <c r="R274">
        <v>5.2</v>
      </c>
      <c r="S274">
        <v>1.3</v>
      </c>
      <c r="T274">
        <v>18.2</v>
      </c>
      <c r="U274">
        <v>0.2</v>
      </c>
      <c r="V274">
        <f t="shared" si="148"/>
        <v>1.7333333333333334</v>
      </c>
      <c r="W274">
        <f t="shared" si="149"/>
        <v>0.37916666666666665</v>
      </c>
      <c r="X274">
        <v>39.200000000000003</v>
      </c>
      <c r="Y274" s="3">
        <v>14.6</v>
      </c>
      <c r="Z274">
        <v>28.4</v>
      </c>
      <c r="AA274">
        <v>3.6</v>
      </c>
      <c r="AB274">
        <v>0.6</v>
      </c>
      <c r="AC274">
        <v>12</v>
      </c>
      <c r="AD274">
        <v>0.05</v>
      </c>
      <c r="AE274">
        <f t="shared" si="144"/>
        <v>1.5211267605633803</v>
      </c>
      <c r="AF274">
        <f t="shared" si="145"/>
        <v>0.31690140845070425</v>
      </c>
      <c r="AG274" s="3">
        <v>55.3</v>
      </c>
      <c r="AH274">
        <v>12.2</v>
      </c>
      <c r="AI274" s="3">
        <v>58.6</v>
      </c>
    </row>
    <row r="275" spans="1:38" x14ac:dyDescent="0.5">
      <c r="A275">
        <v>240</v>
      </c>
      <c r="B275" s="4">
        <v>220</v>
      </c>
      <c r="C275">
        <v>0.1</v>
      </c>
      <c r="D275">
        <v>42</v>
      </c>
      <c r="E275">
        <v>1000</v>
      </c>
      <c r="F275">
        <v>600</v>
      </c>
      <c r="G275" s="3">
        <f t="shared" si="150"/>
        <v>14.285714285714286</v>
      </c>
      <c r="N275">
        <v>26</v>
      </c>
      <c r="O275">
        <v>51.7</v>
      </c>
      <c r="P275" s="3">
        <v>9.1999999999999993</v>
      </c>
      <c r="Q275">
        <v>36</v>
      </c>
      <c r="R275">
        <v>5.2</v>
      </c>
      <c r="S275">
        <v>1.3</v>
      </c>
      <c r="T275">
        <v>18.2</v>
      </c>
      <c r="U275">
        <v>0.2</v>
      </c>
      <c r="V275">
        <f t="shared" si="148"/>
        <v>1.7333333333333334</v>
      </c>
      <c r="W275">
        <f t="shared" si="149"/>
        <v>0.37916666666666665</v>
      </c>
      <c r="X275">
        <v>39.200000000000003</v>
      </c>
      <c r="Y275" s="3">
        <v>14.6</v>
      </c>
      <c r="Z275">
        <v>32</v>
      </c>
      <c r="AA275">
        <v>3.9</v>
      </c>
      <c r="AB275">
        <v>1.01</v>
      </c>
      <c r="AC275">
        <v>8.5</v>
      </c>
      <c r="AD275">
        <v>0.26</v>
      </c>
      <c r="AE275">
        <f t="shared" si="144"/>
        <v>1.4625000000000001</v>
      </c>
      <c r="AF275">
        <f t="shared" si="145"/>
        <v>0.19921875</v>
      </c>
      <c r="AG275" s="3">
        <v>54.4</v>
      </c>
      <c r="AH275">
        <v>14.6</v>
      </c>
      <c r="AI275" s="3">
        <v>54.2</v>
      </c>
    </row>
    <row r="276" spans="1:38" x14ac:dyDescent="0.5">
      <c r="A276">
        <v>480</v>
      </c>
      <c r="B276" s="4">
        <v>220</v>
      </c>
      <c r="C276">
        <v>0.1</v>
      </c>
      <c r="D276">
        <v>42</v>
      </c>
      <c r="E276">
        <v>1000</v>
      </c>
      <c r="F276">
        <v>600</v>
      </c>
      <c r="G276" s="3">
        <f t="shared" si="150"/>
        <v>14.285714285714286</v>
      </c>
      <c r="N276">
        <v>26</v>
      </c>
      <c r="O276">
        <v>51.7</v>
      </c>
      <c r="P276" s="3">
        <v>9.1999999999999993</v>
      </c>
      <c r="Q276">
        <v>36</v>
      </c>
      <c r="R276">
        <v>5.2</v>
      </c>
      <c r="S276">
        <v>1.3</v>
      </c>
      <c r="T276">
        <v>18.2</v>
      </c>
      <c r="U276">
        <v>0.2</v>
      </c>
      <c r="V276">
        <f t="shared" si="148"/>
        <v>1.7333333333333334</v>
      </c>
      <c r="W276">
        <f t="shared" si="149"/>
        <v>0.37916666666666665</v>
      </c>
      <c r="X276">
        <v>39.200000000000003</v>
      </c>
      <c r="Y276" s="3">
        <v>14.6</v>
      </c>
      <c r="Z276">
        <v>32.5</v>
      </c>
      <c r="AA276">
        <v>3.9</v>
      </c>
      <c r="AB276">
        <v>1.2</v>
      </c>
      <c r="AC276">
        <v>7.7</v>
      </c>
      <c r="AD276">
        <v>0.3</v>
      </c>
      <c r="AE276">
        <f t="shared" si="144"/>
        <v>1.44</v>
      </c>
      <c r="AF276">
        <f t="shared" si="145"/>
        <v>0.17769230769230768</v>
      </c>
      <c r="AG276" s="3">
        <v>54.5</v>
      </c>
      <c r="AH276">
        <v>14.9</v>
      </c>
      <c r="AI276" s="3">
        <v>44.1</v>
      </c>
    </row>
    <row r="277" spans="1:38" x14ac:dyDescent="0.5">
      <c r="A277">
        <v>360</v>
      </c>
      <c r="B277" s="4">
        <v>180</v>
      </c>
      <c r="C277">
        <v>0.1</v>
      </c>
      <c r="D277">
        <v>20</v>
      </c>
      <c r="E277">
        <v>500</v>
      </c>
      <c r="F277">
        <v>200</v>
      </c>
      <c r="G277" s="3">
        <f t="shared" si="150"/>
        <v>10</v>
      </c>
      <c r="O277">
        <v>82.6</v>
      </c>
      <c r="P277" s="3">
        <v>9.1</v>
      </c>
      <c r="Q277">
        <v>38.25</v>
      </c>
      <c r="R277">
        <v>5.47</v>
      </c>
      <c r="S277">
        <v>3.66</v>
      </c>
      <c r="T277">
        <v>43.82</v>
      </c>
      <c r="U277">
        <v>0.5</v>
      </c>
      <c r="V277">
        <f t="shared" si="148"/>
        <v>1.716078431372549</v>
      </c>
      <c r="W277">
        <f t="shared" si="149"/>
        <v>0.85921568627450984</v>
      </c>
      <c r="X277">
        <v>8.3000000000000007</v>
      </c>
      <c r="Y277" s="3">
        <v>16.13</v>
      </c>
      <c r="Z277">
        <v>50.41</v>
      </c>
      <c r="AA277">
        <v>6.11</v>
      </c>
      <c r="AB277">
        <v>3.84</v>
      </c>
      <c r="AC277">
        <v>33.229999999999997</v>
      </c>
      <c r="AD277">
        <v>0.51</v>
      </c>
      <c r="AE277">
        <f t="shared" ref="AE277:AE352" si="151">(AA277/1)/(Z277/12)</f>
        <v>1.4544733187859555</v>
      </c>
      <c r="AF277">
        <f t="shared" si="145"/>
        <v>0.49439595318389212</v>
      </c>
      <c r="AG277" s="3">
        <v>5.9</v>
      </c>
      <c r="AH277">
        <v>21.72</v>
      </c>
      <c r="AI277" s="3">
        <v>53.86</v>
      </c>
      <c r="AJ277" s="2" t="s">
        <v>86</v>
      </c>
      <c r="AK277" t="s">
        <v>28</v>
      </c>
      <c r="AL277">
        <v>26</v>
      </c>
    </row>
    <row r="278" spans="1:38" x14ac:dyDescent="0.5">
      <c r="A278">
        <v>360</v>
      </c>
      <c r="B278" s="4">
        <v>210</v>
      </c>
      <c r="C278">
        <v>0.1</v>
      </c>
      <c r="D278">
        <v>20</v>
      </c>
      <c r="E278">
        <v>500</v>
      </c>
      <c r="F278">
        <v>200</v>
      </c>
      <c r="G278" s="3">
        <f t="shared" ref="G278:G280" si="152">F278/D278</f>
        <v>10</v>
      </c>
      <c r="O278">
        <v>82.6</v>
      </c>
      <c r="P278" s="3">
        <v>9.1</v>
      </c>
      <c r="Q278">
        <v>38.25</v>
      </c>
      <c r="R278">
        <v>5.47</v>
      </c>
      <c r="S278">
        <v>3.66</v>
      </c>
      <c r="T278">
        <v>43.82</v>
      </c>
      <c r="U278">
        <v>0.5</v>
      </c>
      <c r="V278">
        <f t="shared" ref="V278:V280" si="153">(R278/1)/(Q278/12)</f>
        <v>1.716078431372549</v>
      </c>
      <c r="W278">
        <f t="shared" ref="W278:W280" si="154">(T278/16)/(Q278/12)</f>
        <v>0.85921568627450984</v>
      </c>
      <c r="X278">
        <v>8.3000000000000007</v>
      </c>
      <c r="Y278" s="3">
        <v>16.13</v>
      </c>
      <c r="Z278">
        <v>59.27</v>
      </c>
      <c r="AA278">
        <v>5.97</v>
      </c>
      <c r="AB278">
        <v>3.7</v>
      </c>
      <c r="AC278">
        <v>23.8</v>
      </c>
      <c r="AD278">
        <v>0.56000000000000005</v>
      </c>
      <c r="AE278">
        <f t="shared" si="151"/>
        <v>1.2087059220516281</v>
      </c>
      <c r="AF278">
        <f t="shared" si="145"/>
        <v>0.30116416399527585</v>
      </c>
      <c r="AG278" s="3">
        <v>6.7</v>
      </c>
      <c r="AH278">
        <v>26.24</v>
      </c>
      <c r="AI278" s="3">
        <v>51.41</v>
      </c>
    </row>
    <row r="279" spans="1:38" x14ac:dyDescent="0.5">
      <c r="A279">
        <v>360</v>
      </c>
      <c r="B279" s="4">
        <v>240</v>
      </c>
      <c r="C279">
        <v>0.1</v>
      </c>
      <c r="D279">
        <v>20</v>
      </c>
      <c r="E279">
        <v>500</v>
      </c>
      <c r="F279">
        <v>200</v>
      </c>
      <c r="G279" s="3">
        <f t="shared" si="152"/>
        <v>10</v>
      </c>
      <c r="O279">
        <v>82.6</v>
      </c>
      <c r="P279" s="3">
        <v>9.1</v>
      </c>
      <c r="Q279">
        <v>38.25</v>
      </c>
      <c r="R279">
        <v>5.47</v>
      </c>
      <c r="S279">
        <v>3.66</v>
      </c>
      <c r="T279">
        <v>43.82</v>
      </c>
      <c r="U279">
        <v>0.5</v>
      </c>
      <c r="V279">
        <f t="shared" si="153"/>
        <v>1.716078431372549</v>
      </c>
      <c r="W279">
        <f t="shared" si="154"/>
        <v>0.85921568627450984</v>
      </c>
      <c r="X279">
        <v>8.3000000000000007</v>
      </c>
      <c r="Y279" s="3">
        <v>16.13</v>
      </c>
      <c r="Z279">
        <v>63.84</v>
      </c>
      <c r="AA279">
        <v>6.22</v>
      </c>
      <c r="AB279">
        <v>3.26</v>
      </c>
      <c r="AC279">
        <v>18.59</v>
      </c>
      <c r="AD279">
        <v>0.59</v>
      </c>
      <c r="AE279">
        <f t="shared" si="151"/>
        <v>1.1691729323308269</v>
      </c>
      <c r="AF279">
        <f t="shared" si="145"/>
        <v>0.21839755639097744</v>
      </c>
      <c r="AG279" s="3">
        <v>7.5</v>
      </c>
      <c r="AH279">
        <v>28.86</v>
      </c>
      <c r="AI279" s="3">
        <v>44.65</v>
      </c>
    </row>
    <row r="280" spans="1:38" x14ac:dyDescent="0.5">
      <c r="A280">
        <v>360</v>
      </c>
      <c r="B280" s="4">
        <v>180</v>
      </c>
      <c r="C280">
        <v>0.1</v>
      </c>
      <c r="D280">
        <v>20</v>
      </c>
      <c r="E280">
        <v>500</v>
      </c>
      <c r="F280">
        <v>200</v>
      </c>
      <c r="G280" s="3">
        <f t="shared" si="152"/>
        <v>10</v>
      </c>
      <c r="O280">
        <v>82.6</v>
      </c>
      <c r="P280" s="3">
        <v>9.1</v>
      </c>
      <c r="Q280">
        <v>38.25</v>
      </c>
      <c r="R280">
        <v>5.47</v>
      </c>
      <c r="S280">
        <v>3.66</v>
      </c>
      <c r="T280">
        <v>43.82</v>
      </c>
      <c r="U280">
        <v>0.5</v>
      </c>
      <c r="V280">
        <f t="shared" si="153"/>
        <v>1.716078431372549</v>
      </c>
      <c r="W280">
        <f t="shared" si="154"/>
        <v>0.85921568627450984</v>
      </c>
      <c r="X280">
        <v>8.3000000000000007</v>
      </c>
      <c r="Y280" s="3">
        <v>16.13</v>
      </c>
      <c r="Z280">
        <v>49.16</v>
      </c>
      <c r="AA280">
        <v>6.34</v>
      </c>
      <c r="AB280">
        <v>3.51</v>
      </c>
      <c r="AC280">
        <v>34.409999999999997</v>
      </c>
      <c r="AD280">
        <v>0.48</v>
      </c>
      <c r="AE280">
        <f t="shared" si="151"/>
        <v>1.5475996745321399</v>
      </c>
      <c r="AF280">
        <f t="shared" si="145"/>
        <v>0.52496948738812033</v>
      </c>
      <c r="AG280" s="3">
        <v>6.1</v>
      </c>
      <c r="AH280">
        <v>21.15</v>
      </c>
      <c r="AI280" s="3">
        <v>54.06</v>
      </c>
    </row>
    <row r="281" spans="1:38" x14ac:dyDescent="0.5">
      <c r="A281">
        <v>360</v>
      </c>
      <c r="B281" s="4">
        <v>210</v>
      </c>
      <c r="C281">
        <v>0.1</v>
      </c>
      <c r="D281">
        <v>20</v>
      </c>
      <c r="E281">
        <v>500</v>
      </c>
      <c r="F281">
        <v>200</v>
      </c>
      <c r="G281" s="3">
        <f t="shared" ref="G281:G283" si="155">F281/D281</f>
        <v>10</v>
      </c>
      <c r="O281">
        <v>82.6</v>
      </c>
      <c r="P281" s="3">
        <v>9.1</v>
      </c>
      <c r="Q281">
        <v>38.25</v>
      </c>
      <c r="R281">
        <v>5.47</v>
      </c>
      <c r="S281">
        <v>3.66</v>
      </c>
      <c r="T281">
        <v>43.82</v>
      </c>
      <c r="U281">
        <v>0.5</v>
      </c>
      <c r="V281">
        <f t="shared" ref="V281:V283" si="156">(R281/1)/(Q281/12)</f>
        <v>1.716078431372549</v>
      </c>
      <c r="W281">
        <f t="shared" ref="W281:W283" si="157">(T281/16)/(Q281/12)</f>
        <v>0.85921568627450984</v>
      </c>
      <c r="X281">
        <v>8.3000000000000007</v>
      </c>
      <c r="Y281" s="3">
        <v>16.13</v>
      </c>
      <c r="Z281">
        <v>57.61</v>
      </c>
      <c r="AA281">
        <v>6.19</v>
      </c>
      <c r="AB281">
        <v>4.6900000000000004</v>
      </c>
      <c r="AC281">
        <v>24.6</v>
      </c>
      <c r="AD281">
        <v>0.5</v>
      </c>
      <c r="AE281">
        <f t="shared" si="151"/>
        <v>1.2893594862003126</v>
      </c>
      <c r="AF281">
        <f t="shared" si="145"/>
        <v>0.32025689984377714</v>
      </c>
      <c r="AG281" s="3">
        <v>6.4</v>
      </c>
      <c r="AH281">
        <v>25.61</v>
      </c>
      <c r="AI281" s="3">
        <v>52.87</v>
      </c>
    </row>
    <row r="282" spans="1:38" x14ac:dyDescent="0.5">
      <c r="A282">
        <v>360</v>
      </c>
      <c r="B282" s="4">
        <v>240</v>
      </c>
      <c r="C282">
        <v>0.1</v>
      </c>
      <c r="D282">
        <v>20</v>
      </c>
      <c r="E282">
        <v>500</v>
      </c>
      <c r="F282">
        <v>200</v>
      </c>
      <c r="G282" s="3">
        <f t="shared" si="155"/>
        <v>10</v>
      </c>
      <c r="O282">
        <v>82.6</v>
      </c>
      <c r="P282" s="3">
        <v>9.1</v>
      </c>
      <c r="Q282">
        <v>38.25</v>
      </c>
      <c r="R282">
        <v>5.47</v>
      </c>
      <c r="S282">
        <v>3.66</v>
      </c>
      <c r="T282">
        <v>43.82</v>
      </c>
      <c r="U282">
        <v>0.5</v>
      </c>
      <c r="V282">
        <f t="shared" si="156"/>
        <v>1.716078431372549</v>
      </c>
      <c r="W282">
        <f t="shared" si="157"/>
        <v>0.85921568627450984</v>
      </c>
      <c r="X282">
        <v>8.3000000000000007</v>
      </c>
      <c r="Y282" s="3">
        <v>16.13</v>
      </c>
      <c r="Z282">
        <v>64.97</v>
      </c>
      <c r="AA282">
        <v>6.42</v>
      </c>
      <c r="AB282">
        <v>3.88</v>
      </c>
      <c r="AC282">
        <v>17.079999999999998</v>
      </c>
      <c r="AD282">
        <v>0.55000000000000004</v>
      </c>
      <c r="AE282">
        <f t="shared" si="151"/>
        <v>1.1857780514083422</v>
      </c>
      <c r="AF282">
        <f t="shared" si="145"/>
        <v>0.19716792365707247</v>
      </c>
      <c r="AG282" s="3">
        <v>7.6</v>
      </c>
      <c r="AH282">
        <v>29.25</v>
      </c>
      <c r="AI282" s="3">
        <v>43.25</v>
      </c>
    </row>
    <row r="283" spans="1:38" x14ac:dyDescent="0.5">
      <c r="A283">
        <v>120</v>
      </c>
      <c r="B283" s="4">
        <v>200</v>
      </c>
      <c r="C283">
        <v>0.1</v>
      </c>
      <c r="D283">
        <v>120</v>
      </c>
      <c r="E283">
        <v>1000</v>
      </c>
      <c r="F283">
        <v>380</v>
      </c>
      <c r="G283" s="3">
        <f t="shared" si="155"/>
        <v>3.1666666666666665</v>
      </c>
      <c r="N283">
        <v>10</v>
      </c>
      <c r="O283">
        <v>72</v>
      </c>
      <c r="P283" s="3">
        <v>24.2</v>
      </c>
      <c r="Q283">
        <v>44.6</v>
      </c>
      <c r="R283">
        <v>6.1</v>
      </c>
      <c r="S283">
        <v>1.1000000000000001</v>
      </c>
      <c r="T283">
        <v>44.3</v>
      </c>
      <c r="U283">
        <v>0.1</v>
      </c>
      <c r="V283">
        <f t="shared" si="156"/>
        <v>1.6412556053811658</v>
      </c>
      <c r="W283">
        <f t="shared" si="157"/>
        <v>0.7449551569506726</v>
      </c>
      <c r="X283">
        <v>3.8</v>
      </c>
      <c r="Y283" s="3">
        <v>16.7</v>
      </c>
      <c r="Z283">
        <v>57.7</v>
      </c>
      <c r="AA283">
        <v>6.6</v>
      </c>
      <c r="AB283">
        <v>1</v>
      </c>
      <c r="AC283">
        <v>33.1</v>
      </c>
      <c r="AD283">
        <v>0.1</v>
      </c>
      <c r="AE283">
        <f t="shared" si="151"/>
        <v>1.3726169844020797</v>
      </c>
      <c r="AF283">
        <f t="shared" si="145"/>
        <v>0.43024263431542459</v>
      </c>
      <c r="AG283" s="3">
        <v>1.5</v>
      </c>
      <c r="AH283">
        <v>23.99</v>
      </c>
      <c r="AI283" s="3">
        <v>65.3</v>
      </c>
      <c r="AJ283" s="2" t="s">
        <v>87</v>
      </c>
      <c r="AK283" t="s">
        <v>88</v>
      </c>
      <c r="AL283">
        <v>27</v>
      </c>
    </row>
    <row r="284" spans="1:38" x14ac:dyDescent="0.5">
      <c r="A284">
        <v>120</v>
      </c>
      <c r="B284" s="4">
        <v>220</v>
      </c>
      <c r="C284">
        <v>0.1</v>
      </c>
      <c r="D284">
        <v>120</v>
      </c>
      <c r="E284">
        <v>1000</v>
      </c>
      <c r="F284">
        <v>380</v>
      </c>
      <c r="G284" s="3">
        <f t="shared" ref="G284:G300" si="158">F284/D284</f>
        <v>3.1666666666666665</v>
      </c>
      <c r="N284">
        <v>10</v>
      </c>
      <c r="O284">
        <v>72</v>
      </c>
      <c r="P284" s="3">
        <v>24.2</v>
      </c>
      <c r="Q284">
        <v>44.6</v>
      </c>
      <c r="R284">
        <v>6.1</v>
      </c>
      <c r="S284">
        <v>1.1000000000000001</v>
      </c>
      <c r="T284">
        <v>44.3</v>
      </c>
      <c r="U284">
        <v>0.1</v>
      </c>
      <c r="V284">
        <f t="shared" ref="V284:V300" si="159">(R284/1)/(Q284/12)</f>
        <v>1.6412556053811658</v>
      </c>
      <c r="W284">
        <f t="shared" ref="W284:W300" si="160">(T284/16)/(Q284/12)</f>
        <v>0.7449551569506726</v>
      </c>
      <c r="X284">
        <v>3.8</v>
      </c>
      <c r="Y284" s="3">
        <v>16.7</v>
      </c>
      <c r="Z284">
        <v>60.08</v>
      </c>
      <c r="AA284">
        <v>7.2</v>
      </c>
      <c r="AB284">
        <v>1.1000000000000001</v>
      </c>
      <c r="AC284">
        <v>28.7</v>
      </c>
      <c r="AD284">
        <v>0.1</v>
      </c>
      <c r="AE284">
        <f t="shared" si="151"/>
        <v>1.4380825565912116</v>
      </c>
      <c r="AF284">
        <f t="shared" si="145"/>
        <v>0.3582723035952064</v>
      </c>
      <c r="AG284" s="3">
        <v>2.1</v>
      </c>
      <c r="AH284">
        <v>25.11</v>
      </c>
      <c r="AI284" s="3">
        <v>60.4</v>
      </c>
    </row>
    <row r="285" spans="1:38" x14ac:dyDescent="0.5">
      <c r="A285">
        <v>120</v>
      </c>
      <c r="B285" s="4">
        <v>240</v>
      </c>
      <c r="C285">
        <v>0.1</v>
      </c>
      <c r="D285">
        <v>120</v>
      </c>
      <c r="E285">
        <v>1000</v>
      </c>
      <c r="F285">
        <v>380</v>
      </c>
      <c r="G285" s="3">
        <f t="shared" si="158"/>
        <v>3.1666666666666665</v>
      </c>
      <c r="N285">
        <v>10</v>
      </c>
      <c r="O285">
        <v>72</v>
      </c>
      <c r="P285" s="3">
        <v>24.2</v>
      </c>
      <c r="Q285">
        <v>44.6</v>
      </c>
      <c r="R285">
        <v>6.1</v>
      </c>
      <c r="S285">
        <v>1.1000000000000001</v>
      </c>
      <c r="T285">
        <v>44.3</v>
      </c>
      <c r="U285">
        <v>0.1</v>
      </c>
      <c r="V285">
        <f t="shared" si="159"/>
        <v>1.6412556053811658</v>
      </c>
      <c r="W285">
        <f t="shared" si="160"/>
        <v>0.7449551569506726</v>
      </c>
      <c r="X285">
        <v>3.8</v>
      </c>
      <c r="Y285" s="3">
        <v>16.7</v>
      </c>
      <c r="Z285">
        <v>67.7</v>
      </c>
      <c r="AA285">
        <v>7</v>
      </c>
      <c r="AB285">
        <v>1</v>
      </c>
      <c r="AC285">
        <v>22.2</v>
      </c>
      <c r="AD285">
        <v>0.1</v>
      </c>
      <c r="AE285">
        <f t="shared" si="151"/>
        <v>1.2407680945347119</v>
      </c>
      <c r="AF285">
        <f t="shared" si="145"/>
        <v>0.24593796159527326</v>
      </c>
      <c r="AG285" s="3">
        <v>2</v>
      </c>
      <c r="AH285">
        <v>27.86</v>
      </c>
      <c r="AI285" s="3">
        <v>51.6</v>
      </c>
    </row>
    <row r="286" spans="1:38" x14ac:dyDescent="0.5">
      <c r="A286">
        <v>360</v>
      </c>
      <c r="B286" s="4">
        <v>190</v>
      </c>
      <c r="C286">
        <v>0.1</v>
      </c>
      <c r="D286">
        <v>120</v>
      </c>
      <c r="E286">
        <v>1000</v>
      </c>
      <c r="F286">
        <v>380</v>
      </c>
      <c r="G286" s="3">
        <f t="shared" si="158"/>
        <v>3.1666666666666665</v>
      </c>
      <c r="N286">
        <v>10</v>
      </c>
      <c r="O286">
        <v>72</v>
      </c>
      <c r="P286" s="3">
        <v>24.2</v>
      </c>
      <c r="Q286">
        <v>44.6</v>
      </c>
      <c r="R286">
        <v>6.1</v>
      </c>
      <c r="S286">
        <v>1.1000000000000001</v>
      </c>
      <c r="T286">
        <v>44.3</v>
      </c>
      <c r="U286">
        <v>0.1</v>
      </c>
      <c r="V286">
        <f t="shared" si="159"/>
        <v>1.6412556053811658</v>
      </c>
      <c r="W286">
        <f t="shared" si="160"/>
        <v>0.7449551569506726</v>
      </c>
      <c r="X286">
        <v>3.8</v>
      </c>
      <c r="Y286" s="3">
        <v>16.7</v>
      </c>
      <c r="Z286">
        <v>60.1</v>
      </c>
      <c r="AA286">
        <v>6.1</v>
      </c>
      <c r="AB286">
        <v>1.2</v>
      </c>
      <c r="AC286">
        <v>30.5</v>
      </c>
      <c r="AD286">
        <v>0.1</v>
      </c>
      <c r="AE286">
        <f t="shared" si="151"/>
        <v>1.2179700499168051</v>
      </c>
      <c r="AF286">
        <f t="shared" si="145"/>
        <v>0.38061564059900166</v>
      </c>
      <c r="AG286" s="3">
        <v>2.1</v>
      </c>
      <c r="AH286">
        <v>23.95</v>
      </c>
      <c r="AI286" s="3">
        <v>61</v>
      </c>
    </row>
    <row r="287" spans="1:38" x14ac:dyDescent="0.5">
      <c r="A287">
        <v>360</v>
      </c>
      <c r="B287" s="4">
        <v>200</v>
      </c>
      <c r="C287">
        <v>0.1</v>
      </c>
      <c r="D287">
        <v>120</v>
      </c>
      <c r="E287">
        <v>1000</v>
      </c>
      <c r="F287">
        <v>380</v>
      </c>
      <c r="G287" s="3">
        <f t="shared" si="158"/>
        <v>3.1666666666666665</v>
      </c>
      <c r="N287">
        <v>10</v>
      </c>
      <c r="O287">
        <v>72</v>
      </c>
      <c r="P287" s="3">
        <v>24.2</v>
      </c>
      <c r="Q287">
        <v>44.6</v>
      </c>
      <c r="R287">
        <v>6.1</v>
      </c>
      <c r="S287">
        <v>1.1000000000000001</v>
      </c>
      <c r="T287">
        <v>44.3</v>
      </c>
      <c r="U287">
        <v>0.1</v>
      </c>
      <c r="V287">
        <f t="shared" si="159"/>
        <v>1.6412556053811658</v>
      </c>
      <c r="W287">
        <f t="shared" si="160"/>
        <v>0.7449551569506726</v>
      </c>
      <c r="X287">
        <v>3.8</v>
      </c>
      <c r="Y287" s="3">
        <v>16.7</v>
      </c>
      <c r="Z287">
        <v>65.099999999999994</v>
      </c>
      <c r="AA287">
        <v>7.2</v>
      </c>
      <c r="AB287">
        <v>1.3</v>
      </c>
      <c r="AC287">
        <v>24.1</v>
      </c>
      <c r="AD287">
        <v>0.2</v>
      </c>
      <c r="AE287">
        <f t="shared" si="151"/>
        <v>1.3271889400921659</v>
      </c>
      <c r="AF287">
        <f t="shared" si="145"/>
        <v>0.2776497695852535</v>
      </c>
      <c r="AG287" s="3">
        <v>2.1</v>
      </c>
      <c r="AH287">
        <v>26.85</v>
      </c>
      <c r="AI287" s="3">
        <v>54.6</v>
      </c>
    </row>
    <row r="288" spans="1:38" x14ac:dyDescent="0.5">
      <c r="A288">
        <v>360</v>
      </c>
      <c r="B288" s="4">
        <v>210</v>
      </c>
      <c r="C288">
        <v>0.1</v>
      </c>
      <c r="D288">
        <v>120</v>
      </c>
      <c r="E288">
        <v>1000</v>
      </c>
      <c r="F288">
        <v>380</v>
      </c>
      <c r="G288" s="3">
        <f t="shared" si="158"/>
        <v>3.1666666666666665</v>
      </c>
      <c r="N288">
        <v>10</v>
      </c>
      <c r="O288">
        <v>72</v>
      </c>
      <c r="P288" s="3">
        <v>24.2</v>
      </c>
      <c r="Q288">
        <v>44.6</v>
      </c>
      <c r="R288">
        <v>6.1</v>
      </c>
      <c r="S288">
        <v>1.1000000000000001</v>
      </c>
      <c r="T288">
        <v>44.3</v>
      </c>
      <c r="U288">
        <v>0.1</v>
      </c>
      <c r="V288">
        <f t="shared" si="159"/>
        <v>1.6412556053811658</v>
      </c>
      <c r="W288">
        <f t="shared" si="160"/>
        <v>0.7449551569506726</v>
      </c>
      <c r="X288">
        <v>3.8</v>
      </c>
      <c r="Y288" s="3">
        <v>16.7</v>
      </c>
      <c r="Z288">
        <v>63.3</v>
      </c>
      <c r="AA288">
        <v>5.9</v>
      </c>
      <c r="AB288">
        <v>1.3</v>
      </c>
      <c r="AC288">
        <v>27.3</v>
      </c>
      <c r="AD288">
        <v>0.1</v>
      </c>
      <c r="AE288">
        <f t="shared" si="151"/>
        <v>1.1184834123222751</v>
      </c>
      <c r="AF288">
        <f t="shared" si="145"/>
        <v>0.32345971563981046</v>
      </c>
      <c r="AG288" s="3">
        <v>2.1</v>
      </c>
      <c r="AH288">
        <v>25.59</v>
      </c>
      <c r="AI288" s="3">
        <v>43.7</v>
      </c>
    </row>
    <row r="289" spans="1:38" x14ac:dyDescent="0.5">
      <c r="A289">
        <v>360</v>
      </c>
      <c r="B289" s="4">
        <v>220</v>
      </c>
      <c r="C289">
        <v>0.1</v>
      </c>
      <c r="D289">
        <v>120</v>
      </c>
      <c r="E289">
        <v>1000</v>
      </c>
      <c r="F289">
        <v>380</v>
      </c>
      <c r="G289" s="3">
        <f t="shared" si="158"/>
        <v>3.1666666666666665</v>
      </c>
      <c r="N289">
        <v>10</v>
      </c>
      <c r="O289">
        <v>72</v>
      </c>
      <c r="P289" s="3">
        <v>24.2</v>
      </c>
      <c r="Q289">
        <v>44.6</v>
      </c>
      <c r="R289">
        <v>6.1</v>
      </c>
      <c r="S289">
        <v>1.1000000000000001</v>
      </c>
      <c r="T289">
        <v>44.3</v>
      </c>
      <c r="U289">
        <v>0.1</v>
      </c>
      <c r="V289">
        <f t="shared" si="159"/>
        <v>1.6412556053811658</v>
      </c>
      <c r="W289">
        <f t="shared" si="160"/>
        <v>0.7449551569506726</v>
      </c>
      <c r="X289">
        <v>3.8</v>
      </c>
      <c r="Y289" s="3">
        <v>16.7</v>
      </c>
      <c r="Z289">
        <v>66.900000000000006</v>
      </c>
      <c r="AA289">
        <v>6</v>
      </c>
      <c r="AB289">
        <v>1.3</v>
      </c>
      <c r="AC289">
        <v>22.6</v>
      </c>
      <c r="AD289">
        <v>0.1</v>
      </c>
      <c r="AE289">
        <f t="shared" si="151"/>
        <v>1.0762331838565022</v>
      </c>
      <c r="AF289">
        <f t="shared" si="145"/>
        <v>0.25336322869955158</v>
      </c>
      <c r="AG289" s="3">
        <v>3.1</v>
      </c>
      <c r="AH289">
        <v>27.52</v>
      </c>
      <c r="AI289" s="3">
        <v>40.6</v>
      </c>
    </row>
    <row r="290" spans="1:38" x14ac:dyDescent="0.5">
      <c r="A290">
        <v>360</v>
      </c>
      <c r="B290" s="4">
        <v>230</v>
      </c>
      <c r="C290">
        <v>0.1</v>
      </c>
      <c r="D290">
        <v>120</v>
      </c>
      <c r="E290">
        <v>1000</v>
      </c>
      <c r="F290">
        <v>380</v>
      </c>
      <c r="G290" s="3">
        <f t="shared" si="158"/>
        <v>3.1666666666666665</v>
      </c>
      <c r="N290">
        <v>10</v>
      </c>
      <c r="O290">
        <v>72</v>
      </c>
      <c r="P290" s="3">
        <v>24.2</v>
      </c>
      <c r="Q290">
        <v>44.6</v>
      </c>
      <c r="R290">
        <v>6.1</v>
      </c>
      <c r="S290">
        <v>1.1000000000000001</v>
      </c>
      <c r="T290">
        <v>44.3</v>
      </c>
      <c r="U290">
        <v>0.1</v>
      </c>
      <c r="V290">
        <f t="shared" si="159"/>
        <v>1.6412556053811658</v>
      </c>
      <c r="W290">
        <f t="shared" si="160"/>
        <v>0.7449551569506726</v>
      </c>
      <c r="X290">
        <v>3.8</v>
      </c>
      <c r="Y290" s="3">
        <v>16.7</v>
      </c>
      <c r="Z290">
        <v>69.099999999999994</v>
      </c>
      <c r="AA290">
        <v>5.9</v>
      </c>
      <c r="AB290">
        <v>1.5</v>
      </c>
      <c r="AC290">
        <v>21.3</v>
      </c>
      <c r="AD290">
        <v>0.1</v>
      </c>
      <c r="AE290">
        <f t="shared" si="151"/>
        <v>1.0246020260492041</v>
      </c>
      <c r="AF290">
        <f t="shared" si="145"/>
        <v>0.23118668596237341</v>
      </c>
      <c r="AG290" s="3">
        <v>2.1</v>
      </c>
      <c r="AH290">
        <v>28.9</v>
      </c>
      <c r="AI290" s="3">
        <v>39.5</v>
      </c>
    </row>
    <row r="291" spans="1:38" x14ac:dyDescent="0.5">
      <c r="A291">
        <v>360</v>
      </c>
      <c r="B291" s="4">
        <v>240</v>
      </c>
      <c r="C291">
        <v>0.1</v>
      </c>
      <c r="D291">
        <v>120</v>
      </c>
      <c r="E291">
        <v>1000</v>
      </c>
      <c r="F291">
        <v>380</v>
      </c>
      <c r="G291" s="3">
        <f t="shared" si="158"/>
        <v>3.1666666666666665</v>
      </c>
      <c r="N291">
        <v>10</v>
      </c>
      <c r="O291">
        <v>72</v>
      </c>
      <c r="P291" s="3">
        <v>24.2</v>
      </c>
      <c r="Q291">
        <v>44.6</v>
      </c>
      <c r="R291">
        <v>6.1</v>
      </c>
      <c r="S291">
        <v>1.1000000000000001</v>
      </c>
      <c r="T291">
        <v>44.3</v>
      </c>
      <c r="U291">
        <v>0.1</v>
      </c>
      <c r="V291">
        <f t="shared" si="159"/>
        <v>1.6412556053811658</v>
      </c>
      <c r="W291">
        <f t="shared" si="160"/>
        <v>0.7449551569506726</v>
      </c>
      <c r="X291">
        <v>3.8</v>
      </c>
      <c r="Y291" s="3">
        <v>16.7</v>
      </c>
      <c r="Z291">
        <v>70.2</v>
      </c>
      <c r="AA291">
        <v>6.1</v>
      </c>
      <c r="AB291">
        <v>1.3</v>
      </c>
      <c r="AC291">
        <v>20.2</v>
      </c>
      <c r="AD291">
        <v>0.1</v>
      </c>
      <c r="AE291">
        <f t="shared" si="151"/>
        <v>1.0427350427350426</v>
      </c>
      <c r="AF291">
        <f t="shared" si="145"/>
        <v>0.21581196581196579</v>
      </c>
      <c r="AG291" s="3">
        <v>2.1</v>
      </c>
      <c r="AH291">
        <v>29.11</v>
      </c>
      <c r="AI291" s="3">
        <v>37.200000000000003</v>
      </c>
    </row>
    <row r="292" spans="1:38" x14ac:dyDescent="0.5">
      <c r="A292">
        <v>360</v>
      </c>
      <c r="B292" s="4">
        <v>250</v>
      </c>
      <c r="C292">
        <v>0.1</v>
      </c>
      <c r="D292">
        <v>120</v>
      </c>
      <c r="E292">
        <v>1000</v>
      </c>
      <c r="F292">
        <v>380</v>
      </c>
      <c r="G292" s="3">
        <f t="shared" si="158"/>
        <v>3.1666666666666665</v>
      </c>
      <c r="N292">
        <v>10</v>
      </c>
      <c r="O292">
        <v>72</v>
      </c>
      <c r="P292" s="3">
        <v>24.2</v>
      </c>
      <c r="Q292">
        <v>44.6</v>
      </c>
      <c r="R292">
        <v>6.1</v>
      </c>
      <c r="S292">
        <v>1.1000000000000001</v>
      </c>
      <c r="T292">
        <v>44.3</v>
      </c>
      <c r="U292">
        <v>0.1</v>
      </c>
      <c r="V292">
        <f t="shared" si="159"/>
        <v>1.6412556053811658</v>
      </c>
      <c r="W292">
        <f t="shared" si="160"/>
        <v>0.7449551569506726</v>
      </c>
      <c r="X292">
        <v>3.8</v>
      </c>
      <c r="Y292" s="3">
        <v>16.7</v>
      </c>
      <c r="Z292">
        <v>71.5</v>
      </c>
      <c r="AA292">
        <v>5.9</v>
      </c>
      <c r="AB292">
        <v>1.5</v>
      </c>
      <c r="AC292">
        <v>19</v>
      </c>
      <c r="AD292">
        <v>0.1</v>
      </c>
      <c r="AE292">
        <f t="shared" si="151"/>
        <v>0.99020979020979027</v>
      </c>
      <c r="AF292">
        <f t="shared" si="145"/>
        <v>0.19930069930069932</v>
      </c>
      <c r="AG292" s="3">
        <v>2</v>
      </c>
      <c r="AH292">
        <v>29.5</v>
      </c>
      <c r="AI292" s="3">
        <v>34.1</v>
      </c>
    </row>
    <row r="293" spans="1:38" x14ac:dyDescent="0.5">
      <c r="A293">
        <v>900</v>
      </c>
      <c r="B293" s="4">
        <v>190</v>
      </c>
      <c r="C293">
        <v>0.1</v>
      </c>
      <c r="D293">
        <v>120</v>
      </c>
      <c r="E293">
        <v>1000</v>
      </c>
      <c r="F293">
        <v>380</v>
      </c>
      <c r="G293" s="3">
        <f t="shared" si="158"/>
        <v>3.1666666666666665</v>
      </c>
      <c r="N293">
        <v>10</v>
      </c>
      <c r="O293">
        <v>72</v>
      </c>
      <c r="P293" s="3">
        <v>24.2</v>
      </c>
      <c r="Q293">
        <v>44.6</v>
      </c>
      <c r="R293">
        <v>6.1</v>
      </c>
      <c r="S293">
        <v>1.1000000000000001</v>
      </c>
      <c r="T293">
        <v>44.3</v>
      </c>
      <c r="U293">
        <v>0.1</v>
      </c>
      <c r="V293">
        <f t="shared" si="159"/>
        <v>1.6412556053811658</v>
      </c>
      <c r="W293">
        <f t="shared" si="160"/>
        <v>0.7449551569506726</v>
      </c>
      <c r="X293">
        <v>3.8</v>
      </c>
      <c r="Y293" s="3">
        <v>16.7</v>
      </c>
      <c r="Z293">
        <v>61.6</v>
      </c>
      <c r="AA293">
        <v>7.5</v>
      </c>
      <c r="AB293">
        <v>1.2</v>
      </c>
      <c r="AC293">
        <v>27.8</v>
      </c>
      <c r="AD293">
        <v>0.1</v>
      </c>
      <c r="AE293">
        <f t="shared" si="151"/>
        <v>1.4610389610389609</v>
      </c>
      <c r="AF293">
        <f t="shared" si="145"/>
        <v>0.33847402597402598</v>
      </c>
      <c r="AG293" s="3">
        <v>1.8</v>
      </c>
      <c r="AH293">
        <v>24.45</v>
      </c>
      <c r="AI293" s="3">
        <v>63.3</v>
      </c>
    </row>
    <row r="294" spans="1:38" x14ac:dyDescent="0.5">
      <c r="A294">
        <v>900</v>
      </c>
      <c r="B294" s="4">
        <v>200</v>
      </c>
      <c r="C294">
        <v>0.1</v>
      </c>
      <c r="D294">
        <v>120</v>
      </c>
      <c r="E294">
        <v>1000</v>
      </c>
      <c r="F294">
        <v>380</v>
      </c>
      <c r="G294" s="3">
        <f t="shared" si="158"/>
        <v>3.1666666666666665</v>
      </c>
      <c r="N294">
        <v>10</v>
      </c>
      <c r="O294">
        <v>72</v>
      </c>
      <c r="P294" s="3">
        <v>24.2</v>
      </c>
      <c r="Q294">
        <v>44.6</v>
      </c>
      <c r="R294">
        <v>6.1</v>
      </c>
      <c r="S294">
        <v>1.1000000000000001</v>
      </c>
      <c r="T294">
        <v>44.3</v>
      </c>
      <c r="U294">
        <v>0.1</v>
      </c>
      <c r="V294">
        <f t="shared" si="159"/>
        <v>1.6412556053811658</v>
      </c>
      <c r="W294">
        <f t="shared" si="160"/>
        <v>0.7449551569506726</v>
      </c>
      <c r="X294">
        <v>3.8</v>
      </c>
      <c r="Y294" s="3">
        <v>16.7</v>
      </c>
      <c r="Z294">
        <v>60.6</v>
      </c>
      <c r="AA294">
        <v>7.2</v>
      </c>
      <c r="AB294">
        <v>1.2</v>
      </c>
      <c r="AC294">
        <v>28.6</v>
      </c>
      <c r="AD294">
        <v>0.2</v>
      </c>
      <c r="AE294">
        <f t="shared" si="151"/>
        <v>1.4257425742574259</v>
      </c>
      <c r="AF294">
        <f t="shared" si="145"/>
        <v>0.353960396039604</v>
      </c>
      <c r="AG294" s="3">
        <v>2.2000000000000002</v>
      </c>
      <c r="AH294">
        <v>24.53</v>
      </c>
      <c r="AI294" s="3">
        <v>61.9</v>
      </c>
    </row>
    <row r="295" spans="1:38" x14ac:dyDescent="0.5">
      <c r="A295">
        <v>900</v>
      </c>
      <c r="B295" s="4">
        <v>210</v>
      </c>
      <c r="C295">
        <v>0.1</v>
      </c>
      <c r="D295">
        <v>120</v>
      </c>
      <c r="E295">
        <v>1000</v>
      </c>
      <c r="F295">
        <v>380</v>
      </c>
      <c r="G295" s="3">
        <f t="shared" si="158"/>
        <v>3.1666666666666665</v>
      </c>
      <c r="N295">
        <v>10</v>
      </c>
      <c r="O295">
        <v>72</v>
      </c>
      <c r="P295" s="3">
        <v>24.2</v>
      </c>
      <c r="Q295">
        <v>44.6</v>
      </c>
      <c r="R295">
        <v>6.1</v>
      </c>
      <c r="S295">
        <v>1.1000000000000001</v>
      </c>
      <c r="T295">
        <v>44.3</v>
      </c>
      <c r="U295">
        <v>0.1</v>
      </c>
      <c r="V295">
        <f t="shared" si="159"/>
        <v>1.6412556053811658</v>
      </c>
      <c r="W295">
        <f t="shared" si="160"/>
        <v>0.7449551569506726</v>
      </c>
      <c r="X295">
        <v>3.8</v>
      </c>
      <c r="Y295" s="3">
        <v>16.7</v>
      </c>
      <c r="Z295">
        <v>66.900000000000006</v>
      </c>
      <c r="AA295">
        <v>6</v>
      </c>
      <c r="AB295">
        <v>1.4</v>
      </c>
      <c r="AC295">
        <v>23.3</v>
      </c>
      <c r="AD295">
        <v>0.1</v>
      </c>
      <c r="AE295">
        <f t="shared" si="151"/>
        <v>1.0762331838565022</v>
      </c>
      <c r="AF295">
        <f t="shared" si="145"/>
        <v>0.26121076233183854</v>
      </c>
      <c r="AG295" s="3">
        <v>2.2999999999999998</v>
      </c>
      <c r="AH295">
        <v>28.03</v>
      </c>
      <c r="AI295" s="3">
        <v>52.2</v>
      </c>
    </row>
    <row r="296" spans="1:38" x14ac:dyDescent="0.5">
      <c r="A296">
        <v>900</v>
      </c>
      <c r="B296" s="4">
        <v>220</v>
      </c>
      <c r="C296">
        <v>0.1</v>
      </c>
      <c r="D296">
        <v>120</v>
      </c>
      <c r="E296">
        <v>1000</v>
      </c>
      <c r="F296">
        <v>380</v>
      </c>
      <c r="G296" s="3">
        <f t="shared" si="158"/>
        <v>3.1666666666666665</v>
      </c>
      <c r="N296">
        <v>10</v>
      </c>
      <c r="O296">
        <v>72</v>
      </c>
      <c r="P296" s="3">
        <v>24.2</v>
      </c>
      <c r="Q296">
        <v>44.6</v>
      </c>
      <c r="R296">
        <v>6.1</v>
      </c>
      <c r="S296">
        <v>1.1000000000000001</v>
      </c>
      <c r="T296">
        <v>44.3</v>
      </c>
      <c r="U296">
        <v>0.1</v>
      </c>
      <c r="V296">
        <f t="shared" si="159"/>
        <v>1.6412556053811658</v>
      </c>
      <c r="W296">
        <f t="shared" si="160"/>
        <v>0.7449551569506726</v>
      </c>
      <c r="X296">
        <v>3.8</v>
      </c>
      <c r="Y296" s="3">
        <v>16.7</v>
      </c>
      <c r="Z296">
        <v>68.900000000000006</v>
      </c>
      <c r="AA296">
        <v>7</v>
      </c>
      <c r="AB296">
        <v>1.5</v>
      </c>
      <c r="AC296">
        <v>19.600000000000001</v>
      </c>
      <c r="AD296">
        <v>0.2</v>
      </c>
      <c r="AE296">
        <f t="shared" si="151"/>
        <v>1.2191582002902757</v>
      </c>
      <c r="AF296">
        <f t="shared" si="145"/>
        <v>0.21335268505079827</v>
      </c>
      <c r="AG296" s="3">
        <v>2.9</v>
      </c>
      <c r="AH296">
        <v>28.36</v>
      </c>
      <c r="AI296" s="3">
        <v>49.1</v>
      </c>
    </row>
    <row r="297" spans="1:38" x14ac:dyDescent="0.5">
      <c r="A297">
        <v>900</v>
      </c>
      <c r="B297" s="4">
        <v>230</v>
      </c>
      <c r="C297">
        <v>0.1</v>
      </c>
      <c r="D297">
        <v>120</v>
      </c>
      <c r="E297">
        <v>1000</v>
      </c>
      <c r="F297">
        <v>380</v>
      </c>
      <c r="G297" s="3">
        <f t="shared" si="158"/>
        <v>3.1666666666666665</v>
      </c>
      <c r="N297">
        <v>10</v>
      </c>
      <c r="O297">
        <v>72</v>
      </c>
      <c r="P297" s="3">
        <v>24.2</v>
      </c>
      <c r="Q297">
        <v>44.6</v>
      </c>
      <c r="R297">
        <v>6.1</v>
      </c>
      <c r="S297">
        <v>1.1000000000000001</v>
      </c>
      <c r="T297">
        <v>44.3</v>
      </c>
      <c r="U297">
        <v>0.1</v>
      </c>
      <c r="V297">
        <f t="shared" si="159"/>
        <v>1.6412556053811658</v>
      </c>
      <c r="W297">
        <f t="shared" si="160"/>
        <v>0.7449551569506726</v>
      </c>
      <c r="X297">
        <v>3.8</v>
      </c>
      <c r="Y297" s="3">
        <v>16.7</v>
      </c>
      <c r="Z297">
        <v>70</v>
      </c>
      <c r="AA297">
        <v>6.7</v>
      </c>
      <c r="AB297">
        <v>1.5</v>
      </c>
      <c r="AC297">
        <v>19.7</v>
      </c>
      <c r="AD297">
        <v>0.1</v>
      </c>
      <c r="AE297">
        <f t="shared" si="151"/>
        <v>1.1485714285714286</v>
      </c>
      <c r="AF297">
        <f t="shared" si="145"/>
        <v>0.21107142857142858</v>
      </c>
      <c r="AG297" s="3">
        <v>2</v>
      </c>
      <c r="AH297">
        <v>28.21</v>
      </c>
      <c r="AI297" s="3">
        <v>48.4</v>
      </c>
    </row>
    <row r="298" spans="1:38" x14ac:dyDescent="0.5">
      <c r="A298">
        <v>900</v>
      </c>
      <c r="B298" s="4">
        <v>240</v>
      </c>
      <c r="C298">
        <v>0.1</v>
      </c>
      <c r="D298">
        <v>120</v>
      </c>
      <c r="E298">
        <v>1000</v>
      </c>
      <c r="F298">
        <v>380</v>
      </c>
      <c r="G298" s="3">
        <f t="shared" si="158"/>
        <v>3.1666666666666665</v>
      </c>
      <c r="N298">
        <v>10</v>
      </c>
      <c r="O298">
        <v>72</v>
      </c>
      <c r="P298" s="3">
        <v>24.2</v>
      </c>
      <c r="Q298">
        <v>44.6</v>
      </c>
      <c r="R298">
        <v>6.1</v>
      </c>
      <c r="S298">
        <v>1.1000000000000001</v>
      </c>
      <c r="T298">
        <v>44.3</v>
      </c>
      <c r="U298">
        <v>0.1</v>
      </c>
      <c r="V298">
        <f t="shared" si="159"/>
        <v>1.6412556053811658</v>
      </c>
      <c r="W298">
        <f t="shared" si="160"/>
        <v>0.7449551569506726</v>
      </c>
      <c r="X298">
        <v>3.8</v>
      </c>
      <c r="Y298" s="3">
        <v>16.7</v>
      </c>
      <c r="Z298">
        <v>71.3</v>
      </c>
      <c r="AA298">
        <v>7.3</v>
      </c>
      <c r="AB298">
        <v>1.5</v>
      </c>
      <c r="AC298">
        <v>16.899999999999999</v>
      </c>
      <c r="AD298">
        <v>0.1</v>
      </c>
      <c r="AE298">
        <f t="shared" si="151"/>
        <v>1.2286115007012623</v>
      </c>
      <c r="AF298">
        <f t="shared" si="145"/>
        <v>0.17776998597475455</v>
      </c>
      <c r="AG298" s="3">
        <v>2.9</v>
      </c>
      <c r="AH298">
        <v>29.42</v>
      </c>
      <c r="AI298" s="3">
        <v>45.6</v>
      </c>
    </row>
    <row r="299" spans="1:38" x14ac:dyDescent="0.5">
      <c r="A299">
        <v>900</v>
      </c>
      <c r="B299" s="4">
        <v>250</v>
      </c>
      <c r="C299">
        <v>0.1</v>
      </c>
      <c r="D299">
        <v>120</v>
      </c>
      <c r="E299">
        <v>1000</v>
      </c>
      <c r="F299">
        <v>380</v>
      </c>
      <c r="G299" s="3">
        <f t="shared" si="158"/>
        <v>3.1666666666666665</v>
      </c>
      <c r="N299">
        <v>10</v>
      </c>
      <c r="O299">
        <v>72</v>
      </c>
      <c r="P299" s="3">
        <v>24.2</v>
      </c>
      <c r="Q299">
        <v>44.6</v>
      </c>
      <c r="R299">
        <v>6.1</v>
      </c>
      <c r="S299">
        <v>1.1000000000000001</v>
      </c>
      <c r="T299">
        <v>44.3</v>
      </c>
      <c r="U299">
        <v>0.1</v>
      </c>
      <c r="V299">
        <f t="shared" si="159"/>
        <v>1.6412556053811658</v>
      </c>
      <c r="W299">
        <f t="shared" si="160"/>
        <v>0.7449551569506726</v>
      </c>
      <c r="X299">
        <v>3.8</v>
      </c>
      <c r="Y299" s="3">
        <v>16.7</v>
      </c>
      <c r="Z299">
        <v>70.400000000000006</v>
      </c>
      <c r="AA299">
        <v>6.1</v>
      </c>
      <c r="AB299">
        <v>1.6</v>
      </c>
      <c r="AC299">
        <v>19.8</v>
      </c>
      <c r="AD299">
        <v>0.1</v>
      </c>
      <c r="AE299">
        <f t="shared" si="151"/>
        <v>1.0397727272727271</v>
      </c>
      <c r="AF299">
        <f t="shared" si="145"/>
        <v>0.2109375</v>
      </c>
      <c r="AG299" s="3">
        <v>2</v>
      </c>
      <c r="AH299">
        <v>28.79</v>
      </c>
      <c r="AI299" s="3">
        <v>43.7</v>
      </c>
    </row>
    <row r="300" spans="1:38" x14ac:dyDescent="0.5">
      <c r="A300">
        <v>214</v>
      </c>
      <c r="B300" s="4">
        <v>176.8</v>
      </c>
      <c r="C300">
        <v>0.1</v>
      </c>
      <c r="D300">
        <v>45</v>
      </c>
      <c r="E300">
        <v>979</v>
      </c>
      <c r="F300">
        <v>255</v>
      </c>
      <c r="G300" s="3">
        <f t="shared" si="158"/>
        <v>5.666666666666667</v>
      </c>
      <c r="Q300">
        <v>50.3</v>
      </c>
      <c r="R300">
        <v>6.1</v>
      </c>
      <c r="S300">
        <v>0.28000000000000003</v>
      </c>
      <c r="T300">
        <v>42.6</v>
      </c>
      <c r="U300">
        <v>0.02</v>
      </c>
      <c r="V300">
        <f t="shared" si="159"/>
        <v>1.4552683896620278</v>
      </c>
      <c r="W300">
        <f t="shared" si="160"/>
        <v>0.63518886679920483</v>
      </c>
      <c r="X300">
        <v>51.87</v>
      </c>
      <c r="Y300" s="3">
        <f>(0.338*Q300)+1.428*(R300-(T300/8))</f>
        <v>18.1081</v>
      </c>
      <c r="Z300">
        <v>56.9</v>
      </c>
      <c r="AA300">
        <v>5.76</v>
      </c>
      <c r="AB300">
        <v>2.91</v>
      </c>
      <c r="AC300">
        <v>34.049999999999997</v>
      </c>
      <c r="AD300" s="5">
        <v>0.38</v>
      </c>
      <c r="AE300">
        <f t="shared" si="151"/>
        <v>1.2147627416520212</v>
      </c>
      <c r="AF300">
        <f t="shared" si="145"/>
        <v>0.44881370826010547</v>
      </c>
      <c r="AG300" s="3">
        <v>53.62</v>
      </c>
      <c r="AH300">
        <f>(0.338*Z300)+1.428*(AA300-(AC300/8))</f>
        <v>21.379555000000003</v>
      </c>
      <c r="AI300" s="3">
        <v>81</v>
      </c>
      <c r="AJ300" s="2" t="s">
        <v>89</v>
      </c>
      <c r="AK300" t="s">
        <v>90</v>
      </c>
      <c r="AL300">
        <v>28</v>
      </c>
    </row>
    <row r="301" spans="1:38" x14ac:dyDescent="0.5">
      <c r="A301">
        <v>265</v>
      </c>
      <c r="B301" s="4">
        <v>181.3</v>
      </c>
      <c r="C301">
        <v>0.1</v>
      </c>
      <c r="D301">
        <v>45</v>
      </c>
      <c r="E301">
        <v>979</v>
      </c>
      <c r="F301">
        <v>255</v>
      </c>
      <c r="G301" s="3">
        <f t="shared" ref="G301:G310" si="161">F301/D301</f>
        <v>5.666666666666667</v>
      </c>
      <c r="Q301">
        <v>50.3</v>
      </c>
      <c r="R301">
        <v>6.1</v>
      </c>
      <c r="S301">
        <v>0.28000000000000003</v>
      </c>
      <c r="T301">
        <v>42.6</v>
      </c>
      <c r="U301">
        <v>0.02</v>
      </c>
      <c r="V301">
        <f t="shared" ref="V301:V310" si="162">(R301/1)/(Q301/12)</f>
        <v>1.4552683896620278</v>
      </c>
      <c r="W301">
        <f t="shared" ref="W301:W310" si="163">(T301/16)/(Q301/12)</f>
        <v>0.63518886679920483</v>
      </c>
      <c r="X301">
        <v>51.87</v>
      </c>
      <c r="Y301" s="3">
        <f t="shared" ref="Y301:Y310" si="164">(0.338*Q301)+1.428*(R301-(T301/8))</f>
        <v>18.1081</v>
      </c>
      <c r="Z301">
        <v>60.25</v>
      </c>
      <c r="AA301">
        <v>6.04</v>
      </c>
      <c r="AB301">
        <v>3.09</v>
      </c>
      <c r="AC301">
        <v>30.24</v>
      </c>
      <c r="AD301">
        <v>0.38</v>
      </c>
      <c r="AE301">
        <f t="shared" si="151"/>
        <v>1.20298755186722</v>
      </c>
      <c r="AF301">
        <f t="shared" si="145"/>
        <v>0.37643153526970957</v>
      </c>
      <c r="AG301" s="3">
        <v>54.84</v>
      </c>
      <c r="AH301">
        <f t="shared" ref="AH301:AH313" si="165">(0.338*Z301)+1.428*(AA301-(AC301/8))</f>
        <v>23.59178</v>
      </c>
      <c r="AI301" s="3">
        <v>79</v>
      </c>
    </row>
    <row r="302" spans="1:38" x14ac:dyDescent="0.5">
      <c r="A302">
        <v>590</v>
      </c>
      <c r="B302" s="4">
        <v>177.5</v>
      </c>
      <c r="C302">
        <v>0.1</v>
      </c>
      <c r="D302">
        <v>45</v>
      </c>
      <c r="E302">
        <v>979</v>
      </c>
      <c r="F302">
        <v>255</v>
      </c>
      <c r="G302" s="3">
        <f t="shared" si="161"/>
        <v>5.666666666666667</v>
      </c>
      <c r="Q302">
        <v>50.3</v>
      </c>
      <c r="R302">
        <v>6.1</v>
      </c>
      <c r="S302">
        <v>0.28000000000000003</v>
      </c>
      <c r="T302">
        <v>42.6</v>
      </c>
      <c r="U302">
        <v>0.02</v>
      </c>
      <c r="V302">
        <f t="shared" si="162"/>
        <v>1.4552683896620278</v>
      </c>
      <c r="W302">
        <f t="shared" si="163"/>
        <v>0.63518886679920483</v>
      </c>
      <c r="X302">
        <v>51.87</v>
      </c>
      <c r="Y302" s="3">
        <f t="shared" si="164"/>
        <v>18.1081</v>
      </c>
      <c r="Z302">
        <v>59.04</v>
      </c>
      <c r="AA302">
        <v>5.92</v>
      </c>
      <c r="AB302">
        <v>2.93</v>
      </c>
      <c r="AC302">
        <v>31.72</v>
      </c>
      <c r="AD302">
        <v>0.39</v>
      </c>
      <c r="AE302">
        <f t="shared" si="151"/>
        <v>1.2032520325203253</v>
      </c>
      <c r="AF302">
        <f t="shared" si="145"/>
        <v>0.40294715447154472</v>
      </c>
      <c r="AG302" s="3">
        <v>52.33</v>
      </c>
      <c r="AH302">
        <f t="shared" si="165"/>
        <v>22.747260000000001</v>
      </c>
      <c r="AI302" s="3">
        <v>70</v>
      </c>
    </row>
    <row r="303" spans="1:38" x14ac:dyDescent="0.5">
      <c r="A303">
        <v>195</v>
      </c>
      <c r="B303" s="4">
        <v>209</v>
      </c>
      <c r="C303">
        <v>0.1</v>
      </c>
      <c r="D303">
        <v>45</v>
      </c>
      <c r="E303">
        <v>979</v>
      </c>
      <c r="F303">
        <v>255</v>
      </c>
      <c r="G303" s="3">
        <f t="shared" si="161"/>
        <v>5.666666666666667</v>
      </c>
      <c r="Q303">
        <v>50.3</v>
      </c>
      <c r="R303">
        <v>6.1</v>
      </c>
      <c r="S303">
        <v>0.28000000000000003</v>
      </c>
      <c r="T303">
        <v>42.6</v>
      </c>
      <c r="U303">
        <v>0.02</v>
      </c>
      <c r="V303">
        <f t="shared" si="162"/>
        <v>1.4552683896620278</v>
      </c>
      <c r="W303">
        <f t="shared" si="163"/>
        <v>0.63518886679920483</v>
      </c>
      <c r="X303">
        <v>51.87</v>
      </c>
      <c r="Y303" s="3">
        <f t="shared" si="164"/>
        <v>18.1081</v>
      </c>
      <c r="Z303">
        <v>60.89</v>
      </c>
      <c r="AA303">
        <v>5.9</v>
      </c>
      <c r="AB303">
        <v>2.88</v>
      </c>
      <c r="AC303">
        <v>30.24</v>
      </c>
      <c r="AD303">
        <v>0.3</v>
      </c>
      <c r="AE303">
        <f t="shared" si="151"/>
        <v>1.1627525045163409</v>
      </c>
      <c r="AF303">
        <f t="shared" si="145"/>
        <v>0.37247495483659054</v>
      </c>
      <c r="AG303" s="3">
        <v>47.71</v>
      </c>
      <c r="AH303">
        <f t="shared" si="165"/>
        <v>23.608180000000004</v>
      </c>
      <c r="AI303" s="3">
        <v>51</v>
      </c>
    </row>
    <row r="304" spans="1:38" x14ac:dyDescent="0.5">
      <c r="A304">
        <v>430</v>
      </c>
      <c r="B304" s="4">
        <v>221</v>
      </c>
      <c r="C304">
        <v>0.1</v>
      </c>
      <c r="D304">
        <v>45</v>
      </c>
      <c r="E304">
        <v>979</v>
      </c>
      <c r="F304">
        <v>255</v>
      </c>
      <c r="G304" s="3">
        <f t="shared" si="161"/>
        <v>5.666666666666667</v>
      </c>
      <c r="Q304">
        <v>50.3</v>
      </c>
      <c r="R304">
        <v>6.1</v>
      </c>
      <c r="S304">
        <v>0.28000000000000003</v>
      </c>
      <c r="T304">
        <v>42.6</v>
      </c>
      <c r="U304">
        <v>0.02</v>
      </c>
      <c r="V304">
        <f t="shared" si="162"/>
        <v>1.4552683896620278</v>
      </c>
      <c r="W304">
        <f t="shared" si="163"/>
        <v>0.63518886679920483</v>
      </c>
      <c r="X304">
        <v>51.87</v>
      </c>
      <c r="Y304" s="3">
        <f t="shared" si="164"/>
        <v>18.1081</v>
      </c>
      <c r="Z304">
        <v>65.28</v>
      </c>
      <c r="AA304">
        <v>6.12</v>
      </c>
      <c r="AB304">
        <v>3.43</v>
      </c>
      <c r="AC304">
        <v>24.82</v>
      </c>
      <c r="AD304">
        <v>0.35</v>
      </c>
      <c r="AE304">
        <f t="shared" si="151"/>
        <v>1.125</v>
      </c>
      <c r="AF304">
        <f t="shared" si="145"/>
        <v>0.28515625</v>
      </c>
      <c r="AG304" s="3">
        <v>55</v>
      </c>
      <c r="AH304">
        <f t="shared" si="165"/>
        <v>26.373629999999999</v>
      </c>
      <c r="AI304" s="3">
        <v>57</v>
      </c>
    </row>
    <row r="305" spans="1:38" x14ac:dyDescent="0.5">
      <c r="A305">
        <v>420</v>
      </c>
      <c r="B305" s="4">
        <v>211.3</v>
      </c>
      <c r="C305">
        <v>0.1</v>
      </c>
      <c r="D305">
        <v>45</v>
      </c>
      <c r="E305">
        <v>979</v>
      </c>
      <c r="F305">
        <v>255</v>
      </c>
      <c r="G305" s="3">
        <f t="shared" si="161"/>
        <v>5.666666666666667</v>
      </c>
      <c r="Q305">
        <v>50.3</v>
      </c>
      <c r="R305">
        <v>6.1</v>
      </c>
      <c r="S305">
        <v>0.28000000000000003</v>
      </c>
      <c r="T305">
        <v>42.6</v>
      </c>
      <c r="U305">
        <v>0.02</v>
      </c>
      <c r="V305">
        <f t="shared" si="162"/>
        <v>1.4552683896620278</v>
      </c>
      <c r="W305">
        <f t="shared" si="163"/>
        <v>0.63518886679920483</v>
      </c>
      <c r="X305">
        <v>51.87</v>
      </c>
      <c r="Y305" s="3">
        <f t="shared" si="164"/>
        <v>18.1081</v>
      </c>
      <c r="Z305">
        <v>61.89</v>
      </c>
      <c r="AA305">
        <v>5.82</v>
      </c>
      <c r="AB305">
        <v>2.99</v>
      </c>
      <c r="AC305">
        <v>28.99</v>
      </c>
      <c r="AD305">
        <v>0.3</v>
      </c>
      <c r="AE305">
        <f t="shared" si="151"/>
        <v>1.1284537081919537</v>
      </c>
      <c r="AF305">
        <f t="shared" si="145"/>
        <v>0.35130877363063501</v>
      </c>
      <c r="AG305" s="3">
        <v>48.68</v>
      </c>
      <c r="AH305">
        <f t="shared" si="165"/>
        <v>24.055064999999999</v>
      </c>
      <c r="AI305" s="3">
        <v>45</v>
      </c>
    </row>
    <row r="306" spans="1:38" x14ac:dyDescent="0.5">
      <c r="A306">
        <v>800</v>
      </c>
      <c r="B306" s="4">
        <v>228.5</v>
      </c>
      <c r="C306">
        <v>0.1</v>
      </c>
      <c r="D306">
        <v>45</v>
      </c>
      <c r="E306">
        <v>979</v>
      </c>
      <c r="F306">
        <v>255</v>
      </c>
      <c r="G306" s="3">
        <f t="shared" si="161"/>
        <v>5.666666666666667</v>
      </c>
      <c r="Q306">
        <v>50.3</v>
      </c>
      <c r="R306">
        <v>6.1</v>
      </c>
      <c r="S306">
        <v>0.28000000000000003</v>
      </c>
      <c r="T306">
        <v>42.6</v>
      </c>
      <c r="U306">
        <v>0.02</v>
      </c>
      <c r="V306">
        <f t="shared" si="162"/>
        <v>1.4552683896620278</v>
      </c>
      <c r="W306">
        <f t="shared" si="163"/>
        <v>0.63518886679920483</v>
      </c>
      <c r="X306">
        <v>51.87</v>
      </c>
      <c r="Y306" s="3">
        <f t="shared" si="164"/>
        <v>18.1081</v>
      </c>
      <c r="Z306">
        <v>66.900000000000006</v>
      </c>
      <c r="AA306">
        <v>5.76</v>
      </c>
      <c r="AB306">
        <v>3.88</v>
      </c>
      <c r="AC306">
        <v>23.11</v>
      </c>
      <c r="AD306">
        <v>0.34</v>
      </c>
      <c r="AE306">
        <f t="shared" si="151"/>
        <v>1.033183856502242</v>
      </c>
      <c r="AF306">
        <f t="shared" si="145"/>
        <v>0.25908071748878925</v>
      </c>
      <c r="AG306" s="3">
        <v>58.47</v>
      </c>
      <c r="AH306">
        <f t="shared" si="165"/>
        <v>26.712345000000006</v>
      </c>
      <c r="AI306" s="3">
        <v>47</v>
      </c>
    </row>
    <row r="307" spans="1:38" x14ac:dyDescent="0.5">
      <c r="A307">
        <v>395</v>
      </c>
      <c r="B307" s="4">
        <v>221.8</v>
      </c>
      <c r="C307">
        <v>0.1</v>
      </c>
      <c r="D307">
        <v>45</v>
      </c>
      <c r="E307">
        <v>979</v>
      </c>
      <c r="F307">
        <v>255</v>
      </c>
      <c r="G307" s="3">
        <f t="shared" si="161"/>
        <v>5.666666666666667</v>
      </c>
      <c r="Q307">
        <v>50.3</v>
      </c>
      <c r="R307">
        <v>6.1</v>
      </c>
      <c r="S307">
        <v>0.28000000000000003</v>
      </c>
      <c r="T307">
        <v>42.6</v>
      </c>
      <c r="U307">
        <v>0.02</v>
      </c>
      <c r="V307">
        <f t="shared" si="162"/>
        <v>1.4552683896620278</v>
      </c>
      <c r="W307">
        <f t="shared" si="163"/>
        <v>0.63518886679920483</v>
      </c>
      <c r="X307">
        <v>51.87</v>
      </c>
      <c r="Y307" s="3">
        <f t="shared" si="164"/>
        <v>18.1081</v>
      </c>
      <c r="Z307">
        <v>61.7</v>
      </c>
      <c r="AA307">
        <v>5.84</v>
      </c>
      <c r="AB307">
        <v>3.48</v>
      </c>
      <c r="AC307">
        <v>28.64</v>
      </c>
      <c r="AD307">
        <v>0.34</v>
      </c>
      <c r="AE307">
        <f t="shared" si="151"/>
        <v>1.1358184764991897</v>
      </c>
      <c r="AF307">
        <f t="shared" si="145"/>
        <v>0.34813614262560777</v>
      </c>
      <c r="AG307" s="3">
        <v>59.41</v>
      </c>
      <c r="AH307">
        <f t="shared" si="165"/>
        <v>24.081880000000002</v>
      </c>
      <c r="AI307" s="3">
        <v>74</v>
      </c>
    </row>
    <row r="308" spans="1:38" x14ac:dyDescent="0.5">
      <c r="A308">
        <v>445</v>
      </c>
      <c r="B308" s="4">
        <v>218.4</v>
      </c>
      <c r="C308">
        <v>0.1</v>
      </c>
      <c r="D308">
        <v>45</v>
      </c>
      <c r="E308">
        <v>979</v>
      </c>
      <c r="F308">
        <v>255</v>
      </c>
      <c r="G308" s="3">
        <f t="shared" si="161"/>
        <v>5.666666666666667</v>
      </c>
      <c r="Q308">
        <v>50.3</v>
      </c>
      <c r="R308">
        <v>6.1</v>
      </c>
      <c r="S308">
        <v>0.28000000000000003</v>
      </c>
      <c r="T308">
        <v>42.6</v>
      </c>
      <c r="U308">
        <v>0.02</v>
      </c>
      <c r="V308">
        <f t="shared" si="162"/>
        <v>1.4552683896620278</v>
      </c>
      <c r="W308">
        <f t="shared" si="163"/>
        <v>0.63518886679920483</v>
      </c>
      <c r="X308">
        <v>51.87</v>
      </c>
      <c r="Y308" s="3">
        <f t="shared" si="164"/>
        <v>18.1081</v>
      </c>
      <c r="Z308">
        <v>62.73</v>
      </c>
      <c r="AA308">
        <v>6.05</v>
      </c>
      <c r="AB308">
        <v>3.63</v>
      </c>
      <c r="AC308">
        <v>27.22</v>
      </c>
      <c r="AD308">
        <v>0.38</v>
      </c>
      <c r="AE308">
        <f t="shared" si="151"/>
        <v>1.1573409851745575</v>
      </c>
      <c r="AF308">
        <f t="shared" si="145"/>
        <v>0.32544237207077953</v>
      </c>
      <c r="AG308" s="3">
        <v>50.24</v>
      </c>
      <c r="AH308">
        <f t="shared" si="165"/>
        <v>24.983369999999997</v>
      </c>
      <c r="AI308" s="3">
        <v>69</v>
      </c>
    </row>
    <row r="309" spans="1:38" x14ac:dyDescent="0.5">
      <c r="A309">
        <v>515</v>
      </c>
      <c r="B309" s="4">
        <v>224.4</v>
      </c>
      <c r="C309">
        <v>0.1</v>
      </c>
      <c r="D309">
        <v>45</v>
      </c>
      <c r="E309">
        <v>979</v>
      </c>
      <c r="F309">
        <v>255</v>
      </c>
      <c r="G309" s="3">
        <f t="shared" si="161"/>
        <v>5.666666666666667</v>
      </c>
      <c r="Q309">
        <v>50.3</v>
      </c>
      <c r="R309">
        <v>6.1</v>
      </c>
      <c r="S309">
        <v>0.28000000000000003</v>
      </c>
      <c r="T309">
        <v>42.6</v>
      </c>
      <c r="U309">
        <v>0.02</v>
      </c>
      <c r="V309">
        <f t="shared" si="162"/>
        <v>1.4552683896620278</v>
      </c>
      <c r="W309">
        <f t="shared" si="163"/>
        <v>0.63518886679920483</v>
      </c>
      <c r="X309">
        <v>51.87</v>
      </c>
      <c r="Y309" s="3">
        <f t="shared" si="164"/>
        <v>18.1081</v>
      </c>
      <c r="Z309">
        <v>64.31</v>
      </c>
      <c r="AA309">
        <v>6</v>
      </c>
      <c r="AB309">
        <v>3.25</v>
      </c>
      <c r="AC309">
        <v>26.11</v>
      </c>
      <c r="AD309">
        <v>0.33</v>
      </c>
      <c r="AE309">
        <f t="shared" si="151"/>
        <v>1.1195770486705021</v>
      </c>
      <c r="AF309">
        <f t="shared" si="145"/>
        <v>0.3045016327165293</v>
      </c>
      <c r="AG309" s="3">
        <v>55.18</v>
      </c>
      <c r="AH309">
        <f t="shared" si="165"/>
        <v>25.644145000000002</v>
      </c>
      <c r="AI309" s="3">
        <v>58</v>
      </c>
    </row>
    <row r="310" spans="1:38" x14ac:dyDescent="0.5">
      <c r="A310">
        <v>120</v>
      </c>
      <c r="B310" s="4">
        <v>180</v>
      </c>
      <c r="C310">
        <v>0.1</v>
      </c>
      <c r="D310">
        <v>100</v>
      </c>
      <c r="E310">
        <v>3000</v>
      </c>
      <c r="F310">
        <v>400</v>
      </c>
      <c r="G310" s="3">
        <f t="shared" si="161"/>
        <v>4</v>
      </c>
      <c r="N310">
        <v>65</v>
      </c>
      <c r="O310">
        <v>79</v>
      </c>
      <c r="P310" s="3">
        <v>18.7</v>
      </c>
      <c r="Q310">
        <v>47.1</v>
      </c>
      <c r="R310">
        <v>6.4</v>
      </c>
      <c r="S310">
        <v>0.5</v>
      </c>
      <c r="T310">
        <v>45.9</v>
      </c>
      <c r="U310">
        <v>0</v>
      </c>
      <c r="V310">
        <f t="shared" si="162"/>
        <v>1.6305732484076434</v>
      </c>
      <c r="W310">
        <f t="shared" si="163"/>
        <v>0.73089171974522282</v>
      </c>
      <c r="X310">
        <v>2.2999999999999998</v>
      </c>
      <c r="Y310" s="3">
        <f t="shared" si="164"/>
        <v>16.865850000000002</v>
      </c>
      <c r="Z310">
        <v>59.9</v>
      </c>
      <c r="AA310">
        <v>5.5</v>
      </c>
      <c r="AB310">
        <v>1.6</v>
      </c>
      <c r="AC310">
        <v>32.9</v>
      </c>
      <c r="AD310">
        <v>0</v>
      </c>
      <c r="AE310">
        <f t="shared" si="151"/>
        <v>1.1018363939899833</v>
      </c>
      <c r="AF310">
        <f t="shared" si="145"/>
        <v>0.4119365609348915</v>
      </c>
      <c r="AG310" s="3">
        <v>0.8</v>
      </c>
      <c r="AH310">
        <f t="shared" si="165"/>
        <v>22.227550000000001</v>
      </c>
      <c r="AI310" s="3">
        <v>73</v>
      </c>
      <c r="AJ310" s="2" t="s">
        <v>91</v>
      </c>
      <c r="AK310" t="s">
        <v>92</v>
      </c>
      <c r="AL310">
        <v>29</v>
      </c>
    </row>
    <row r="311" spans="1:38" x14ac:dyDescent="0.5">
      <c r="A311">
        <v>240</v>
      </c>
      <c r="B311" s="4">
        <v>180</v>
      </c>
      <c r="C311">
        <v>0.1</v>
      </c>
      <c r="D311">
        <v>100</v>
      </c>
      <c r="E311">
        <v>3000</v>
      </c>
      <c r="F311">
        <v>400</v>
      </c>
      <c r="G311" s="3">
        <f t="shared" ref="G311:G315" si="166">F311/D311</f>
        <v>4</v>
      </c>
      <c r="N311">
        <v>65</v>
      </c>
      <c r="O311">
        <v>79</v>
      </c>
      <c r="P311" s="3">
        <v>18.7</v>
      </c>
      <c r="Q311">
        <v>47.1</v>
      </c>
      <c r="R311">
        <v>6.4</v>
      </c>
      <c r="S311">
        <v>0.5</v>
      </c>
      <c r="T311">
        <v>45.9</v>
      </c>
      <c r="U311">
        <v>0</v>
      </c>
      <c r="V311">
        <f t="shared" ref="V311:V315" si="167">(R311/1)/(Q311/12)</f>
        <v>1.6305732484076434</v>
      </c>
      <c r="W311">
        <f t="shared" ref="W311:W315" si="168">(T311/16)/(Q311/12)</f>
        <v>0.73089171974522282</v>
      </c>
      <c r="X311">
        <v>2.2999999999999998</v>
      </c>
      <c r="Y311" s="3">
        <f t="shared" ref="Y311:Y313" si="169">(0.338*Q311)+1.428*(R311-(T311/8))</f>
        <v>16.865850000000002</v>
      </c>
      <c r="Z311">
        <v>62.7</v>
      </c>
      <c r="AA311">
        <v>5.5</v>
      </c>
      <c r="AB311">
        <v>1.6</v>
      </c>
      <c r="AC311">
        <v>30.1</v>
      </c>
      <c r="AD311">
        <v>0</v>
      </c>
      <c r="AE311">
        <f t="shared" si="151"/>
        <v>1.0526315789473684</v>
      </c>
      <c r="AF311">
        <f t="shared" si="145"/>
        <v>0.36004784688995212</v>
      </c>
      <c r="AG311" s="3">
        <v>1.1000000000000001</v>
      </c>
      <c r="AH311">
        <f t="shared" si="165"/>
        <v>23.673750000000002</v>
      </c>
      <c r="AI311" s="3">
        <v>61</v>
      </c>
    </row>
    <row r="312" spans="1:38" x14ac:dyDescent="0.5">
      <c r="A312">
        <v>120</v>
      </c>
      <c r="B312" s="4">
        <v>230</v>
      </c>
      <c r="C312">
        <v>0.1</v>
      </c>
      <c r="D312">
        <v>100</v>
      </c>
      <c r="E312">
        <v>3000</v>
      </c>
      <c r="F312">
        <v>400</v>
      </c>
      <c r="G312" s="3">
        <f t="shared" si="166"/>
        <v>4</v>
      </c>
      <c r="N312">
        <v>65</v>
      </c>
      <c r="O312">
        <v>79</v>
      </c>
      <c r="P312" s="3">
        <v>18.7</v>
      </c>
      <c r="Q312">
        <v>47.1</v>
      </c>
      <c r="R312">
        <v>6.4</v>
      </c>
      <c r="S312">
        <v>0.5</v>
      </c>
      <c r="T312">
        <v>45.9</v>
      </c>
      <c r="U312">
        <v>0</v>
      </c>
      <c r="V312">
        <f t="shared" si="167"/>
        <v>1.6305732484076434</v>
      </c>
      <c r="W312">
        <f t="shared" si="168"/>
        <v>0.73089171974522282</v>
      </c>
      <c r="X312">
        <v>2.2999999999999998</v>
      </c>
      <c r="Y312" s="3">
        <f t="shared" si="169"/>
        <v>16.865850000000002</v>
      </c>
      <c r="Z312">
        <v>72.3</v>
      </c>
      <c r="AA312">
        <v>6</v>
      </c>
      <c r="AB312">
        <v>1.7</v>
      </c>
      <c r="AC312">
        <v>19.899999999999999</v>
      </c>
      <c r="AD312">
        <v>0</v>
      </c>
      <c r="AE312">
        <f t="shared" si="151"/>
        <v>0.99585062240663913</v>
      </c>
      <c r="AF312">
        <f t="shared" si="145"/>
        <v>0.20643153526970956</v>
      </c>
      <c r="AG312" s="3">
        <v>1</v>
      </c>
      <c r="AH312">
        <f t="shared" si="165"/>
        <v>29.453250000000001</v>
      </c>
      <c r="AI312" s="3">
        <v>62</v>
      </c>
    </row>
    <row r="313" spans="1:38" x14ac:dyDescent="0.5">
      <c r="A313">
        <v>240</v>
      </c>
      <c r="B313" s="4">
        <v>230</v>
      </c>
      <c r="C313">
        <v>0.1</v>
      </c>
      <c r="D313">
        <v>100</v>
      </c>
      <c r="E313">
        <v>3000</v>
      </c>
      <c r="F313">
        <v>400</v>
      </c>
      <c r="G313" s="3">
        <f t="shared" si="166"/>
        <v>4</v>
      </c>
      <c r="N313">
        <v>65</v>
      </c>
      <c r="O313">
        <v>79</v>
      </c>
      <c r="P313" s="3">
        <v>18.7</v>
      </c>
      <c r="Q313">
        <v>47.1</v>
      </c>
      <c r="R313">
        <v>6.4</v>
      </c>
      <c r="S313">
        <v>0.5</v>
      </c>
      <c r="T313">
        <v>45.9</v>
      </c>
      <c r="U313">
        <v>0</v>
      </c>
      <c r="V313">
        <f t="shared" si="167"/>
        <v>1.6305732484076434</v>
      </c>
      <c r="W313">
        <f t="shared" si="168"/>
        <v>0.73089171974522282</v>
      </c>
      <c r="X313">
        <v>2.2999999999999998</v>
      </c>
      <c r="Y313" s="3">
        <f t="shared" si="169"/>
        <v>16.865850000000002</v>
      </c>
      <c r="Z313">
        <v>73.7</v>
      </c>
      <c r="AA313">
        <v>5.7</v>
      </c>
      <c r="AB313">
        <v>2</v>
      </c>
      <c r="AC313">
        <v>18.5</v>
      </c>
      <c r="AD313">
        <v>0</v>
      </c>
      <c r="AE313">
        <f t="shared" si="151"/>
        <v>0.92808683853459972</v>
      </c>
      <c r="AF313">
        <f t="shared" si="145"/>
        <v>0.18826322930800543</v>
      </c>
      <c r="AG313" s="3">
        <v>0.8</v>
      </c>
      <c r="AH313">
        <f t="shared" si="165"/>
        <v>29.747950000000003</v>
      </c>
      <c r="AI313" s="3">
        <v>56</v>
      </c>
    </row>
    <row r="314" spans="1:38" x14ac:dyDescent="0.5">
      <c r="A314">
        <v>240</v>
      </c>
      <c r="B314" s="4">
        <v>250</v>
      </c>
      <c r="C314">
        <v>0.1</v>
      </c>
      <c r="D314">
        <v>4</v>
      </c>
      <c r="E314">
        <v>50</v>
      </c>
      <c r="F314">
        <v>40</v>
      </c>
      <c r="G314" s="3">
        <f t="shared" si="166"/>
        <v>10</v>
      </c>
      <c r="O314">
        <v>65.739999999999995</v>
      </c>
      <c r="P314" s="3">
        <v>0.7</v>
      </c>
      <c r="Q314">
        <v>36.64</v>
      </c>
      <c r="R314">
        <v>8.8699999999999992</v>
      </c>
      <c r="S314">
        <v>3.22</v>
      </c>
      <c r="T314">
        <v>17.7</v>
      </c>
      <c r="U314">
        <v>0.23</v>
      </c>
      <c r="V314">
        <f t="shared" si="167"/>
        <v>2.9050218340611353</v>
      </c>
      <c r="W314">
        <f t="shared" si="168"/>
        <v>0.36230895196506552</v>
      </c>
      <c r="X314">
        <v>33.57</v>
      </c>
      <c r="Y314" s="3">
        <v>16.3</v>
      </c>
      <c r="Z314">
        <v>38.32</v>
      </c>
      <c r="AA314">
        <v>4.26</v>
      </c>
      <c r="AB314">
        <v>1.1200000000000001</v>
      </c>
      <c r="AC314">
        <v>29.63</v>
      </c>
      <c r="AD314">
        <v>0.27</v>
      </c>
      <c r="AE314">
        <f t="shared" si="151"/>
        <v>1.3340292275574113</v>
      </c>
      <c r="AF314">
        <f t="shared" si="145"/>
        <v>0.57991910229645094</v>
      </c>
      <c r="AG314" s="3">
        <v>26.67</v>
      </c>
      <c r="AH314">
        <v>18.98</v>
      </c>
      <c r="AI314" s="3">
        <v>80.22</v>
      </c>
      <c r="AJ314" s="2" t="s">
        <v>93</v>
      </c>
      <c r="AK314" t="s">
        <v>94</v>
      </c>
      <c r="AL314">
        <v>30</v>
      </c>
    </row>
    <row r="315" spans="1:38" x14ac:dyDescent="0.5">
      <c r="A315">
        <v>30</v>
      </c>
      <c r="B315" s="4">
        <v>180</v>
      </c>
      <c r="C315">
        <v>0.1</v>
      </c>
      <c r="D315">
        <v>50</v>
      </c>
      <c r="E315">
        <v>1000</v>
      </c>
      <c r="F315">
        <v>500</v>
      </c>
      <c r="G315" s="3">
        <f t="shared" si="166"/>
        <v>10</v>
      </c>
      <c r="K315">
        <v>42.63</v>
      </c>
      <c r="L315">
        <v>18.55</v>
      </c>
      <c r="M315">
        <v>7.58</v>
      </c>
      <c r="O315">
        <v>81.81</v>
      </c>
      <c r="P315" s="3">
        <v>3.06</v>
      </c>
      <c r="Q315">
        <v>35.950000000000003</v>
      </c>
      <c r="R315">
        <v>5.76</v>
      </c>
      <c r="S315">
        <v>1.21</v>
      </c>
      <c r="T315">
        <v>41.96</v>
      </c>
      <c r="U315">
        <v>0</v>
      </c>
      <c r="V315">
        <f t="shared" si="167"/>
        <v>1.9226703755215575</v>
      </c>
      <c r="W315">
        <f t="shared" si="168"/>
        <v>0.87538247566063976</v>
      </c>
      <c r="X315">
        <v>15.13</v>
      </c>
      <c r="Y315" s="3">
        <v>15.15</v>
      </c>
      <c r="Z315">
        <v>39.79</v>
      </c>
      <c r="AA315">
        <v>5.57</v>
      </c>
      <c r="AB315">
        <v>1.1499999999999999</v>
      </c>
      <c r="AC315">
        <v>39.69</v>
      </c>
      <c r="AD315">
        <v>0</v>
      </c>
      <c r="AE315">
        <f t="shared" si="151"/>
        <v>1.679819050012566</v>
      </c>
      <c r="AF315">
        <f t="shared" si="145"/>
        <v>0.74811510429756212</v>
      </c>
      <c r="AG315" s="3">
        <v>13.81</v>
      </c>
      <c r="AH315">
        <v>16.510000000000002</v>
      </c>
      <c r="AI315" s="3">
        <v>50</v>
      </c>
      <c r="AJ315" s="2" t="s">
        <v>95</v>
      </c>
      <c r="AK315" t="s">
        <v>96</v>
      </c>
      <c r="AL315">
        <v>31</v>
      </c>
    </row>
    <row r="316" spans="1:38" x14ac:dyDescent="0.5">
      <c r="A316">
        <v>30</v>
      </c>
      <c r="B316" s="4">
        <v>200</v>
      </c>
      <c r="C316">
        <v>0.1</v>
      </c>
      <c r="D316">
        <v>50</v>
      </c>
      <c r="E316">
        <v>1000</v>
      </c>
      <c r="F316">
        <v>500</v>
      </c>
      <c r="G316" s="3">
        <f t="shared" ref="G316:G318" si="170">F316/D316</f>
        <v>10</v>
      </c>
      <c r="K316">
        <v>42.63</v>
      </c>
      <c r="L316">
        <v>18.55</v>
      </c>
      <c r="M316">
        <v>7.58</v>
      </c>
      <c r="O316">
        <v>81.81</v>
      </c>
      <c r="P316" s="3">
        <v>3.06</v>
      </c>
      <c r="Q316">
        <v>35.950000000000003</v>
      </c>
      <c r="R316">
        <v>5.76</v>
      </c>
      <c r="S316">
        <v>1.21</v>
      </c>
      <c r="T316">
        <v>41.96</v>
      </c>
      <c r="U316">
        <v>0</v>
      </c>
      <c r="V316">
        <f t="shared" ref="V316:V318" si="171">(R316/1)/(Q316/12)</f>
        <v>1.9226703755215575</v>
      </c>
      <c r="W316">
        <f t="shared" ref="W316:W318" si="172">(T316/16)/(Q316/12)</f>
        <v>0.87538247566063976</v>
      </c>
      <c r="X316">
        <v>15.13</v>
      </c>
      <c r="Y316" s="3">
        <v>15.15</v>
      </c>
      <c r="Z316">
        <v>46.24</v>
      </c>
      <c r="AA316">
        <v>5.5</v>
      </c>
      <c r="AB316">
        <v>0.95</v>
      </c>
      <c r="AC316">
        <v>37.82</v>
      </c>
      <c r="AD316">
        <v>0</v>
      </c>
      <c r="AE316">
        <f t="shared" si="151"/>
        <v>1.4273356401384083</v>
      </c>
      <c r="AF316">
        <f t="shared" si="145"/>
        <v>0.61342993079584773</v>
      </c>
      <c r="AG316" s="3">
        <v>9.48</v>
      </c>
      <c r="AH316">
        <v>18.809999999999999</v>
      </c>
      <c r="AI316" s="3">
        <v>45</v>
      </c>
    </row>
    <row r="317" spans="1:38" x14ac:dyDescent="0.5">
      <c r="A317">
        <v>30</v>
      </c>
      <c r="B317" s="4">
        <v>220</v>
      </c>
      <c r="C317">
        <v>0.1</v>
      </c>
      <c r="D317">
        <v>50</v>
      </c>
      <c r="E317">
        <v>1000</v>
      </c>
      <c r="F317">
        <v>500</v>
      </c>
      <c r="G317" s="3">
        <f t="shared" si="170"/>
        <v>10</v>
      </c>
      <c r="K317">
        <v>42.63</v>
      </c>
      <c r="L317">
        <v>18.55</v>
      </c>
      <c r="M317">
        <v>7.58</v>
      </c>
      <c r="O317">
        <v>81.81</v>
      </c>
      <c r="P317" s="3">
        <v>3.06</v>
      </c>
      <c r="Q317">
        <v>35.950000000000003</v>
      </c>
      <c r="R317">
        <v>5.76</v>
      </c>
      <c r="S317">
        <v>1.21</v>
      </c>
      <c r="T317">
        <v>41.96</v>
      </c>
      <c r="U317">
        <v>0</v>
      </c>
      <c r="V317">
        <f t="shared" si="171"/>
        <v>1.9226703755215575</v>
      </c>
      <c r="W317">
        <f t="shared" si="172"/>
        <v>0.87538247566063976</v>
      </c>
      <c r="X317">
        <v>15.13</v>
      </c>
      <c r="Y317" s="3">
        <v>15.15</v>
      </c>
      <c r="Z317">
        <v>51.41</v>
      </c>
      <c r="AA317">
        <v>5.09</v>
      </c>
      <c r="AB317">
        <v>0.92</v>
      </c>
      <c r="AC317">
        <v>33.4</v>
      </c>
      <c r="AD317">
        <v>0</v>
      </c>
      <c r="AE317">
        <f t="shared" si="151"/>
        <v>1.1880957012254425</v>
      </c>
      <c r="AF317">
        <f t="shared" si="145"/>
        <v>0.48725928807624974</v>
      </c>
      <c r="AG317" s="3">
        <v>9.19</v>
      </c>
      <c r="AH317">
        <v>20.09</v>
      </c>
      <c r="AI317" s="3">
        <v>38</v>
      </c>
    </row>
    <row r="318" spans="1:38" x14ac:dyDescent="0.5">
      <c r="A318">
        <v>30</v>
      </c>
      <c r="B318" s="4">
        <v>180</v>
      </c>
      <c r="C318">
        <v>0.1</v>
      </c>
      <c r="D318">
        <v>50</v>
      </c>
      <c r="E318">
        <v>1000</v>
      </c>
      <c r="F318">
        <v>500</v>
      </c>
      <c r="G318" s="3">
        <f t="shared" si="170"/>
        <v>10</v>
      </c>
      <c r="K318">
        <v>47.77</v>
      </c>
      <c r="L318">
        <v>12.66</v>
      </c>
      <c r="M318">
        <v>18.5</v>
      </c>
      <c r="O318">
        <v>83.89</v>
      </c>
      <c r="P318" s="3">
        <v>9.7200000000000006</v>
      </c>
      <c r="Q318">
        <v>43.56</v>
      </c>
      <c r="R318">
        <v>6.1</v>
      </c>
      <c r="S318">
        <v>0.81</v>
      </c>
      <c r="T318">
        <v>43.15</v>
      </c>
      <c r="U318">
        <v>0</v>
      </c>
      <c r="V318">
        <f t="shared" si="171"/>
        <v>1.6804407713498619</v>
      </c>
      <c r="W318">
        <f t="shared" si="172"/>
        <v>0.74294077134986214</v>
      </c>
      <c r="X318">
        <v>6.39</v>
      </c>
      <c r="Y318" s="3">
        <v>17.96</v>
      </c>
      <c r="Z318">
        <v>52.98</v>
      </c>
      <c r="AA318">
        <v>5.5</v>
      </c>
      <c r="AB318">
        <v>0.7</v>
      </c>
      <c r="AC318">
        <v>36.42</v>
      </c>
      <c r="AD318">
        <v>0</v>
      </c>
      <c r="AE318">
        <f t="shared" si="151"/>
        <v>1.245753114382786</v>
      </c>
      <c r="AF318">
        <f t="shared" si="145"/>
        <v>0.51557191392978485</v>
      </c>
      <c r="AG318" s="3">
        <v>4.4000000000000004</v>
      </c>
      <c r="AH318">
        <v>20.57</v>
      </c>
      <c r="AI318" s="3">
        <v>52</v>
      </c>
    </row>
    <row r="319" spans="1:38" x14ac:dyDescent="0.5">
      <c r="A319">
        <v>30</v>
      </c>
      <c r="B319" s="4">
        <v>200</v>
      </c>
      <c r="C319">
        <v>0.1</v>
      </c>
      <c r="D319">
        <v>50</v>
      </c>
      <c r="E319">
        <v>1000</v>
      </c>
      <c r="F319">
        <v>500</v>
      </c>
      <c r="G319" s="3">
        <f t="shared" ref="G319:G321" si="173">F319/D319</f>
        <v>10</v>
      </c>
      <c r="K319">
        <v>47.77</v>
      </c>
      <c r="L319">
        <v>12.66</v>
      </c>
      <c r="M319">
        <v>18.5</v>
      </c>
      <c r="O319">
        <v>83.89</v>
      </c>
      <c r="P319" s="3">
        <v>9.7200000000000006</v>
      </c>
      <c r="Q319">
        <v>43.56</v>
      </c>
      <c r="R319">
        <v>6.1</v>
      </c>
      <c r="S319">
        <v>0.81</v>
      </c>
      <c r="T319">
        <v>43.15</v>
      </c>
      <c r="U319">
        <v>0</v>
      </c>
      <c r="V319">
        <f t="shared" ref="V319:V321" si="174">(R319/1)/(Q319/12)</f>
        <v>1.6804407713498619</v>
      </c>
      <c r="W319">
        <f t="shared" ref="W319:W321" si="175">(T319/16)/(Q319/12)</f>
        <v>0.74294077134986214</v>
      </c>
      <c r="X319">
        <v>6.39</v>
      </c>
      <c r="Y319" s="3">
        <v>17.96</v>
      </c>
      <c r="Z319">
        <v>54.42</v>
      </c>
      <c r="AA319">
        <v>5.44</v>
      </c>
      <c r="AB319">
        <v>0.67</v>
      </c>
      <c r="AC319">
        <v>35.58</v>
      </c>
      <c r="AD319">
        <v>0</v>
      </c>
      <c r="AE319">
        <f t="shared" si="151"/>
        <v>1.1995589856670341</v>
      </c>
      <c r="AF319">
        <f t="shared" si="145"/>
        <v>0.49035281146637261</v>
      </c>
      <c r="AG319" s="3">
        <v>3.89</v>
      </c>
      <c r="AH319">
        <v>21.71</v>
      </c>
      <c r="AI319" s="3">
        <v>50</v>
      </c>
    </row>
    <row r="320" spans="1:38" x14ac:dyDescent="0.5">
      <c r="A320">
        <v>30</v>
      </c>
      <c r="B320" s="4">
        <v>220</v>
      </c>
      <c r="C320">
        <v>0.1</v>
      </c>
      <c r="D320">
        <v>50</v>
      </c>
      <c r="E320">
        <v>1000</v>
      </c>
      <c r="F320">
        <v>500</v>
      </c>
      <c r="G320" s="3">
        <f t="shared" si="173"/>
        <v>10</v>
      </c>
      <c r="K320">
        <v>47.77</v>
      </c>
      <c r="L320">
        <v>12.66</v>
      </c>
      <c r="M320">
        <v>18.5</v>
      </c>
      <c r="O320">
        <v>83.89</v>
      </c>
      <c r="P320" s="3">
        <v>9.7200000000000006</v>
      </c>
      <c r="Q320">
        <v>43.56</v>
      </c>
      <c r="R320">
        <v>6.1</v>
      </c>
      <c r="S320">
        <v>0.81</v>
      </c>
      <c r="T320">
        <v>43.15</v>
      </c>
      <c r="U320">
        <v>0</v>
      </c>
      <c r="V320">
        <f t="shared" si="174"/>
        <v>1.6804407713498619</v>
      </c>
      <c r="W320">
        <f t="shared" si="175"/>
        <v>0.74294077134986214</v>
      </c>
      <c r="X320">
        <v>6.39</v>
      </c>
      <c r="Y320" s="3">
        <v>17.96</v>
      </c>
      <c r="Z320">
        <v>55.77</v>
      </c>
      <c r="AA320">
        <v>5.38</v>
      </c>
      <c r="AB320">
        <v>0.65</v>
      </c>
      <c r="AC320">
        <v>34.81</v>
      </c>
      <c r="AD320">
        <v>0</v>
      </c>
      <c r="AE320">
        <f t="shared" si="151"/>
        <v>1.1576116191500807</v>
      </c>
      <c r="AF320">
        <f t="shared" si="145"/>
        <v>0.46812802582033353</v>
      </c>
      <c r="AG320" s="3">
        <v>3.4</v>
      </c>
      <c r="AH320">
        <v>22.16</v>
      </c>
      <c r="AI320" s="3">
        <v>48</v>
      </c>
    </row>
    <row r="321" spans="1:38" x14ac:dyDescent="0.5">
      <c r="A321">
        <v>30</v>
      </c>
      <c r="B321" s="4">
        <v>160</v>
      </c>
      <c r="C321">
        <v>0.1</v>
      </c>
      <c r="D321">
        <v>10</v>
      </c>
      <c r="E321">
        <v>500</v>
      </c>
      <c r="F321">
        <v>100</v>
      </c>
      <c r="G321" s="3">
        <f t="shared" si="173"/>
        <v>10</v>
      </c>
      <c r="O321">
        <v>74.28</v>
      </c>
      <c r="P321" s="3">
        <v>16.21</v>
      </c>
      <c r="Q321">
        <v>40.4</v>
      </c>
      <c r="R321">
        <v>5.62</v>
      </c>
      <c r="S321">
        <v>1.99</v>
      </c>
      <c r="T321">
        <v>40.159999999999997</v>
      </c>
      <c r="U321">
        <v>1.52</v>
      </c>
      <c r="V321">
        <f t="shared" si="174"/>
        <v>1.6693069306930692</v>
      </c>
      <c r="W321">
        <f t="shared" si="175"/>
        <v>0.74554455445544543</v>
      </c>
      <c r="X321">
        <v>9.51</v>
      </c>
      <c r="Y321" s="3">
        <v>16.899999999999999</v>
      </c>
      <c r="Z321">
        <v>44.9</v>
      </c>
      <c r="AA321">
        <v>5.53</v>
      </c>
      <c r="AB321">
        <v>2.23</v>
      </c>
      <c r="AC321">
        <v>38.770000000000003</v>
      </c>
      <c r="AD321">
        <v>1.33</v>
      </c>
      <c r="AE321">
        <f t="shared" si="151"/>
        <v>1.4779510022271716</v>
      </c>
      <c r="AF321">
        <f t="shared" si="145"/>
        <v>0.64760579064587975</v>
      </c>
      <c r="AG321" s="3">
        <v>7.24</v>
      </c>
      <c r="AH321">
        <v>18.13</v>
      </c>
      <c r="AI321" s="3">
        <v>80</v>
      </c>
      <c r="AJ321" s="2" t="s">
        <v>97</v>
      </c>
      <c r="AK321" t="s">
        <v>98</v>
      </c>
      <c r="AL321">
        <v>32</v>
      </c>
    </row>
    <row r="322" spans="1:38" x14ac:dyDescent="0.5">
      <c r="A322">
        <v>30</v>
      </c>
      <c r="B322" s="4">
        <v>180</v>
      </c>
      <c r="C322">
        <v>0.1</v>
      </c>
      <c r="D322">
        <v>10</v>
      </c>
      <c r="E322">
        <v>500</v>
      </c>
      <c r="F322">
        <v>100</v>
      </c>
      <c r="G322" s="3">
        <f t="shared" ref="G322:G330" si="176">F322/D322</f>
        <v>10</v>
      </c>
      <c r="O322">
        <v>74.28</v>
      </c>
      <c r="P322" s="3">
        <v>16.21</v>
      </c>
      <c r="Q322">
        <v>40.4</v>
      </c>
      <c r="R322">
        <v>5.62</v>
      </c>
      <c r="S322">
        <v>1.99</v>
      </c>
      <c r="T322">
        <v>40.159999999999997</v>
      </c>
      <c r="U322">
        <v>1.52</v>
      </c>
      <c r="V322">
        <f t="shared" ref="V322:V330" si="177">(R322/1)/(Q322/12)</f>
        <v>1.6693069306930692</v>
      </c>
      <c r="W322">
        <f t="shared" ref="W322:W330" si="178">(T322/16)/(Q322/12)</f>
        <v>0.74554455445544543</v>
      </c>
      <c r="X322">
        <v>9.51</v>
      </c>
      <c r="Y322" s="3">
        <v>16.899999999999999</v>
      </c>
      <c r="Z322">
        <v>55.45</v>
      </c>
      <c r="AA322">
        <v>5.68</v>
      </c>
      <c r="AB322">
        <v>2.61</v>
      </c>
      <c r="AC322">
        <v>27.17</v>
      </c>
      <c r="AD322">
        <v>1.3</v>
      </c>
      <c r="AE322">
        <f t="shared" si="151"/>
        <v>1.2292155094679891</v>
      </c>
      <c r="AF322">
        <f t="shared" si="145"/>
        <v>0.36749323715058613</v>
      </c>
      <c r="AG322" s="3">
        <v>7.79</v>
      </c>
      <c r="AH322">
        <v>21.36</v>
      </c>
      <c r="AI322" s="3">
        <v>74</v>
      </c>
    </row>
    <row r="323" spans="1:38" x14ac:dyDescent="0.5">
      <c r="A323">
        <v>30</v>
      </c>
      <c r="B323" s="4">
        <v>200</v>
      </c>
      <c r="C323">
        <v>0.1</v>
      </c>
      <c r="D323">
        <v>10</v>
      </c>
      <c r="E323">
        <v>500</v>
      </c>
      <c r="F323">
        <v>100</v>
      </c>
      <c r="G323" s="3">
        <f t="shared" si="176"/>
        <v>10</v>
      </c>
      <c r="O323">
        <v>74.28</v>
      </c>
      <c r="P323" s="3">
        <v>16.21</v>
      </c>
      <c r="Q323">
        <v>40.4</v>
      </c>
      <c r="R323">
        <v>5.62</v>
      </c>
      <c r="S323">
        <v>1.99</v>
      </c>
      <c r="T323">
        <v>40.159999999999997</v>
      </c>
      <c r="U323">
        <v>1.52</v>
      </c>
      <c r="V323">
        <f t="shared" si="177"/>
        <v>1.6693069306930692</v>
      </c>
      <c r="W323">
        <f t="shared" si="178"/>
        <v>0.74554455445544543</v>
      </c>
      <c r="X323">
        <v>9.51</v>
      </c>
      <c r="Y323" s="3">
        <v>16.899999999999999</v>
      </c>
      <c r="Z323">
        <v>56.03</v>
      </c>
      <c r="AA323">
        <v>5.46</v>
      </c>
      <c r="AB323">
        <v>2.91</v>
      </c>
      <c r="AC323">
        <v>26.95</v>
      </c>
      <c r="AD323">
        <v>1.03</v>
      </c>
      <c r="AE323">
        <f t="shared" si="151"/>
        <v>1.1693735498839908</v>
      </c>
      <c r="AF323">
        <f t="shared" si="145"/>
        <v>0.36074424415491702</v>
      </c>
      <c r="AG323" s="3">
        <v>7.62</v>
      </c>
      <c r="AH323">
        <v>23.11</v>
      </c>
      <c r="AI323" s="3">
        <v>63</v>
      </c>
    </row>
    <row r="324" spans="1:38" x14ac:dyDescent="0.5">
      <c r="A324">
        <v>30</v>
      </c>
      <c r="B324" s="4">
        <v>220</v>
      </c>
      <c r="C324">
        <v>0.1</v>
      </c>
      <c r="D324">
        <v>10</v>
      </c>
      <c r="E324">
        <v>500</v>
      </c>
      <c r="F324">
        <v>100</v>
      </c>
      <c r="G324" s="3">
        <f t="shared" si="176"/>
        <v>10</v>
      </c>
      <c r="O324">
        <v>74.28</v>
      </c>
      <c r="P324" s="3">
        <v>16.21</v>
      </c>
      <c r="Q324">
        <v>40.4</v>
      </c>
      <c r="R324">
        <v>5.62</v>
      </c>
      <c r="S324">
        <v>1.99</v>
      </c>
      <c r="T324">
        <v>40.159999999999997</v>
      </c>
      <c r="U324">
        <v>1.52</v>
      </c>
      <c r="V324">
        <f t="shared" si="177"/>
        <v>1.6693069306930692</v>
      </c>
      <c r="W324">
        <f t="shared" si="178"/>
        <v>0.74554455445544543</v>
      </c>
      <c r="X324">
        <v>9.51</v>
      </c>
      <c r="Y324" s="3">
        <v>16.899999999999999</v>
      </c>
      <c r="Z324">
        <v>58.39</v>
      </c>
      <c r="AA324">
        <v>5.29</v>
      </c>
      <c r="AB324">
        <v>2.4300000000000002</v>
      </c>
      <c r="AC324">
        <v>24.71</v>
      </c>
      <c r="AD324">
        <v>0.83</v>
      </c>
      <c r="AE324">
        <f t="shared" si="151"/>
        <v>1.0871724610378488</v>
      </c>
      <c r="AF324">
        <f t="shared" si="145"/>
        <v>0.31739167665696177</v>
      </c>
      <c r="AG324" s="3">
        <v>8.35</v>
      </c>
      <c r="AH324">
        <v>23.93</v>
      </c>
      <c r="AI324" s="3">
        <v>57</v>
      </c>
    </row>
    <row r="325" spans="1:38" x14ac:dyDescent="0.5">
      <c r="A325">
        <v>30</v>
      </c>
      <c r="B325" s="4">
        <v>240</v>
      </c>
      <c r="C325">
        <v>0.1</v>
      </c>
      <c r="D325">
        <v>10</v>
      </c>
      <c r="E325">
        <v>500</v>
      </c>
      <c r="F325">
        <v>100</v>
      </c>
      <c r="G325" s="3">
        <f t="shared" si="176"/>
        <v>10</v>
      </c>
      <c r="O325">
        <v>74.28</v>
      </c>
      <c r="P325" s="3">
        <v>16.21</v>
      </c>
      <c r="Q325">
        <v>40.4</v>
      </c>
      <c r="R325">
        <v>5.62</v>
      </c>
      <c r="S325">
        <v>1.99</v>
      </c>
      <c r="T325">
        <v>40.159999999999997</v>
      </c>
      <c r="U325">
        <v>1.52</v>
      </c>
      <c r="V325">
        <f t="shared" si="177"/>
        <v>1.6693069306930692</v>
      </c>
      <c r="W325">
        <f t="shared" si="178"/>
        <v>0.74554455445544543</v>
      </c>
      <c r="X325">
        <v>9.51</v>
      </c>
      <c r="Y325" s="3">
        <v>16.899999999999999</v>
      </c>
      <c r="Z325">
        <v>65.67</v>
      </c>
      <c r="AA325">
        <v>4.9800000000000004</v>
      </c>
      <c r="AB325">
        <v>2.57</v>
      </c>
      <c r="AC325">
        <v>15.17</v>
      </c>
      <c r="AD325">
        <v>0.78</v>
      </c>
      <c r="AE325">
        <f t="shared" si="151"/>
        <v>0.91000456829602561</v>
      </c>
      <c r="AF325">
        <f t="shared" si="145"/>
        <v>0.17325262677021472</v>
      </c>
      <c r="AG325" s="3">
        <v>10.83</v>
      </c>
      <c r="AH325">
        <v>27.04</v>
      </c>
      <c r="AI325" s="3">
        <v>48</v>
      </c>
    </row>
    <row r="326" spans="1:38" x14ac:dyDescent="0.5">
      <c r="A326">
        <v>15</v>
      </c>
      <c r="B326" s="4">
        <v>180</v>
      </c>
      <c r="C326">
        <v>0.1</v>
      </c>
      <c r="D326">
        <v>10</v>
      </c>
      <c r="E326">
        <v>500</v>
      </c>
      <c r="F326">
        <v>100</v>
      </c>
      <c r="G326" s="3">
        <f t="shared" si="176"/>
        <v>10</v>
      </c>
      <c r="O326">
        <v>74.28</v>
      </c>
      <c r="P326" s="3">
        <v>16.21</v>
      </c>
      <c r="Q326">
        <v>40.4</v>
      </c>
      <c r="R326">
        <v>5.62</v>
      </c>
      <c r="S326">
        <v>1.99</v>
      </c>
      <c r="T326">
        <v>40.159999999999997</v>
      </c>
      <c r="U326">
        <v>1.52</v>
      </c>
      <c r="V326">
        <f t="shared" si="177"/>
        <v>1.6693069306930692</v>
      </c>
      <c r="W326">
        <f t="shared" si="178"/>
        <v>0.74554455445544543</v>
      </c>
      <c r="X326">
        <v>9.51</v>
      </c>
      <c r="Y326" s="3">
        <v>16.899999999999999</v>
      </c>
      <c r="Z326">
        <v>53.39</v>
      </c>
      <c r="AA326">
        <v>5.24</v>
      </c>
      <c r="AB326">
        <v>2.4900000000000002</v>
      </c>
      <c r="AC326">
        <v>29.5</v>
      </c>
      <c r="AD326">
        <v>1.34</v>
      </c>
      <c r="AE326">
        <f t="shared" si="151"/>
        <v>1.1777486420678029</v>
      </c>
      <c r="AF326">
        <f t="shared" si="145"/>
        <v>0.41440344633826559</v>
      </c>
      <c r="AG326" s="3">
        <v>8.0399999999999991</v>
      </c>
      <c r="AH326">
        <v>19.88</v>
      </c>
      <c r="AI326" s="3">
        <v>76</v>
      </c>
    </row>
    <row r="327" spans="1:38" x14ac:dyDescent="0.5">
      <c r="A327">
        <v>60</v>
      </c>
      <c r="B327" s="4">
        <v>180</v>
      </c>
      <c r="C327">
        <v>0.1</v>
      </c>
      <c r="D327">
        <v>10</v>
      </c>
      <c r="E327">
        <v>500</v>
      </c>
      <c r="F327">
        <v>100</v>
      </c>
      <c r="G327" s="3">
        <f t="shared" si="176"/>
        <v>10</v>
      </c>
      <c r="O327">
        <v>74.28</v>
      </c>
      <c r="P327" s="3">
        <v>16.21</v>
      </c>
      <c r="Q327">
        <v>40.4</v>
      </c>
      <c r="R327">
        <v>5.62</v>
      </c>
      <c r="S327">
        <v>1.99</v>
      </c>
      <c r="T327">
        <v>40.159999999999997</v>
      </c>
      <c r="U327">
        <v>1.52</v>
      </c>
      <c r="V327">
        <f t="shared" si="177"/>
        <v>1.6693069306930692</v>
      </c>
      <c r="W327">
        <f t="shared" si="178"/>
        <v>0.74554455445544543</v>
      </c>
      <c r="X327">
        <v>9.51</v>
      </c>
      <c r="Y327" s="3">
        <v>16.899999999999999</v>
      </c>
      <c r="Z327">
        <v>57.21</v>
      </c>
      <c r="AA327">
        <v>5.38</v>
      </c>
      <c r="AB327">
        <v>2.5099999999999998</v>
      </c>
      <c r="AC327">
        <v>25.87</v>
      </c>
      <c r="AD327">
        <v>1.29</v>
      </c>
      <c r="AE327">
        <f t="shared" si="151"/>
        <v>1.1284740429994755</v>
      </c>
      <c r="AF327">
        <f t="shared" si="145"/>
        <v>0.33914525432616677</v>
      </c>
      <c r="AG327" s="3">
        <v>7.74</v>
      </c>
      <c r="AH327">
        <v>21.3</v>
      </c>
      <c r="AI327" s="3">
        <v>68</v>
      </c>
    </row>
    <row r="328" spans="1:38" x14ac:dyDescent="0.5">
      <c r="A328">
        <v>90</v>
      </c>
      <c r="B328" s="4">
        <v>180</v>
      </c>
      <c r="C328">
        <v>0.1</v>
      </c>
      <c r="D328">
        <v>10</v>
      </c>
      <c r="E328">
        <v>500</v>
      </c>
      <c r="F328">
        <v>100</v>
      </c>
      <c r="G328" s="3">
        <f t="shared" si="176"/>
        <v>10</v>
      </c>
      <c r="O328">
        <v>74.28</v>
      </c>
      <c r="P328" s="3">
        <v>16.21</v>
      </c>
      <c r="Q328">
        <v>40.4</v>
      </c>
      <c r="R328">
        <v>5.62</v>
      </c>
      <c r="S328">
        <v>1.99</v>
      </c>
      <c r="T328">
        <v>40.159999999999997</v>
      </c>
      <c r="U328">
        <v>1.52</v>
      </c>
      <c r="V328">
        <f t="shared" si="177"/>
        <v>1.6693069306930692</v>
      </c>
      <c r="W328">
        <f t="shared" si="178"/>
        <v>0.74554455445544543</v>
      </c>
      <c r="X328">
        <v>9.51</v>
      </c>
      <c r="Y328" s="3">
        <v>16.899999999999999</v>
      </c>
      <c r="Z328">
        <v>57.95</v>
      </c>
      <c r="AA328">
        <v>5.27</v>
      </c>
      <c r="AB328">
        <v>2.59</v>
      </c>
      <c r="AC328">
        <v>24.94</v>
      </c>
      <c r="AD328">
        <v>1.26</v>
      </c>
      <c r="AE328">
        <f t="shared" si="151"/>
        <v>1.0912855910267472</v>
      </c>
      <c r="AF328">
        <f t="shared" si="145"/>
        <v>0.32277825711820535</v>
      </c>
      <c r="AG328" s="3">
        <v>7.99</v>
      </c>
      <c r="AH328">
        <v>21.97</v>
      </c>
      <c r="AI328" s="3">
        <v>62</v>
      </c>
    </row>
    <row r="329" spans="1:38" x14ac:dyDescent="0.5">
      <c r="A329">
        <v>120</v>
      </c>
      <c r="B329" s="4">
        <v>180</v>
      </c>
      <c r="C329">
        <v>0.1</v>
      </c>
      <c r="D329">
        <v>10</v>
      </c>
      <c r="E329">
        <v>500</v>
      </c>
      <c r="F329">
        <v>100</v>
      </c>
      <c r="G329" s="3">
        <f t="shared" si="176"/>
        <v>10</v>
      </c>
      <c r="O329">
        <v>74.28</v>
      </c>
      <c r="P329" s="3">
        <v>16.21</v>
      </c>
      <c r="Q329">
        <v>40.4</v>
      </c>
      <c r="R329">
        <v>5.62</v>
      </c>
      <c r="S329">
        <v>1.99</v>
      </c>
      <c r="T329">
        <v>40.159999999999997</v>
      </c>
      <c r="U329">
        <v>1.52</v>
      </c>
      <c r="V329">
        <f t="shared" si="177"/>
        <v>1.6693069306930692</v>
      </c>
      <c r="W329">
        <f t="shared" si="178"/>
        <v>0.74554455445544543</v>
      </c>
      <c r="X329">
        <v>9.51</v>
      </c>
      <c r="Y329" s="3">
        <v>16.899999999999999</v>
      </c>
      <c r="Z329">
        <v>58.44</v>
      </c>
      <c r="AA329">
        <v>5.47</v>
      </c>
      <c r="AB329">
        <v>2.5499999999999998</v>
      </c>
      <c r="AC329">
        <v>24.92</v>
      </c>
      <c r="AD329">
        <v>1.1599999999999999</v>
      </c>
      <c r="AE329">
        <f t="shared" si="151"/>
        <v>1.1232032854209444</v>
      </c>
      <c r="AF329">
        <f t="shared" si="145"/>
        <v>0.31981519507186862</v>
      </c>
      <c r="AG329" s="3">
        <v>7.46</v>
      </c>
      <c r="AH329">
        <v>22.83</v>
      </c>
      <c r="AI329" s="3">
        <v>61</v>
      </c>
    </row>
    <row r="330" spans="1:38" x14ac:dyDescent="0.5">
      <c r="A330">
        <v>60</v>
      </c>
      <c r="B330" s="4">
        <v>220</v>
      </c>
      <c r="C330">
        <v>0.1</v>
      </c>
      <c r="D330">
        <v>20</v>
      </c>
      <c r="E330">
        <v>250</v>
      </c>
      <c r="F330">
        <v>60</v>
      </c>
      <c r="G330" s="3">
        <f t="shared" si="176"/>
        <v>3</v>
      </c>
      <c r="O330">
        <v>78.37</v>
      </c>
      <c r="P330" s="3">
        <v>16.170000000000002</v>
      </c>
      <c r="Q330">
        <v>45.3</v>
      </c>
      <c r="R330">
        <v>5.85</v>
      </c>
      <c r="S330">
        <v>0.78</v>
      </c>
      <c r="T330">
        <v>42.4</v>
      </c>
      <c r="U330">
        <v>0.21</v>
      </c>
      <c r="V330">
        <f t="shared" si="177"/>
        <v>1.5496688741721854</v>
      </c>
      <c r="W330">
        <f t="shared" si="178"/>
        <v>0.70198675496688745</v>
      </c>
      <c r="X330">
        <v>5.46</v>
      </c>
      <c r="Y330" s="3">
        <v>18.22</v>
      </c>
      <c r="Z330">
        <v>56.5</v>
      </c>
      <c r="AA330">
        <v>5.59</v>
      </c>
      <c r="AB330">
        <v>0.93</v>
      </c>
      <c r="AC330">
        <v>33.24</v>
      </c>
      <c r="AD330">
        <v>0.15</v>
      </c>
      <c r="AE330">
        <f t="shared" si="151"/>
        <v>1.1872566371681417</v>
      </c>
      <c r="AF330">
        <f t="shared" si="145"/>
        <v>0.44123893805309738</v>
      </c>
      <c r="AG330" s="3">
        <v>3.59</v>
      </c>
      <c r="AH330">
        <v>22.8</v>
      </c>
      <c r="AI330" s="3">
        <v>72</v>
      </c>
      <c r="AJ330" s="2" t="s">
        <v>99</v>
      </c>
      <c r="AK330" t="s">
        <v>100</v>
      </c>
      <c r="AL330">
        <v>33</v>
      </c>
    </row>
    <row r="331" spans="1:38" x14ac:dyDescent="0.5">
      <c r="A331">
        <v>60</v>
      </c>
      <c r="B331" s="4">
        <v>250</v>
      </c>
      <c r="C331">
        <v>0.1</v>
      </c>
      <c r="D331">
        <v>20</v>
      </c>
      <c r="E331">
        <v>250</v>
      </c>
      <c r="F331">
        <v>60</v>
      </c>
      <c r="G331" s="3">
        <f t="shared" ref="G331:G339" si="179">F331/D331</f>
        <v>3</v>
      </c>
      <c r="O331">
        <v>78.37</v>
      </c>
      <c r="P331" s="3">
        <v>16.170000000000002</v>
      </c>
      <c r="Q331">
        <v>45.3</v>
      </c>
      <c r="R331">
        <v>5.85</v>
      </c>
      <c r="S331">
        <v>0.78</v>
      </c>
      <c r="T331">
        <v>42.4</v>
      </c>
      <c r="U331">
        <v>0.21</v>
      </c>
      <c r="V331">
        <f t="shared" ref="V331:V339" si="180">(R331/1)/(Q331/12)</f>
        <v>1.5496688741721854</v>
      </c>
      <c r="W331">
        <f t="shared" ref="W331:W339" si="181">(T331/16)/(Q331/12)</f>
        <v>0.70198675496688745</v>
      </c>
      <c r="X331">
        <v>5.46</v>
      </c>
      <c r="Y331" s="3">
        <v>18.22</v>
      </c>
      <c r="Z331">
        <v>66.8</v>
      </c>
      <c r="AA331">
        <v>5.36</v>
      </c>
      <c r="AB331">
        <v>1.08</v>
      </c>
      <c r="AC331">
        <v>25.31</v>
      </c>
      <c r="AD331">
        <v>0.12</v>
      </c>
      <c r="AE331">
        <f t="shared" si="151"/>
        <v>0.96287425149700612</v>
      </c>
      <c r="AF331">
        <f t="shared" si="145"/>
        <v>0.28416916167664669</v>
      </c>
      <c r="AG331" s="3">
        <v>1.33</v>
      </c>
      <c r="AH331">
        <v>26.99</v>
      </c>
      <c r="AI331" s="3">
        <v>51</v>
      </c>
    </row>
    <row r="332" spans="1:38" x14ac:dyDescent="0.5">
      <c r="A332">
        <v>60</v>
      </c>
      <c r="B332" s="4">
        <v>280</v>
      </c>
      <c r="C332">
        <v>0.1</v>
      </c>
      <c r="D332">
        <v>20</v>
      </c>
      <c r="E332">
        <v>250</v>
      </c>
      <c r="F332">
        <v>60</v>
      </c>
      <c r="G332" s="3">
        <f t="shared" si="179"/>
        <v>3</v>
      </c>
      <c r="O332">
        <v>78.37</v>
      </c>
      <c r="P332" s="3">
        <v>16.170000000000002</v>
      </c>
      <c r="Q332">
        <v>45.3</v>
      </c>
      <c r="R332">
        <v>5.85</v>
      </c>
      <c r="S332">
        <v>0.78</v>
      </c>
      <c r="T332">
        <v>42.4</v>
      </c>
      <c r="U332">
        <v>0.21</v>
      </c>
      <c r="V332">
        <f t="shared" si="180"/>
        <v>1.5496688741721854</v>
      </c>
      <c r="W332">
        <f t="shared" si="181"/>
        <v>0.70198675496688745</v>
      </c>
      <c r="X332">
        <v>5.46</v>
      </c>
      <c r="Y332" s="3">
        <v>18.22</v>
      </c>
      <c r="Z332">
        <v>72.98</v>
      </c>
      <c r="AA332">
        <v>5.36</v>
      </c>
      <c r="AB332">
        <v>1.36</v>
      </c>
      <c r="AC332">
        <v>18.09</v>
      </c>
      <c r="AD332">
        <v>0.14000000000000001</v>
      </c>
      <c r="AE332">
        <f t="shared" si="151"/>
        <v>0.88133735269936975</v>
      </c>
      <c r="AF332">
        <f t="shared" si="145"/>
        <v>0.18590709783502329</v>
      </c>
      <c r="AG332" s="3">
        <v>2.0699999999999998</v>
      </c>
      <c r="AH332">
        <v>29.87</v>
      </c>
      <c r="AI332" s="3">
        <v>37</v>
      </c>
    </row>
    <row r="333" spans="1:38" x14ac:dyDescent="0.5">
      <c r="A333">
        <v>60</v>
      </c>
      <c r="B333" s="4">
        <v>310</v>
      </c>
      <c r="C333">
        <v>0.1</v>
      </c>
      <c r="D333">
        <v>20</v>
      </c>
      <c r="E333">
        <v>250</v>
      </c>
      <c r="F333">
        <v>60</v>
      </c>
      <c r="G333" s="3">
        <f t="shared" si="179"/>
        <v>3</v>
      </c>
      <c r="O333">
        <v>78.37</v>
      </c>
      <c r="P333" s="3">
        <v>16.170000000000002</v>
      </c>
      <c r="Q333">
        <v>45.3</v>
      </c>
      <c r="R333">
        <v>5.85</v>
      </c>
      <c r="S333">
        <v>0.78</v>
      </c>
      <c r="T333">
        <v>42.4</v>
      </c>
      <c r="U333">
        <v>0.21</v>
      </c>
      <c r="V333">
        <f t="shared" si="180"/>
        <v>1.5496688741721854</v>
      </c>
      <c r="W333">
        <f t="shared" si="181"/>
        <v>0.70198675496688745</v>
      </c>
      <c r="X333">
        <v>5.46</v>
      </c>
      <c r="Y333" s="3">
        <v>18.22</v>
      </c>
      <c r="Z333">
        <v>75.75</v>
      </c>
      <c r="AA333">
        <v>5.16</v>
      </c>
      <c r="AB333">
        <v>1.29</v>
      </c>
      <c r="AC333">
        <v>16.07</v>
      </c>
      <c r="AD333">
        <v>0.15</v>
      </c>
      <c r="AE333">
        <f t="shared" si="151"/>
        <v>0.81742574257425749</v>
      </c>
      <c r="AF333">
        <f t="shared" si="145"/>
        <v>0.15910891089108911</v>
      </c>
      <c r="AG333" s="3">
        <v>1.58</v>
      </c>
      <c r="AH333">
        <v>30.82</v>
      </c>
      <c r="AI333" s="3">
        <v>30</v>
      </c>
    </row>
    <row r="334" spans="1:38" x14ac:dyDescent="0.5">
      <c r="A334">
        <v>60</v>
      </c>
      <c r="B334" s="4">
        <v>340</v>
      </c>
      <c r="C334">
        <v>0.1</v>
      </c>
      <c r="D334">
        <v>20</v>
      </c>
      <c r="E334">
        <v>250</v>
      </c>
      <c r="F334">
        <v>60</v>
      </c>
      <c r="G334" s="3">
        <f t="shared" si="179"/>
        <v>3</v>
      </c>
      <c r="O334">
        <v>78.37</v>
      </c>
      <c r="P334" s="3">
        <v>16.170000000000002</v>
      </c>
      <c r="Q334">
        <v>45.3</v>
      </c>
      <c r="R334">
        <v>5.85</v>
      </c>
      <c r="S334">
        <v>0.78</v>
      </c>
      <c r="T334">
        <v>42.4</v>
      </c>
      <c r="U334">
        <v>0.21</v>
      </c>
      <c r="V334">
        <f t="shared" si="180"/>
        <v>1.5496688741721854</v>
      </c>
      <c r="W334">
        <f t="shared" si="181"/>
        <v>0.70198675496688745</v>
      </c>
      <c r="X334">
        <v>5.46</v>
      </c>
      <c r="Y334" s="3">
        <v>18.22</v>
      </c>
      <c r="Z334">
        <v>77.44</v>
      </c>
      <c r="AA334">
        <v>4.8499999999999996</v>
      </c>
      <c r="AB334">
        <v>1.55</v>
      </c>
      <c r="AC334">
        <v>14.16</v>
      </c>
      <c r="AD334">
        <v>0.15</v>
      </c>
      <c r="AE334">
        <f t="shared" si="151"/>
        <v>0.75154958677685946</v>
      </c>
      <c r="AF334">
        <f t="shared" si="145"/>
        <v>0.13713842975206611</v>
      </c>
      <c r="AG334" s="3">
        <v>1.85</v>
      </c>
      <c r="AH334">
        <v>31.24</v>
      </c>
      <c r="AI334" s="3">
        <v>28</v>
      </c>
    </row>
    <row r="335" spans="1:38" x14ac:dyDescent="0.5">
      <c r="A335">
        <v>15</v>
      </c>
      <c r="B335" s="4">
        <v>280</v>
      </c>
      <c r="C335">
        <v>0.1</v>
      </c>
      <c r="D335">
        <v>20</v>
      </c>
      <c r="E335">
        <v>250</v>
      </c>
      <c r="F335">
        <v>60</v>
      </c>
      <c r="G335" s="3">
        <f t="shared" si="179"/>
        <v>3</v>
      </c>
      <c r="O335">
        <v>78.37</v>
      </c>
      <c r="P335" s="3">
        <v>16.170000000000002</v>
      </c>
      <c r="Q335">
        <v>45.3</v>
      </c>
      <c r="R335">
        <v>5.85</v>
      </c>
      <c r="S335">
        <v>0.78</v>
      </c>
      <c r="T335">
        <v>42.4</v>
      </c>
      <c r="U335">
        <v>0.21</v>
      </c>
      <c r="V335">
        <f t="shared" si="180"/>
        <v>1.5496688741721854</v>
      </c>
      <c r="W335">
        <f t="shared" si="181"/>
        <v>0.70198675496688745</v>
      </c>
      <c r="X335">
        <v>5.46</v>
      </c>
      <c r="Y335" s="3">
        <v>18.22</v>
      </c>
      <c r="Z335">
        <v>71.36</v>
      </c>
      <c r="AA335">
        <v>5.37</v>
      </c>
      <c r="AB335">
        <v>1.59</v>
      </c>
      <c r="AC335">
        <v>10.37</v>
      </c>
      <c r="AD335">
        <v>0.18</v>
      </c>
      <c r="AE335">
        <f t="shared" si="151"/>
        <v>0.90302690582959644</v>
      </c>
      <c r="AF335">
        <f t="shared" si="145"/>
        <v>0.10898963004484305</v>
      </c>
      <c r="AG335" s="3">
        <v>2.13</v>
      </c>
      <c r="AH335">
        <v>29.19</v>
      </c>
      <c r="AI335" s="3">
        <v>44</v>
      </c>
    </row>
    <row r="336" spans="1:38" x14ac:dyDescent="0.5">
      <c r="A336">
        <v>30</v>
      </c>
      <c r="B336" s="4">
        <v>280</v>
      </c>
      <c r="C336">
        <v>0.1</v>
      </c>
      <c r="D336">
        <v>20</v>
      </c>
      <c r="E336">
        <v>250</v>
      </c>
      <c r="F336">
        <v>60</v>
      </c>
      <c r="G336" s="3">
        <f t="shared" si="179"/>
        <v>3</v>
      </c>
      <c r="O336">
        <v>78.37</v>
      </c>
      <c r="P336" s="3">
        <v>16.170000000000002</v>
      </c>
      <c r="Q336">
        <v>45.3</v>
      </c>
      <c r="R336">
        <v>5.85</v>
      </c>
      <c r="S336">
        <v>0.78</v>
      </c>
      <c r="T336">
        <v>42.4</v>
      </c>
      <c r="U336">
        <v>0.21</v>
      </c>
      <c r="V336">
        <f t="shared" si="180"/>
        <v>1.5496688741721854</v>
      </c>
      <c r="W336">
        <f t="shared" si="181"/>
        <v>0.70198675496688745</v>
      </c>
      <c r="X336">
        <v>5.46</v>
      </c>
      <c r="Y336" s="3">
        <v>18.22</v>
      </c>
      <c r="Z336">
        <v>72.459999999999994</v>
      </c>
      <c r="AA336">
        <v>5.38</v>
      </c>
      <c r="AB336">
        <v>1.1599999999999999</v>
      </c>
      <c r="AC336">
        <v>19.16</v>
      </c>
      <c r="AD336">
        <v>0.16</v>
      </c>
      <c r="AE336">
        <f t="shared" si="151"/>
        <v>0.8909743306651946</v>
      </c>
      <c r="AF336">
        <f t="shared" si="145"/>
        <v>0.19831631244824732</v>
      </c>
      <c r="AG336" s="3">
        <v>1.68</v>
      </c>
      <c r="AH336">
        <v>29.62</v>
      </c>
      <c r="AI336" s="3">
        <v>37</v>
      </c>
    </row>
    <row r="337" spans="1:38" x14ac:dyDescent="0.5">
      <c r="A337">
        <v>90</v>
      </c>
      <c r="B337" s="4">
        <v>280</v>
      </c>
      <c r="C337">
        <v>0.1</v>
      </c>
      <c r="D337">
        <v>20</v>
      </c>
      <c r="E337">
        <v>250</v>
      </c>
      <c r="F337">
        <v>60</v>
      </c>
      <c r="G337" s="3">
        <f t="shared" si="179"/>
        <v>3</v>
      </c>
      <c r="O337">
        <v>78.37</v>
      </c>
      <c r="P337" s="3">
        <v>16.170000000000002</v>
      </c>
      <c r="Q337">
        <v>45.3</v>
      </c>
      <c r="R337">
        <v>5.85</v>
      </c>
      <c r="S337">
        <v>0.78</v>
      </c>
      <c r="T337">
        <v>42.4</v>
      </c>
      <c r="U337">
        <v>0.21</v>
      </c>
      <c r="V337">
        <f t="shared" si="180"/>
        <v>1.5496688741721854</v>
      </c>
      <c r="W337">
        <f t="shared" si="181"/>
        <v>0.70198675496688745</v>
      </c>
      <c r="X337">
        <v>5.46</v>
      </c>
      <c r="Y337" s="3">
        <v>18.22</v>
      </c>
      <c r="Z337">
        <v>73.150000000000006</v>
      </c>
      <c r="AA337">
        <v>5.25</v>
      </c>
      <c r="AB337">
        <v>1.4</v>
      </c>
      <c r="AC337">
        <v>18.440000000000001</v>
      </c>
      <c r="AD337">
        <v>0.14000000000000001</v>
      </c>
      <c r="AE337">
        <f t="shared" si="151"/>
        <v>0.86124401913875592</v>
      </c>
      <c r="AF337">
        <f t="shared" si="145"/>
        <v>0.18906356801093643</v>
      </c>
      <c r="AG337" s="3">
        <v>1.62</v>
      </c>
      <c r="AH337">
        <v>29.77</v>
      </c>
      <c r="AI337" s="3">
        <v>36</v>
      </c>
    </row>
    <row r="338" spans="1:38" x14ac:dyDescent="0.5">
      <c r="A338">
        <v>120</v>
      </c>
      <c r="B338" s="4">
        <v>280</v>
      </c>
      <c r="C338">
        <v>0.1</v>
      </c>
      <c r="D338">
        <v>20</v>
      </c>
      <c r="E338">
        <v>250</v>
      </c>
      <c r="F338">
        <v>60</v>
      </c>
      <c r="G338" s="3">
        <f t="shared" si="179"/>
        <v>3</v>
      </c>
      <c r="O338">
        <v>78.37</v>
      </c>
      <c r="P338" s="3">
        <v>16.170000000000002</v>
      </c>
      <c r="Q338">
        <v>45.3</v>
      </c>
      <c r="R338">
        <v>5.85</v>
      </c>
      <c r="S338">
        <v>0.78</v>
      </c>
      <c r="T338">
        <v>42.4</v>
      </c>
      <c r="U338">
        <v>0.21</v>
      </c>
      <c r="V338">
        <f t="shared" si="180"/>
        <v>1.5496688741721854</v>
      </c>
      <c r="W338">
        <f t="shared" si="181"/>
        <v>0.70198675496688745</v>
      </c>
      <c r="X338">
        <v>5.46</v>
      </c>
      <c r="Y338" s="3">
        <v>18.22</v>
      </c>
      <c r="Z338">
        <v>73.5</v>
      </c>
      <c r="AA338">
        <v>5.23</v>
      </c>
      <c r="AB338">
        <v>1.31</v>
      </c>
      <c r="AC338">
        <v>18.23</v>
      </c>
      <c r="AD338">
        <v>0.15</v>
      </c>
      <c r="AE338">
        <f t="shared" si="151"/>
        <v>0.85387755102040819</v>
      </c>
      <c r="AF338">
        <f t="shared" si="145"/>
        <v>0.18602040816326532</v>
      </c>
      <c r="AG338" s="3">
        <v>1.58</v>
      </c>
      <c r="AH338">
        <v>29.9</v>
      </c>
      <c r="AI338" s="3">
        <v>35</v>
      </c>
    </row>
    <row r="339" spans="1:38" x14ac:dyDescent="0.5">
      <c r="A339">
        <v>30</v>
      </c>
      <c r="B339" s="4">
        <v>220</v>
      </c>
      <c r="C339">
        <v>0.1</v>
      </c>
      <c r="D339">
        <v>10</v>
      </c>
      <c r="E339">
        <v>200</v>
      </c>
      <c r="F339">
        <v>100</v>
      </c>
      <c r="G339" s="3">
        <f t="shared" si="179"/>
        <v>10</v>
      </c>
      <c r="N339">
        <v>1.59</v>
      </c>
      <c r="O339">
        <v>80.3</v>
      </c>
      <c r="P339" s="3">
        <v>5.0999999999999996</v>
      </c>
      <c r="Q339">
        <v>44.06</v>
      </c>
      <c r="R339">
        <v>6.25</v>
      </c>
      <c r="S339">
        <v>4.2</v>
      </c>
      <c r="T339">
        <v>32.18</v>
      </c>
      <c r="U339">
        <v>0.31</v>
      </c>
      <c r="V339">
        <f t="shared" si="180"/>
        <v>1.7022242396731728</v>
      </c>
      <c r="W339">
        <f t="shared" si="181"/>
        <v>0.54777576032682707</v>
      </c>
      <c r="X339">
        <v>13.01</v>
      </c>
      <c r="Y339" s="3">
        <v>19.18</v>
      </c>
      <c r="Z339">
        <v>47.11</v>
      </c>
      <c r="AA339">
        <v>6.12</v>
      </c>
      <c r="AB339">
        <v>2.78</v>
      </c>
      <c r="AC339">
        <v>19.079999999999998</v>
      </c>
      <c r="AD339">
        <v>0.12</v>
      </c>
      <c r="AE339">
        <f t="shared" si="151"/>
        <v>1.5589046911483762</v>
      </c>
      <c r="AF339">
        <f t="shared" si="145"/>
        <v>0.30375716408405856</v>
      </c>
      <c r="AG339" s="3">
        <v>24.79</v>
      </c>
      <c r="AH339">
        <v>20.89</v>
      </c>
      <c r="AI339" s="3">
        <v>44.67</v>
      </c>
      <c r="AJ339" s="2" t="s">
        <v>101</v>
      </c>
      <c r="AK339" t="s">
        <v>102</v>
      </c>
      <c r="AL339">
        <v>34</v>
      </c>
    </row>
    <row r="340" spans="1:38" x14ac:dyDescent="0.5">
      <c r="A340">
        <v>30</v>
      </c>
      <c r="B340" s="4">
        <v>275</v>
      </c>
      <c r="C340">
        <v>0.1</v>
      </c>
      <c r="D340">
        <v>10</v>
      </c>
      <c r="E340">
        <v>200</v>
      </c>
      <c r="F340">
        <v>100</v>
      </c>
      <c r="G340" s="3">
        <f t="shared" ref="G340:G342" si="182">F340/D340</f>
        <v>10</v>
      </c>
      <c r="N340">
        <v>1.59</v>
      </c>
      <c r="O340">
        <v>80.3</v>
      </c>
      <c r="P340" s="3">
        <v>5.0999999999999996</v>
      </c>
      <c r="Q340">
        <v>44.06</v>
      </c>
      <c r="R340">
        <v>6.25</v>
      </c>
      <c r="S340">
        <v>4.2</v>
      </c>
      <c r="T340">
        <v>32.18</v>
      </c>
      <c r="U340">
        <v>0.31</v>
      </c>
      <c r="V340">
        <f t="shared" ref="V340:V342" si="183">(R340/1)/(Q340/12)</f>
        <v>1.7022242396731728</v>
      </c>
      <c r="W340">
        <f t="shared" ref="W340:W342" si="184">(T340/16)/(Q340/12)</f>
        <v>0.54777576032682707</v>
      </c>
      <c r="X340">
        <v>13.01</v>
      </c>
      <c r="Y340" s="3">
        <v>19.18</v>
      </c>
      <c r="Z340">
        <v>49.68</v>
      </c>
      <c r="AA340">
        <v>5.99</v>
      </c>
      <c r="AB340">
        <v>2.13</v>
      </c>
      <c r="AC340">
        <v>12.83</v>
      </c>
      <c r="AD340">
        <v>0.14000000000000001</v>
      </c>
      <c r="AE340">
        <f t="shared" si="151"/>
        <v>1.4468599033816427</v>
      </c>
      <c r="AF340">
        <f t="shared" si="145"/>
        <v>0.19368961352657008</v>
      </c>
      <c r="AG340" s="3">
        <v>27.46</v>
      </c>
      <c r="AH340">
        <v>21.17</v>
      </c>
      <c r="AI340" s="3">
        <v>37.74</v>
      </c>
    </row>
    <row r="341" spans="1:38" x14ac:dyDescent="0.5">
      <c r="A341">
        <v>60</v>
      </c>
      <c r="B341" s="4">
        <v>275</v>
      </c>
      <c r="C341">
        <v>0.1</v>
      </c>
      <c r="D341">
        <v>10</v>
      </c>
      <c r="E341">
        <v>200</v>
      </c>
      <c r="F341">
        <v>100</v>
      </c>
      <c r="G341" s="3">
        <f t="shared" si="182"/>
        <v>10</v>
      </c>
      <c r="N341">
        <v>1.59</v>
      </c>
      <c r="O341">
        <v>80.3</v>
      </c>
      <c r="P341" s="3">
        <v>5.0999999999999996</v>
      </c>
      <c r="Q341">
        <v>44.06</v>
      </c>
      <c r="R341">
        <v>6.25</v>
      </c>
      <c r="S341">
        <v>4.2</v>
      </c>
      <c r="T341">
        <v>32.18</v>
      </c>
      <c r="U341">
        <v>0.31</v>
      </c>
      <c r="V341">
        <f t="shared" si="183"/>
        <v>1.7022242396731728</v>
      </c>
      <c r="W341">
        <f t="shared" si="184"/>
        <v>0.54777576032682707</v>
      </c>
      <c r="X341">
        <v>13.01</v>
      </c>
      <c r="Y341" s="3">
        <v>19.18</v>
      </c>
      <c r="Z341">
        <v>52.32</v>
      </c>
      <c r="AA341">
        <v>7.282</v>
      </c>
      <c r="AB341">
        <v>1.94</v>
      </c>
      <c r="AC341">
        <v>9.4700000000000006</v>
      </c>
      <c r="AD341">
        <v>0.24</v>
      </c>
      <c r="AE341">
        <f t="shared" si="151"/>
        <v>1.6701834862385321</v>
      </c>
      <c r="AF341">
        <f t="shared" si="145"/>
        <v>0.13575114678899083</v>
      </c>
      <c r="AG341" s="3">
        <v>28.75</v>
      </c>
      <c r="AH341">
        <v>22.68</v>
      </c>
      <c r="AI341" s="3">
        <v>34.81</v>
      </c>
    </row>
    <row r="342" spans="1:38" x14ac:dyDescent="0.5">
      <c r="A342">
        <v>30</v>
      </c>
      <c r="B342" s="4">
        <v>250</v>
      </c>
      <c r="C342">
        <v>0.1</v>
      </c>
      <c r="D342">
        <v>5.5</v>
      </c>
      <c r="E342">
        <v>500</v>
      </c>
      <c r="F342">
        <v>220</v>
      </c>
      <c r="G342" s="3">
        <f t="shared" si="182"/>
        <v>40</v>
      </c>
      <c r="N342">
        <v>2.1</v>
      </c>
      <c r="O342">
        <v>51.8</v>
      </c>
      <c r="P342" s="3">
        <v>9.34</v>
      </c>
      <c r="Q342">
        <v>33.299999999999997</v>
      </c>
      <c r="R342">
        <v>4.5999999999999996</v>
      </c>
      <c r="S342">
        <v>4</v>
      </c>
      <c r="T342">
        <v>20.3</v>
      </c>
      <c r="U342">
        <v>1.2</v>
      </c>
      <c r="V342">
        <f t="shared" si="183"/>
        <v>1.6576576576576576</v>
      </c>
      <c r="W342">
        <f t="shared" si="184"/>
        <v>0.45720720720720726</v>
      </c>
      <c r="X342">
        <v>36.700000000000003</v>
      </c>
      <c r="Y342" s="3">
        <v>14.4</v>
      </c>
      <c r="Z342">
        <v>32.1</v>
      </c>
      <c r="AA342">
        <v>4.2</v>
      </c>
      <c r="AB342">
        <v>1.9</v>
      </c>
      <c r="AC342">
        <v>9.4</v>
      </c>
      <c r="AD342">
        <v>1.2</v>
      </c>
      <c r="AE342">
        <f t="shared" si="151"/>
        <v>1.5700934579439252</v>
      </c>
      <c r="AF342">
        <f t="shared" si="145"/>
        <v>0.21962616822429906</v>
      </c>
      <c r="AG342" s="3">
        <v>51.2</v>
      </c>
      <c r="AH342">
        <v>15.4</v>
      </c>
      <c r="AI342" s="3">
        <v>68</v>
      </c>
      <c r="AJ342" s="2" t="s">
        <v>104</v>
      </c>
      <c r="AK342" t="s">
        <v>103</v>
      </c>
      <c r="AL342">
        <v>35</v>
      </c>
    </row>
    <row r="343" spans="1:38" x14ac:dyDescent="0.5">
      <c r="A343">
        <v>30</v>
      </c>
      <c r="B343" s="4">
        <v>250</v>
      </c>
      <c r="C343">
        <v>0.1</v>
      </c>
      <c r="D343">
        <v>11</v>
      </c>
      <c r="E343">
        <v>500</v>
      </c>
      <c r="F343">
        <v>220</v>
      </c>
      <c r="G343" s="3">
        <f t="shared" ref="G343:G350" si="185">F343/D343</f>
        <v>20</v>
      </c>
      <c r="N343">
        <v>2.1</v>
      </c>
      <c r="O343">
        <v>51.8</v>
      </c>
      <c r="P343" s="3">
        <v>9.34</v>
      </c>
      <c r="Q343">
        <v>33.299999999999997</v>
      </c>
      <c r="R343">
        <v>4.5999999999999996</v>
      </c>
      <c r="S343">
        <v>4</v>
      </c>
      <c r="T343">
        <v>20.3</v>
      </c>
      <c r="U343">
        <v>1.2</v>
      </c>
      <c r="V343">
        <f t="shared" ref="V343:V350" si="186">(R343/1)/(Q343/12)</f>
        <v>1.6576576576576576</v>
      </c>
      <c r="W343">
        <f t="shared" ref="W343:W350" si="187">(T343/16)/(Q343/12)</f>
        <v>0.45720720720720726</v>
      </c>
      <c r="X343">
        <v>36.700000000000003</v>
      </c>
      <c r="Y343" s="3">
        <v>14.4</v>
      </c>
      <c r="Z343">
        <v>32.299999999999997</v>
      </c>
      <c r="AA343">
        <v>4.2</v>
      </c>
      <c r="AB343">
        <v>2.1</v>
      </c>
      <c r="AC343">
        <v>10.3</v>
      </c>
      <c r="AD343">
        <v>0.8</v>
      </c>
      <c r="AE343">
        <f t="shared" si="151"/>
        <v>1.560371517027864</v>
      </c>
      <c r="AF343">
        <f t="shared" si="145"/>
        <v>0.23916408668730654</v>
      </c>
      <c r="AG343" s="3">
        <v>50</v>
      </c>
      <c r="AH343">
        <v>15.3</v>
      </c>
      <c r="AI343" s="3">
        <v>72</v>
      </c>
    </row>
    <row r="344" spans="1:38" x14ac:dyDescent="0.5">
      <c r="A344">
        <v>30</v>
      </c>
      <c r="B344" s="4">
        <v>250</v>
      </c>
      <c r="C344">
        <v>0.1</v>
      </c>
      <c r="D344">
        <v>22</v>
      </c>
      <c r="E344">
        <v>500</v>
      </c>
      <c r="F344">
        <v>220</v>
      </c>
      <c r="G344" s="3">
        <f t="shared" si="185"/>
        <v>10</v>
      </c>
      <c r="N344">
        <v>2.1</v>
      </c>
      <c r="O344">
        <v>51.8</v>
      </c>
      <c r="P344" s="3">
        <v>9.34</v>
      </c>
      <c r="Q344">
        <v>33.299999999999997</v>
      </c>
      <c r="R344">
        <v>4.5999999999999996</v>
      </c>
      <c r="S344">
        <v>4</v>
      </c>
      <c r="T344">
        <v>20.3</v>
      </c>
      <c r="U344">
        <v>1.2</v>
      </c>
      <c r="V344">
        <f t="shared" si="186"/>
        <v>1.6576576576576576</v>
      </c>
      <c r="W344">
        <f t="shared" si="187"/>
        <v>0.45720720720720726</v>
      </c>
      <c r="X344">
        <v>36.700000000000003</v>
      </c>
      <c r="Y344" s="3">
        <v>14.4</v>
      </c>
      <c r="Z344">
        <v>33.1</v>
      </c>
      <c r="AA344">
        <v>4.4000000000000004</v>
      </c>
      <c r="AB344">
        <v>2.2999999999999998</v>
      </c>
      <c r="AC344">
        <v>10.5</v>
      </c>
      <c r="AD344">
        <v>1.2</v>
      </c>
      <c r="AE344">
        <f t="shared" si="151"/>
        <v>1.595166163141994</v>
      </c>
      <c r="AF344">
        <f t="shared" si="145"/>
        <v>0.23791540785498488</v>
      </c>
      <c r="AG344" s="3">
        <v>48.4</v>
      </c>
      <c r="AH344">
        <v>15.8</v>
      </c>
      <c r="AI344" s="3">
        <v>75</v>
      </c>
    </row>
    <row r="345" spans="1:38" x14ac:dyDescent="0.5">
      <c r="A345">
        <v>30</v>
      </c>
      <c r="B345" s="4">
        <v>250</v>
      </c>
      <c r="C345">
        <v>0.1</v>
      </c>
      <c r="D345">
        <v>33</v>
      </c>
      <c r="E345">
        <v>500</v>
      </c>
      <c r="F345">
        <v>220</v>
      </c>
      <c r="G345" s="3">
        <f t="shared" si="185"/>
        <v>6.666666666666667</v>
      </c>
      <c r="N345">
        <v>2.1</v>
      </c>
      <c r="O345">
        <v>51.8</v>
      </c>
      <c r="P345" s="3">
        <v>9.34</v>
      </c>
      <c r="Q345">
        <v>33.299999999999997</v>
      </c>
      <c r="R345">
        <v>4.5999999999999996</v>
      </c>
      <c r="S345">
        <v>4</v>
      </c>
      <c r="T345">
        <v>20.3</v>
      </c>
      <c r="U345">
        <v>1.2</v>
      </c>
      <c r="V345">
        <f t="shared" si="186"/>
        <v>1.6576576576576576</v>
      </c>
      <c r="W345">
        <f t="shared" si="187"/>
        <v>0.45720720720720726</v>
      </c>
      <c r="X345">
        <v>36.700000000000003</v>
      </c>
      <c r="Y345" s="3">
        <v>14.4</v>
      </c>
      <c r="Z345">
        <v>33</v>
      </c>
      <c r="AA345">
        <v>4.3</v>
      </c>
      <c r="AB345">
        <v>2.2999999999999998</v>
      </c>
      <c r="AC345">
        <v>9.8000000000000007</v>
      </c>
      <c r="AD345">
        <v>1.3</v>
      </c>
      <c r="AE345">
        <f t="shared" si="151"/>
        <v>1.5636363636363635</v>
      </c>
      <c r="AF345">
        <f t="shared" si="145"/>
        <v>0.22272727272727275</v>
      </c>
      <c r="AG345" s="3">
        <v>49.4</v>
      </c>
      <c r="AH345">
        <v>15.7</v>
      </c>
      <c r="AI345" s="3">
        <v>74</v>
      </c>
    </row>
    <row r="346" spans="1:38" x14ac:dyDescent="0.5">
      <c r="A346">
        <v>30</v>
      </c>
      <c r="B346" s="4">
        <v>250</v>
      </c>
      <c r="C346">
        <v>0.1</v>
      </c>
      <c r="D346">
        <v>38.5</v>
      </c>
      <c r="E346">
        <v>500</v>
      </c>
      <c r="F346">
        <v>220</v>
      </c>
      <c r="G346" s="3">
        <f t="shared" si="185"/>
        <v>5.7142857142857144</v>
      </c>
      <c r="N346">
        <v>2.1</v>
      </c>
      <c r="O346">
        <v>51.8</v>
      </c>
      <c r="P346" s="3">
        <v>9.34</v>
      </c>
      <c r="Q346">
        <v>33.299999999999997</v>
      </c>
      <c r="R346">
        <v>4.5999999999999996</v>
      </c>
      <c r="S346">
        <v>4</v>
      </c>
      <c r="T346">
        <v>20.3</v>
      </c>
      <c r="U346">
        <v>1.2</v>
      </c>
      <c r="V346">
        <f t="shared" si="186"/>
        <v>1.6576576576576576</v>
      </c>
      <c r="W346">
        <f t="shared" si="187"/>
        <v>0.45720720720720726</v>
      </c>
      <c r="X346">
        <v>36.700000000000003</v>
      </c>
      <c r="Y346" s="3">
        <v>14.4</v>
      </c>
      <c r="Z346">
        <v>33.1</v>
      </c>
      <c r="AA346">
        <v>4.2</v>
      </c>
      <c r="AB346">
        <v>2.2999999999999998</v>
      </c>
      <c r="AC346">
        <v>9.4</v>
      </c>
      <c r="AD346">
        <v>1.3</v>
      </c>
      <c r="AE346">
        <f t="shared" si="151"/>
        <v>1.5226586102719033</v>
      </c>
      <c r="AF346">
        <f t="shared" si="145"/>
        <v>0.21299093655589124</v>
      </c>
      <c r="AG346" s="3">
        <v>49.7</v>
      </c>
      <c r="AH346">
        <v>15.6</v>
      </c>
      <c r="AI346" s="3">
        <v>75</v>
      </c>
    </row>
    <row r="347" spans="1:38" x14ac:dyDescent="0.5">
      <c r="A347">
        <v>30</v>
      </c>
      <c r="B347" s="4">
        <v>250</v>
      </c>
      <c r="C347">
        <v>0.1</v>
      </c>
      <c r="D347">
        <v>44</v>
      </c>
      <c r="E347">
        <v>500</v>
      </c>
      <c r="F347">
        <v>220</v>
      </c>
      <c r="G347" s="3">
        <f t="shared" si="185"/>
        <v>5</v>
      </c>
      <c r="N347">
        <v>2.1</v>
      </c>
      <c r="O347">
        <v>51.8</v>
      </c>
      <c r="P347" s="3">
        <v>9.34</v>
      </c>
      <c r="Q347">
        <v>33.299999999999997</v>
      </c>
      <c r="R347">
        <v>4.5999999999999996</v>
      </c>
      <c r="S347">
        <v>4</v>
      </c>
      <c r="T347">
        <v>20.3</v>
      </c>
      <c r="U347">
        <v>1.2</v>
      </c>
      <c r="V347">
        <f t="shared" si="186"/>
        <v>1.6576576576576576</v>
      </c>
      <c r="W347">
        <f t="shared" si="187"/>
        <v>0.45720720720720726</v>
      </c>
      <c r="X347">
        <v>36.700000000000003</v>
      </c>
      <c r="Y347" s="3">
        <v>14.4</v>
      </c>
      <c r="Z347">
        <v>33.799999999999997</v>
      </c>
      <c r="AA347">
        <v>4.3</v>
      </c>
      <c r="AB347">
        <v>2.4</v>
      </c>
      <c r="AC347">
        <v>9.6999999999999993</v>
      </c>
      <c r="AD347">
        <v>1.3</v>
      </c>
      <c r="AE347">
        <f t="shared" si="151"/>
        <v>1.5266272189349113</v>
      </c>
      <c r="AF347">
        <f t="shared" si="145"/>
        <v>0.21523668639053253</v>
      </c>
      <c r="AG347" s="3">
        <v>48.6</v>
      </c>
      <c r="AH347">
        <v>15.9</v>
      </c>
      <c r="AI347" s="3">
        <v>76</v>
      </c>
    </row>
    <row r="348" spans="1:38" x14ac:dyDescent="0.5">
      <c r="A348">
        <v>30</v>
      </c>
      <c r="B348" s="4">
        <v>250</v>
      </c>
      <c r="C348">
        <v>0.1</v>
      </c>
      <c r="D348">
        <v>55</v>
      </c>
      <c r="E348">
        <v>500</v>
      </c>
      <c r="F348">
        <v>220</v>
      </c>
      <c r="G348" s="3">
        <f t="shared" si="185"/>
        <v>4</v>
      </c>
      <c r="N348">
        <v>2.1</v>
      </c>
      <c r="O348">
        <v>51.8</v>
      </c>
      <c r="P348" s="3">
        <v>9.34</v>
      </c>
      <c r="Q348">
        <v>33.299999999999997</v>
      </c>
      <c r="R348">
        <v>4.5999999999999996</v>
      </c>
      <c r="S348">
        <v>4</v>
      </c>
      <c r="T348">
        <v>20.3</v>
      </c>
      <c r="U348">
        <v>1.2</v>
      </c>
      <c r="V348">
        <f t="shared" si="186"/>
        <v>1.6576576576576576</v>
      </c>
      <c r="W348">
        <f t="shared" si="187"/>
        <v>0.45720720720720726</v>
      </c>
      <c r="X348">
        <v>36.700000000000003</v>
      </c>
      <c r="Y348" s="3">
        <v>14.4</v>
      </c>
      <c r="Z348">
        <v>33.799999999999997</v>
      </c>
      <c r="AA348">
        <v>4.3</v>
      </c>
      <c r="AB348">
        <v>2.6</v>
      </c>
      <c r="AC348">
        <v>9.9</v>
      </c>
      <c r="AD348">
        <v>1.3</v>
      </c>
      <c r="AE348">
        <f t="shared" si="151"/>
        <v>1.5266272189349113</v>
      </c>
      <c r="AF348">
        <f t="shared" si="145"/>
        <v>0.21967455621301779</v>
      </c>
      <c r="AG348" s="3">
        <v>48</v>
      </c>
      <c r="AH348">
        <v>16</v>
      </c>
      <c r="AI348" s="3">
        <v>76</v>
      </c>
    </row>
    <row r="349" spans="1:38" x14ac:dyDescent="0.5">
      <c r="A349">
        <v>30</v>
      </c>
      <c r="B349" s="4">
        <v>250</v>
      </c>
      <c r="C349">
        <v>0.1</v>
      </c>
      <c r="D349">
        <v>66</v>
      </c>
      <c r="E349">
        <v>500</v>
      </c>
      <c r="F349">
        <v>220</v>
      </c>
      <c r="G349" s="3">
        <f t="shared" si="185"/>
        <v>3.3333333333333335</v>
      </c>
      <c r="N349">
        <v>2.1</v>
      </c>
      <c r="O349">
        <v>51.8</v>
      </c>
      <c r="P349" s="3">
        <v>9.34</v>
      </c>
      <c r="Q349">
        <v>33.299999999999997</v>
      </c>
      <c r="R349">
        <v>4.5999999999999996</v>
      </c>
      <c r="S349">
        <v>4</v>
      </c>
      <c r="T349">
        <v>20.3</v>
      </c>
      <c r="U349">
        <v>1.2</v>
      </c>
      <c r="V349">
        <f t="shared" si="186"/>
        <v>1.6576576576576576</v>
      </c>
      <c r="W349">
        <f t="shared" si="187"/>
        <v>0.45720720720720726</v>
      </c>
      <c r="X349">
        <v>36.700000000000003</v>
      </c>
      <c r="Y349" s="3">
        <v>14.4</v>
      </c>
      <c r="Z349">
        <v>34.4</v>
      </c>
      <c r="AA349">
        <v>4.4000000000000004</v>
      </c>
      <c r="AB349">
        <v>2.8</v>
      </c>
      <c r="AC349">
        <v>8.6999999999999993</v>
      </c>
      <c r="AD349">
        <v>1.2</v>
      </c>
      <c r="AE349">
        <f t="shared" si="151"/>
        <v>1.5348837209302326</v>
      </c>
      <c r="AF349">
        <f t="shared" si="145"/>
        <v>0.18968023255813951</v>
      </c>
      <c r="AG349" s="3">
        <v>48.5</v>
      </c>
      <c r="AH349">
        <v>16.5</v>
      </c>
      <c r="AI349" s="3">
        <v>75</v>
      </c>
    </row>
    <row r="350" spans="1:38" x14ac:dyDescent="0.5">
      <c r="A350">
        <v>60</v>
      </c>
      <c r="B350" s="4">
        <v>220</v>
      </c>
      <c r="C350">
        <v>0.1</v>
      </c>
      <c r="D350">
        <v>30</v>
      </c>
      <c r="E350">
        <v>500</v>
      </c>
      <c r="F350">
        <v>150</v>
      </c>
      <c r="G350" s="3">
        <f t="shared" si="185"/>
        <v>5</v>
      </c>
      <c r="O350">
        <v>82.67</v>
      </c>
      <c r="P350" s="3">
        <v>10.95</v>
      </c>
      <c r="Q350">
        <v>49.7</v>
      </c>
      <c r="R350">
        <v>7.67</v>
      </c>
      <c r="S350">
        <v>8.23</v>
      </c>
      <c r="T350">
        <v>27.16</v>
      </c>
      <c r="U350">
        <v>0.86</v>
      </c>
      <c r="V350">
        <f t="shared" si="186"/>
        <v>1.8519114688128773</v>
      </c>
      <c r="W350">
        <f t="shared" si="187"/>
        <v>0.40985915492957747</v>
      </c>
      <c r="X350">
        <v>6.38</v>
      </c>
      <c r="Y350" s="3">
        <f>(0.338*Q350)+1.428*(R350-(T350/8))</f>
        <v>22.903300000000002</v>
      </c>
      <c r="Z350">
        <v>53.29</v>
      </c>
      <c r="AA350">
        <v>7.56</v>
      </c>
      <c r="AB350">
        <v>7.96</v>
      </c>
      <c r="AC350">
        <v>22.31</v>
      </c>
      <c r="AD350">
        <v>0.84</v>
      </c>
      <c r="AE350">
        <f t="shared" si="151"/>
        <v>1.7023831863389005</v>
      </c>
      <c r="AF350">
        <f t="shared" si="145"/>
        <v>0.31398949146181271</v>
      </c>
      <c r="AG350" s="3">
        <v>8.0399999999999991</v>
      </c>
      <c r="AH350">
        <f>(0.338*Z350)+1.428*(AA350-(AC350/8))</f>
        <v>24.825364999999998</v>
      </c>
      <c r="AI350" s="3">
        <v>72.430000000000007</v>
      </c>
      <c r="AJ350" s="2" t="s">
        <v>105</v>
      </c>
      <c r="AK350" t="s">
        <v>106</v>
      </c>
      <c r="AL350">
        <v>36</v>
      </c>
    </row>
    <row r="351" spans="1:38" x14ac:dyDescent="0.5">
      <c r="A351">
        <v>60</v>
      </c>
      <c r="B351" s="4">
        <v>250</v>
      </c>
      <c r="C351">
        <v>0.1</v>
      </c>
      <c r="D351">
        <v>30</v>
      </c>
      <c r="E351">
        <v>500</v>
      </c>
      <c r="F351">
        <v>150</v>
      </c>
      <c r="G351" s="3">
        <f t="shared" ref="G351:G353" si="188">F351/D351</f>
        <v>5</v>
      </c>
      <c r="O351">
        <v>82.67</v>
      </c>
      <c r="P351" s="3">
        <v>10.95</v>
      </c>
      <c r="Q351">
        <v>49.7</v>
      </c>
      <c r="R351">
        <v>7.67</v>
      </c>
      <c r="S351">
        <v>8.23</v>
      </c>
      <c r="T351">
        <v>27.16</v>
      </c>
      <c r="U351">
        <v>0.86</v>
      </c>
      <c r="V351">
        <f t="shared" ref="V351:V353" si="189">(R351/1)/(Q351/12)</f>
        <v>1.8519114688128773</v>
      </c>
      <c r="W351">
        <f t="shared" ref="W351:W353" si="190">(T351/16)/(Q351/12)</f>
        <v>0.40985915492957747</v>
      </c>
      <c r="X351">
        <v>6.38</v>
      </c>
      <c r="Y351" s="3">
        <f t="shared" ref="Y351:Y352" si="191">(0.338*Q351)+1.428*(R351-(T351/8))</f>
        <v>22.903300000000002</v>
      </c>
      <c r="Z351">
        <v>55.83</v>
      </c>
      <c r="AA351">
        <v>7.18</v>
      </c>
      <c r="AB351">
        <v>7.66</v>
      </c>
      <c r="AC351">
        <v>19.2</v>
      </c>
      <c r="AD351">
        <v>0.81</v>
      </c>
      <c r="AE351">
        <f t="shared" si="151"/>
        <v>1.5432563138097797</v>
      </c>
      <c r="AF351">
        <f t="shared" si="145"/>
        <v>0.25792584631918325</v>
      </c>
      <c r="AG351" s="3">
        <v>9.32</v>
      </c>
      <c r="AH351">
        <f t="shared" ref="AH351:AH352" si="192">(0.338*Z351)+1.428*(AA351-(AC351/8))</f>
        <v>25.696380000000001</v>
      </c>
      <c r="AI351" s="3">
        <v>67.569999999999993</v>
      </c>
    </row>
    <row r="352" spans="1:38" x14ac:dyDescent="0.5">
      <c r="A352">
        <v>60</v>
      </c>
      <c r="B352" s="4">
        <v>280</v>
      </c>
      <c r="C352">
        <v>0.1</v>
      </c>
      <c r="D352">
        <v>30</v>
      </c>
      <c r="E352">
        <v>500</v>
      </c>
      <c r="F352">
        <v>150</v>
      </c>
      <c r="G352" s="3">
        <f t="shared" si="188"/>
        <v>5</v>
      </c>
      <c r="O352">
        <v>82.67</v>
      </c>
      <c r="P352" s="3">
        <v>10.95</v>
      </c>
      <c r="Q352">
        <v>49.7</v>
      </c>
      <c r="R352">
        <v>7.67</v>
      </c>
      <c r="S352">
        <v>8.23</v>
      </c>
      <c r="T352">
        <v>27.16</v>
      </c>
      <c r="U352">
        <v>0.86</v>
      </c>
      <c r="V352">
        <f t="shared" si="189"/>
        <v>1.8519114688128773</v>
      </c>
      <c r="W352">
        <f t="shared" si="190"/>
        <v>0.40985915492957747</v>
      </c>
      <c r="X352">
        <v>6.38</v>
      </c>
      <c r="Y352" s="3">
        <f t="shared" si="191"/>
        <v>22.903300000000002</v>
      </c>
      <c r="Z352">
        <v>59.52</v>
      </c>
      <c r="AA352">
        <v>6.84</v>
      </c>
      <c r="AB352">
        <v>6.82</v>
      </c>
      <c r="AC352">
        <v>15.63</v>
      </c>
      <c r="AD352">
        <v>0.82</v>
      </c>
      <c r="AE352">
        <f t="shared" si="151"/>
        <v>1.379032258064516</v>
      </c>
      <c r="AF352">
        <f t="shared" si="145"/>
        <v>0.19695060483870969</v>
      </c>
      <c r="AG352" s="3">
        <v>10.37</v>
      </c>
      <c r="AH352">
        <f t="shared" si="192"/>
        <v>27.095325000000003</v>
      </c>
      <c r="AI352" s="3">
        <v>58.61</v>
      </c>
    </row>
    <row r="353" spans="1:38" x14ac:dyDescent="0.5">
      <c r="A353">
        <v>60</v>
      </c>
      <c r="B353" s="4">
        <v>220</v>
      </c>
      <c r="C353">
        <v>0.1</v>
      </c>
      <c r="D353">
        <v>20</v>
      </c>
      <c r="E353">
        <v>750</v>
      </c>
      <c r="F353">
        <v>400</v>
      </c>
      <c r="G353" s="3">
        <f t="shared" si="188"/>
        <v>20</v>
      </c>
      <c r="O353">
        <v>77.56</v>
      </c>
      <c r="P353" s="3">
        <v>16.760000000000002</v>
      </c>
      <c r="Q353">
        <v>38.99</v>
      </c>
      <c r="R353">
        <v>5.01</v>
      </c>
      <c r="S353">
        <v>1.03</v>
      </c>
      <c r="T353">
        <v>54.97</v>
      </c>
      <c r="U353">
        <v>0</v>
      </c>
      <c r="V353">
        <f t="shared" si="189"/>
        <v>1.5419338291869709</v>
      </c>
      <c r="W353">
        <f t="shared" si="190"/>
        <v>1.0573865093613746</v>
      </c>
      <c r="X353">
        <v>5.68</v>
      </c>
      <c r="Y353" s="3">
        <v>10.54</v>
      </c>
      <c r="Z353">
        <v>55.2</v>
      </c>
      <c r="AA353">
        <v>5.41</v>
      </c>
      <c r="AB353">
        <v>1.01</v>
      </c>
      <c r="AC353">
        <v>38.380000000000003</v>
      </c>
      <c r="AD353">
        <v>0</v>
      </c>
      <c r="AE353">
        <f t="shared" ref="AE353:AE370" si="193">(AA353/1)/(Z353/12)</f>
        <v>1.1760869565217391</v>
      </c>
      <c r="AF353">
        <f t="shared" ref="AF353:AF435" si="194">(AC353/16)/(Z353/12)</f>
        <v>0.52146739130434783</v>
      </c>
      <c r="AG353" s="3">
        <v>4.6399999999999997</v>
      </c>
      <c r="AH353">
        <v>19.55</v>
      </c>
      <c r="AI353" s="3">
        <v>14.54</v>
      </c>
      <c r="AJ353" s="2" t="s">
        <v>107</v>
      </c>
      <c r="AK353" t="s">
        <v>28</v>
      </c>
      <c r="AL353">
        <v>37</v>
      </c>
    </row>
    <row r="354" spans="1:38" x14ac:dyDescent="0.5">
      <c r="A354">
        <v>60</v>
      </c>
      <c r="B354" s="4">
        <v>240</v>
      </c>
      <c r="C354">
        <v>0.1</v>
      </c>
      <c r="D354">
        <v>20</v>
      </c>
      <c r="E354">
        <v>750</v>
      </c>
      <c r="F354">
        <v>400</v>
      </c>
      <c r="G354" s="3">
        <f t="shared" ref="G354:G362" si="195">F354/D354</f>
        <v>20</v>
      </c>
      <c r="O354">
        <v>77.56</v>
      </c>
      <c r="P354" s="3">
        <v>16.760000000000002</v>
      </c>
      <c r="Q354">
        <v>38.99</v>
      </c>
      <c r="R354">
        <v>5.01</v>
      </c>
      <c r="S354">
        <v>1.03</v>
      </c>
      <c r="T354">
        <v>54.97</v>
      </c>
      <c r="U354">
        <v>0</v>
      </c>
      <c r="V354">
        <f t="shared" ref="V354:V362" si="196">(R354/1)/(Q354/12)</f>
        <v>1.5419338291869709</v>
      </c>
      <c r="W354">
        <f t="shared" ref="W354:W362" si="197">(T354/16)/(Q354/12)</f>
        <v>1.0573865093613746</v>
      </c>
      <c r="X354">
        <v>5.68</v>
      </c>
      <c r="Y354" s="3">
        <v>10.54</v>
      </c>
      <c r="Z354">
        <v>59</v>
      </c>
      <c r="AA354">
        <v>5.51</v>
      </c>
      <c r="AB354">
        <v>1.74</v>
      </c>
      <c r="AC354">
        <v>33.75</v>
      </c>
      <c r="AD354">
        <v>0</v>
      </c>
      <c r="AE354">
        <f t="shared" si="193"/>
        <v>1.1206779661016948</v>
      </c>
      <c r="AF354">
        <f t="shared" si="194"/>
        <v>0.42902542372881353</v>
      </c>
      <c r="AG354" s="3">
        <v>4.32</v>
      </c>
      <c r="AH354">
        <v>21.8</v>
      </c>
      <c r="AI354" s="3">
        <v>13.21</v>
      </c>
    </row>
    <row r="355" spans="1:38" x14ac:dyDescent="0.5">
      <c r="A355">
        <v>240</v>
      </c>
      <c r="B355" s="4">
        <v>220</v>
      </c>
      <c r="C355">
        <v>0.1</v>
      </c>
      <c r="D355">
        <v>20</v>
      </c>
      <c r="E355">
        <v>750</v>
      </c>
      <c r="F355">
        <v>400</v>
      </c>
      <c r="G355" s="3">
        <f t="shared" si="195"/>
        <v>20</v>
      </c>
      <c r="O355">
        <v>77.56</v>
      </c>
      <c r="P355" s="3">
        <v>16.760000000000002</v>
      </c>
      <c r="Q355">
        <v>38.99</v>
      </c>
      <c r="R355">
        <v>5.01</v>
      </c>
      <c r="S355">
        <v>1.03</v>
      </c>
      <c r="T355">
        <v>54.97</v>
      </c>
      <c r="U355">
        <v>0</v>
      </c>
      <c r="V355">
        <f t="shared" si="196"/>
        <v>1.5419338291869709</v>
      </c>
      <c r="W355">
        <f t="shared" si="197"/>
        <v>1.0573865093613746</v>
      </c>
      <c r="X355">
        <v>5.68</v>
      </c>
      <c r="Y355" s="3">
        <v>10.54</v>
      </c>
      <c r="Z355">
        <v>59.81</v>
      </c>
      <c r="AA355">
        <v>5.74</v>
      </c>
      <c r="AB355">
        <v>1.7</v>
      </c>
      <c r="AC355">
        <v>32.75</v>
      </c>
      <c r="AD355">
        <v>0</v>
      </c>
      <c r="AE355">
        <f t="shared" si="193"/>
        <v>1.1516468817923424</v>
      </c>
      <c r="AF355">
        <f t="shared" si="194"/>
        <v>0.41067547232904195</v>
      </c>
      <c r="AG355" s="3">
        <v>4.28</v>
      </c>
      <c r="AH355">
        <v>22.57</v>
      </c>
      <c r="AI355" s="3">
        <v>12.21</v>
      </c>
    </row>
    <row r="356" spans="1:38" x14ac:dyDescent="0.5">
      <c r="A356">
        <v>150</v>
      </c>
      <c r="B356" s="4">
        <v>240</v>
      </c>
      <c r="C356">
        <v>0.1</v>
      </c>
      <c r="D356">
        <v>20</v>
      </c>
      <c r="E356">
        <v>750</v>
      </c>
      <c r="F356">
        <v>400</v>
      </c>
      <c r="G356" s="3">
        <f t="shared" si="195"/>
        <v>20</v>
      </c>
      <c r="O356">
        <v>77.56</v>
      </c>
      <c r="P356" s="3">
        <v>16.760000000000002</v>
      </c>
      <c r="Q356">
        <v>38.99</v>
      </c>
      <c r="R356">
        <v>5.01</v>
      </c>
      <c r="S356">
        <v>1.03</v>
      </c>
      <c r="T356">
        <v>54.97</v>
      </c>
      <c r="U356">
        <v>0</v>
      </c>
      <c r="V356">
        <f t="shared" si="196"/>
        <v>1.5419338291869709</v>
      </c>
      <c r="W356">
        <f t="shared" si="197"/>
        <v>1.0573865093613746</v>
      </c>
      <c r="X356">
        <v>5.68</v>
      </c>
      <c r="Y356" s="3">
        <v>10.54</v>
      </c>
      <c r="Z356">
        <v>63.33</v>
      </c>
      <c r="AA356">
        <v>6.66</v>
      </c>
      <c r="AB356">
        <v>1.1299999999999999</v>
      </c>
      <c r="AC356">
        <v>28.88</v>
      </c>
      <c r="AD356">
        <v>0</v>
      </c>
      <c r="AE356">
        <f t="shared" si="193"/>
        <v>1.2619611558503079</v>
      </c>
      <c r="AF356">
        <f t="shared" si="194"/>
        <v>0.3420180009474183</v>
      </c>
      <c r="AG356" s="3">
        <v>3.45</v>
      </c>
      <c r="AH356">
        <v>25.76</v>
      </c>
      <c r="AI356" s="3">
        <v>11.01</v>
      </c>
    </row>
    <row r="357" spans="1:38" x14ac:dyDescent="0.5">
      <c r="A357">
        <v>60</v>
      </c>
      <c r="B357" s="4">
        <v>260</v>
      </c>
      <c r="C357">
        <v>0.1</v>
      </c>
      <c r="D357">
        <v>20</v>
      </c>
      <c r="E357">
        <v>750</v>
      </c>
      <c r="F357">
        <v>400</v>
      </c>
      <c r="G357" s="3">
        <f t="shared" si="195"/>
        <v>20</v>
      </c>
      <c r="O357">
        <v>77.56</v>
      </c>
      <c r="P357" s="3">
        <v>16.760000000000002</v>
      </c>
      <c r="Q357">
        <v>38.99</v>
      </c>
      <c r="R357">
        <v>5.01</v>
      </c>
      <c r="S357">
        <v>1.03</v>
      </c>
      <c r="T357">
        <v>54.97</v>
      </c>
      <c r="U357">
        <v>0</v>
      </c>
      <c r="V357">
        <f t="shared" si="196"/>
        <v>1.5419338291869709</v>
      </c>
      <c r="W357">
        <f t="shared" si="197"/>
        <v>1.0573865093613746</v>
      </c>
      <c r="X357">
        <v>5.68</v>
      </c>
      <c r="Y357" s="3">
        <v>10.54</v>
      </c>
      <c r="Z357">
        <v>63.26</v>
      </c>
      <c r="AA357">
        <v>6.7</v>
      </c>
      <c r="AB357">
        <v>1.1399999999999999</v>
      </c>
      <c r="AC357">
        <v>26.9</v>
      </c>
      <c r="AD357">
        <v>0</v>
      </c>
      <c r="AE357">
        <f t="shared" si="193"/>
        <v>1.2709453050901045</v>
      </c>
      <c r="AF357">
        <f t="shared" si="194"/>
        <v>0.31892190957951311</v>
      </c>
      <c r="AG357" s="3">
        <v>3.25</v>
      </c>
      <c r="AH357">
        <v>26.82</v>
      </c>
      <c r="AI357" s="3">
        <v>10.119999999999999</v>
      </c>
    </row>
    <row r="358" spans="1:38" x14ac:dyDescent="0.5">
      <c r="A358">
        <v>240</v>
      </c>
      <c r="B358" s="4">
        <v>240</v>
      </c>
      <c r="C358">
        <v>0.1</v>
      </c>
      <c r="D358">
        <v>20</v>
      </c>
      <c r="E358">
        <v>750</v>
      </c>
      <c r="F358">
        <v>400</v>
      </c>
      <c r="G358" s="3">
        <f t="shared" si="195"/>
        <v>20</v>
      </c>
      <c r="O358">
        <v>77.56</v>
      </c>
      <c r="P358" s="3">
        <v>16.760000000000002</v>
      </c>
      <c r="Q358">
        <v>38.99</v>
      </c>
      <c r="R358">
        <v>5.01</v>
      </c>
      <c r="S358">
        <v>1.03</v>
      </c>
      <c r="T358">
        <v>54.97</v>
      </c>
      <c r="U358">
        <v>0</v>
      </c>
      <c r="V358">
        <f t="shared" si="196"/>
        <v>1.5419338291869709</v>
      </c>
      <c r="W358">
        <f t="shared" si="197"/>
        <v>1.0573865093613746</v>
      </c>
      <c r="X358">
        <v>5.68</v>
      </c>
      <c r="Y358" s="3">
        <v>10.54</v>
      </c>
      <c r="Z358">
        <v>65.849999999999994</v>
      </c>
      <c r="AA358">
        <v>6.78</v>
      </c>
      <c r="AB358">
        <v>1.32</v>
      </c>
      <c r="AC358">
        <v>26.05</v>
      </c>
      <c r="AD358">
        <v>0</v>
      </c>
      <c r="AE358">
        <f t="shared" si="193"/>
        <v>1.2355353075170843</v>
      </c>
      <c r="AF358">
        <f t="shared" si="194"/>
        <v>0.29669703872437359</v>
      </c>
      <c r="AG358" s="3">
        <v>3.24</v>
      </c>
      <c r="AH358">
        <v>27.29</v>
      </c>
      <c r="AI358" s="3">
        <v>9.08</v>
      </c>
    </row>
    <row r="359" spans="1:38" x14ac:dyDescent="0.5">
      <c r="A359">
        <v>150</v>
      </c>
      <c r="B359" s="4">
        <v>260</v>
      </c>
      <c r="C359">
        <v>0.1</v>
      </c>
      <c r="D359">
        <v>20</v>
      </c>
      <c r="E359">
        <v>750</v>
      </c>
      <c r="F359">
        <v>400</v>
      </c>
      <c r="G359" s="3">
        <f t="shared" si="195"/>
        <v>20</v>
      </c>
      <c r="O359">
        <v>77.56</v>
      </c>
      <c r="P359" s="3">
        <v>16.760000000000002</v>
      </c>
      <c r="Q359">
        <v>38.99</v>
      </c>
      <c r="R359">
        <v>5.01</v>
      </c>
      <c r="S359">
        <v>1.03</v>
      </c>
      <c r="T359">
        <v>54.97</v>
      </c>
      <c r="U359">
        <v>0</v>
      </c>
      <c r="V359">
        <f t="shared" si="196"/>
        <v>1.5419338291869709</v>
      </c>
      <c r="W359">
        <f t="shared" si="197"/>
        <v>1.0573865093613746</v>
      </c>
      <c r="X359">
        <v>5.68</v>
      </c>
      <c r="Y359" s="3">
        <v>10.54</v>
      </c>
      <c r="Z359">
        <v>66.67</v>
      </c>
      <c r="AA359">
        <v>6.28</v>
      </c>
      <c r="AB359">
        <v>1.2</v>
      </c>
      <c r="AC359">
        <v>25.85</v>
      </c>
      <c r="AD359">
        <v>0</v>
      </c>
      <c r="AE359">
        <f t="shared" si="193"/>
        <v>1.1303434828258587</v>
      </c>
      <c r="AF359">
        <f t="shared" si="194"/>
        <v>0.29079796010199493</v>
      </c>
      <c r="AG359" s="3">
        <v>3.25</v>
      </c>
      <c r="AH359">
        <v>26.89</v>
      </c>
      <c r="AI359" s="3">
        <v>9.43</v>
      </c>
    </row>
    <row r="360" spans="1:38" x14ac:dyDescent="0.5">
      <c r="A360">
        <v>240</v>
      </c>
      <c r="B360" s="4">
        <v>260</v>
      </c>
      <c r="C360">
        <v>0.1</v>
      </c>
      <c r="D360">
        <v>20</v>
      </c>
      <c r="E360">
        <v>750</v>
      </c>
      <c r="F360">
        <v>400</v>
      </c>
      <c r="G360" s="3">
        <f t="shared" si="195"/>
        <v>20</v>
      </c>
      <c r="O360">
        <v>77.56</v>
      </c>
      <c r="P360" s="3">
        <v>16.760000000000002</v>
      </c>
      <c r="Q360">
        <v>38.99</v>
      </c>
      <c r="R360">
        <v>5.01</v>
      </c>
      <c r="S360">
        <v>1.03</v>
      </c>
      <c r="T360">
        <v>54.97</v>
      </c>
      <c r="U360">
        <v>0</v>
      </c>
      <c r="V360">
        <f t="shared" si="196"/>
        <v>1.5419338291869709</v>
      </c>
      <c r="W360">
        <f t="shared" si="197"/>
        <v>1.0573865093613746</v>
      </c>
      <c r="X360">
        <v>5.68</v>
      </c>
      <c r="Y360" s="3">
        <v>10.54</v>
      </c>
      <c r="Z360">
        <v>69.239999999999995</v>
      </c>
      <c r="AA360">
        <v>7.26</v>
      </c>
      <c r="AB360">
        <v>1.1299999999999999</v>
      </c>
      <c r="AC360">
        <v>22.37</v>
      </c>
      <c r="AD360">
        <v>0</v>
      </c>
      <c r="AE360">
        <f t="shared" si="193"/>
        <v>1.2582322357019065</v>
      </c>
      <c r="AF360">
        <f t="shared" si="194"/>
        <v>0.24230935875216641</v>
      </c>
      <c r="AG360" s="3">
        <v>2.4500000000000002</v>
      </c>
      <c r="AH360">
        <v>29.77</v>
      </c>
      <c r="AI360" s="3">
        <v>8.35</v>
      </c>
    </row>
    <row r="361" spans="1:38" x14ac:dyDescent="0.5">
      <c r="A361">
        <v>150</v>
      </c>
      <c r="B361" s="4">
        <v>220</v>
      </c>
      <c r="C361">
        <v>0.1</v>
      </c>
      <c r="D361">
        <v>20</v>
      </c>
      <c r="E361">
        <v>750</v>
      </c>
      <c r="F361">
        <v>400</v>
      </c>
      <c r="G361" s="3">
        <f t="shared" si="195"/>
        <v>20</v>
      </c>
      <c r="O361">
        <v>77.56</v>
      </c>
      <c r="P361" s="3">
        <v>16.760000000000002</v>
      </c>
      <c r="Q361">
        <v>38.99</v>
      </c>
      <c r="R361">
        <v>5.01</v>
      </c>
      <c r="S361">
        <v>1.03</v>
      </c>
      <c r="T361">
        <v>54.97</v>
      </c>
      <c r="U361">
        <v>0</v>
      </c>
      <c r="V361">
        <f t="shared" si="196"/>
        <v>1.5419338291869709</v>
      </c>
      <c r="W361">
        <f t="shared" si="197"/>
        <v>1.0573865093613746</v>
      </c>
      <c r="X361">
        <v>5.68</v>
      </c>
      <c r="Y361" s="3">
        <v>10.54</v>
      </c>
      <c r="Z361">
        <v>56.71</v>
      </c>
      <c r="AA361">
        <v>5.18</v>
      </c>
      <c r="AB361">
        <v>1.67</v>
      </c>
      <c r="AC361">
        <v>36.44</v>
      </c>
      <c r="AD361">
        <v>0</v>
      </c>
      <c r="AE361">
        <f t="shared" si="193"/>
        <v>1.0961029800740609</v>
      </c>
      <c r="AF361">
        <f t="shared" si="194"/>
        <v>0.4819255863163463</v>
      </c>
      <c r="AG361" s="3">
        <v>4.1500000000000004</v>
      </c>
      <c r="AH361">
        <v>33.4</v>
      </c>
      <c r="AI361" s="3">
        <v>5.57</v>
      </c>
    </row>
    <row r="362" spans="1:38" x14ac:dyDescent="0.5">
      <c r="A362">
        <v>15</v>
      </c>
      <c r="B362" s="4">
        <v>180</v>
      </c>
      <c r="C362">
        <v>0.1</v>
      </c>
      <c r="D362">
        <v>0.35599999999999998</v>
      </c>
      <c r="E362">
        <v>10</v>
      </c>
      <c r="F362">
        <v>3.5339999999999998</v>
      </c>
      <c r="G362" s="3">
        <f t="shared" si="195"/>
        <v>9.9269662921348321</v>
      </c>
      <c r="H362">
        <v>27.5</v>
      </c>
      <c r="I362">
        <v>15.7</v>
      </c>
      <c r="J362">
        <v>51.4</v>
      </c>
      <c r="Q362">
        <v>47.8</v>
      </c>
      <c r="R362">
        <v>5.1100000000000003</v>
      </c>
      <c r="S362">
        <v>4.78</v>
      </c>
      <c r="T362">
        <v>42.1</v>
      </c>
      <c r="U362">
        <v>0.23</v>
      </c>
      <c r="V362">
        <f t="shared" si="196"/>
        <v>1.2828451882845191</v>
      </c>
      <c r="W362">
        <f t="shared" si="197"/>
        <v>0.66056485355648542</v>
      </c>
      <c r="X362">
        <v>4.28</v>
      </c>
      <c r="Y362" s="3">
        <v>15.4</v>
      </c>
      <c r="Z362">
        <v>53.3</v>
      </c>
      <c r="AA362">
        <v>7.82</v>
      </c>
      <c r="AB362">
        <v>9.85</v>
      </c>
      <c r="AC362">
        <v>27.7</v>
      </c>
      <c r="AD362">
        <v>1.32</v>
      </c>
      <c r="AE362">
        <f>(AA362/1)/(Z362/12)</f>
        <v>1.7606003752345218</v>
      </c>
      <c r="AF362">
        <f t="shared" si="194"/>
        <v>0.38977485928705441</v>
      </c>
      <c r="AH362">
        <v>23</v>
      </c>
      <c r="AI362" s="3">
        <v>46</v>
      </c>
      <c r="AJ362" s="2" t="s">
        <v>108</v>
      </c>
      <c r="AK362" t="s">
        <v>28</v>
      </c>
      <c r="AL362">
        <v>38</v>
      </c>
    </row>
    <row r="363" spans="1:38" x14ac:dyDescent="0.5">
      <c r="A363">
        <v>30</v>
      </c>
      <c r="B363" s="4">
        <v>180</v>
      </c>
      <c r="C363">
        <v>0.1</v>
      </c>
      <c r="D363">
        <v>0.35599999999999998</v>
      </c>
      <c r="E363">
        <v>10</v>
      </c>
      <c r="F363">
        <v>3.5339999999999998</v>
      </c>
      <c r="G363" s="3">
        <f t="shared" ref="G363:G372" si="198">F363/D363</f>
        <v>9.9269662921348321</v>
      </c>
      <c r="H363">
        <v>27.5</v>
      </c>
      <c r="I363">
        <v>15.7</v>
      </c>
      <c r="J363">
        <v>51.4</v>
      </c>
      <c r="Q363">
        <v>47.8</v>
      </c>
      <c r="R363">
        <v>5.1100000000000003</v>
      </c>
      <c r="S363">
        <v>4.78</v>
      </c>
      <c r="T363">
        <v>42.1</v>
      </c>
      <c r="U363">
        <v>0.23</v>
      </c>
      <c r="V363">
        <f t="shared" ref="V363:V372" si="199">(R363/1)/(Q363/12)</f>
        <v>1.2828451882845191</v>
      </c>
      <c r="W363">
        <f t="shared" ref="W363:W372" si="200">(T363/16)/(Q363/12)</f>
        <v>0.66056485355648542</v>
      </c>
      <c r="X363">
        <v>4.28</v>
      </c>
      <c r="Y363" s="3">
        <v>15.4</v>
      </c>
      <c r="Z363">
        <v>54.8</v>
      </c>
      <c r="AA363">
        <v>7.6</v>
      </c>
      <c r="AB363">
        <v>9.7899999999999991</v>
      </c>
      <c r="AC363">
        <v>26.9</v>
      </c>
      <c r="AD363">
        <v>1.01</v>
      </c>
      <c r="AE363">
        <f t="shared" ref="AE363:AE368" si="201">(AA362/1)/(Z363/12)</f>
        <v>1.7124087591240877</v>
      </c>
      <c r="AF363">
        <f t="shared" si="194"/>
        <v>0.36815693430656932</v>
      </c>
      <c r="AH363">
        <v>23.3</v>
      </c>
      <c r="AI363" s="3">
        <v>44</v>
      </c>
    </row>
    <row r="364" spans="1:38" x14ac:dyDescent="0.5">
      <c r="A364">
        <v>15</v>
      </c>
      <c r="B364" s="4">
        <v>190</v>
      </c>
      <c r="C364">
        <v>0.1</v>
      </c>
      <c r="D364">
        <v>0.35599999999999998</v>
      </c>
      <c r="E364">
        <v>10</v>
      </c>
      <c r="F364">
        <v>3.5339999999999998</v>
      </c>
      <c r="G364" s="3">
        <f t="shared" si="198"/>
        <v>9.9269662921348321</v>
      </c>
      <c r="H364">
        <v>27.5</v>
      </c>
      <c r="I364">
        <v>15.7</v>
      </c>
      <c r="J364">
        <v>51.4</v>
      </c>
      <c r="Q364">
        <v>47.8</v>
      </c>
      <c r="R364">
        <v>5.1100000000000003</v>
      </c>
      <c r="S364">
        <v>4.78</v>
      </c>
      <c r="T364">
        <v>42.1</v>
      </c>
      <c r="U364">
        <v>0.23</v>
      </c>
      <c r="V364">
        <f t="shared" si="199"/>
        <v>1.2828451882845191</v>
      </c>
      <c r="W364">
        <f t="shared" si="200"/>
        <v>0.66056485355648542</v>
      </c>
      <c r="X364">
        <v>4.28</v>
      </c>
      <c r="Y364" s="3">
        <v>15.4</v>
      </c>
      <c r="Z364">
        <v>54</v>
      </c>
      <c r="AA364">
        <v>7.65</v>
      </c>
      <c r="AB364">
        <v>9.57</v>
      </c>
      <c r="AC364">
        <v>27.6</v>
      </c>
      <c r="AD364">
        <v>1.19</v>
      </c>
      <c r="AE364">
        <f t="shared" si="201"/>
        <v>1.6888888888888889</v>
      </c>
      <c r="AF364">
        <f t="shared" si="194"/>
        <v>0.38333333333333336</v>
      </c>
      <c r="AH364">
        <v>23.1</v>
      </c>
      <c r="AI364" s="3">
        <v>37</v>
      </c>
    </row>
    <row r="365" spans="1:38" x14ac:dyDescent="0.5">
      <c r="A365">
        <v>30</v>
      </c>
      <c r="B365" s="4">
        <v>190</v>
      </c>
      <c r="C365">
        <v>0.1</v>
      </c>
      <c r="D365">
        <v>0.35599999999999998</v>
      </c>
      <c r="E365">
        <v>10</v>
      </c>
      <c r="F365">
        <v>3.5339999999999998</v>
      </c>
      <c r="G365" s="3">
        <f t="shared" si="198"/>
        <v>9.9269662921348321</v>
      </c>
      <c r="H365">
        <v>27.5</v>
      </c>
      <c r="I365">
        <v>15.7</v>
      </c>
      <c r="J365">
        <v>51.4</v>
      </c>
      <c r="Q365">
        <v>47.8</v>
      </c>
      <c r="R365">
        <v>5.1100000000000003</v>
      </c>
      <c r="S365">
        <v>4.78</v>
      </c>
      <c r="T365">
        <v>42.1</v>
      </c>
      <c r="U365">
        <v>0.23</v>
      </c>
      <c r="V365">
        <f t="shared" si="199"/>
        <v>1.2828451882845191</v>
      </c>
      <c r="W365">
        <f t="shared" si="200"/>
        <v>0.66056485355648542</v>
      </c>
      <c r="X365">
        <v>4.28</v>
      </c>
      <c r="Y365" s="3">
        <v>15.4</v>
      </c>
      <c r="Z365">
        <v>59</v>
      </c>
      <c r="AA365">
        <v>8.6199999999999992</v>
      </c>
      <c r="AB365">
        <v>5.93</v>
      </c>
      <c r="AC365">
        <v>25.3</v>
      </c>
      <c r="AD365">
        <v>1.1200000000000001</v>
      </c>
      <c r="AE365">
        <f t="shared" si="201"/>
        <v>1.5559322033898304</v>
      </c>
      <c r="AF365">
        <f t="shared" si="194"/>
        <v>0.32161016949152543</v>
      </c>
      <c r="AH365">
        <v>27.2</v>
      </c>
      <c r="AI365" s="3">
        <v>38</v>
      </c>
    </row>
    <row r="366" spans="1:38" x14ac:dyDescent="0.5">
      <c r="A366">
        <v>15</v>
      </c>
      <c r="B366" s="4">
        <v>200</v>
      </c>
      <c r="C366">
        <v>0.1</v>
      </c>
      <c r="D366">
        <v>0.35599999999999998</v>
      </c>
      <c r="E366">
        <v>10</v>
      </c>
      <c r="F366">
        <v>3.5339999999999998</v>
      </c>
      <c r="G366" s="3">
        <f t="shared" si="198"/>
        <v>9.9269662921348321</v>
      </c>
      <c r="H366">
        <v>27.5</v>
      </c>
      <c r="I366">
        <v>15.7</v>
      </c>
      <c r="J366">
        <v>51.4</v>
      </c>
      <c r="Q366">
        <v>47.8</v>
      </c>
      <c r="R366">
        <v>5.1100000000000003</v>
      </c>
      <c r="S366">
        <v>4.78</v>
      </c>
      <c r="T366">
        <v>42.1</v>
      </c>
      <c r="U366">
        <v>0.23</v>
      </c>
      <c r="V366">
        <f t="shared" si="199"/>
        <v>1.2828451882845191</v>
      </c>
      <c r="W366">
        <f t="shared" si="200"/>
        <v>0.66056485355648542</v>
      </c>
      <c r="X366">
        <v>4.28</v>
      </c>
      <c r="Y366" s="3">
        <v>15.4</v>
      </c>
      <c r="Z366">
        <v>50.6</v>
      </c>
      <c r="AA366">
        <v>7.09</v>
      </c>
      <c r="AB366">
        <v>6.08</v>
      </c>
      <c r="AC366">
        <v>35.200000000000003</v>
      </c>
      <c r="AD366">
        <v>1</v>
      </c>
      <c r="AE366">
        <f t="shared" si="201"/>
        <v>2.0442687747035571</v>
      </c>
      <c r="AF366">
        <f t="shared" si="194"/>
        <v>0.52173913043478259</v>
      </c>
      <c r="AH366">
        <v>20.3</v>
      </c>
      <c r="AI366" s="3">
        <v>38.5</v>
      </c>
    </row>
    <row r="367" spans="1:38" x14ac:dyDescent="0.5">
      <c r="A367">
        <v>30</v>
      </c>
      <c r="B367" s="4">
        <v>200</v>
      </c>
      <c r="C367">
        <v>0.1</v>
      </c>
      <c r="D367">
        <v>0.35599999999999998</v>
      </c>
      <c r="E367">
        <v>10</v>
      </c>
      <c r="F367">
        <v>3.5339999999999998</v>
      </c>
      <c r="G367" s="3">
        <f t="shared" si="198"/>
        <v>9.9269662921348321</v>
      </c>
      <c r="H367">
        <v>27.5</v>
      </c>
      <c r="I367">
        <v>15.7</v>
      </c>
      <c r="J367">
        <v>51.4</v>
      </c>
      <c r="Q367">
        <v>47.8</v>
      </c>
      <c r="R367">
        <v>5.1100000000000003</v>
      </c>
      <c r="S367">
        <v>4.78</v>
      </c>
      <c r="T367">
        <v>42.1</v>
      </c>
      <c r="U367">
        <v>0.23</v>
      </c>
      <c r="V367">
        <f t="shared" si="199"/>
        <v>1.2828451882845191</v>
      </c>
      <c r="W367">
        <f t="shared" si="200"/>
        <v>0.66056485355648542</v>
      </c>
      <c r="X367">
        <v>4.28</v>
      </c>
      <c r="Y367" s="3">
        <v>15.4</v>
      </c>
      <c r="Z367">
        <v>58.3</v>
      </c>
      <c r="AA367">
        <v>7.61</v>
      </c>
      <c r="AB367">
        <v>6.25</v>
      </c>
      <c r="AC367">
        <v>26.8</v>
      </c>
      <c r="AD367">
        <v>1.1200000000000001</v>
      </c>
      <c r="AE367">
        <f t="shared" si="201"/>
        <v>1.4593481989708403</v>
      </c>
      <c r="AF367">
        <f t="shared" si="194"/>
        <v>0.34476843910806176</v>
      </c>
      <c r="AH367">
        <v>25.2</v>
      </c>
      <c r="AI367" s="3">
        <v>47</v>
      </c>
    </row>
    <row r="368" spans="1:38" x14ac:dyDescent="0.5">
      <c r="A368">
        <v>15</v>
      </c>
      <c r="B368" s="4">
        <v>210</v>
      </c>
      <c r="C368">
        <v>0.1</v>
      </c>
      <c r="D368">
        <v>0.35599999999999998</v>
      </c>
      <c r="E368">
        <v>10</v>
      </c>
      <c r="F368">
        <v>3.5339999999999998</v>
      </c>
      <c r="G368" s="3">
        <f t="shared" si="198"/>
        <v>9.9269662921348321</v>
      </c>
      <c r="H368">
        <v>27.5</v>
      </c>
      <c r="I368">
        <v>15.7</v>
      </c>
      <c r="J368">
        <v>51.4</v>
      </c>
      <c r="Q368">
        <v>47.8</v>
      </c>
      <c r="R368">
        <v>5.1100000000000003</v>
      </c>
      <c r="S368">
        <v>4.78</v>
      </c>
      <c r="T368">
        <v>42.1</v>
      </c>
      <c r="U368">
        <v>0.23</v>
      </c>
      <c r="V368">
        <f t="shared" si="199"/>
        <v>1.2828451882845191</v>
      </c>
      <c r="W368">
        <f t="shared" si="200"/>
        <v>0.66056485355648542</v>
      </c>
      <c r="X368">
        <v>4.28</v>
      </c>
      <c r="Y368" s="3">
        <v>15.4</v>
      </c>
      <c r="Z368">
        <v>58.3</v>
      </c>
      <c r="AA368">
        <v>8.1</v>
      </c>
      <c r="AB368">
        <v>6.58</v>
      </c>
      <c r="AC368">
        <v>26.1</v>
      </c>
      <c r="AD368">
        <v>0.94</v>
      </c>
      <c r="AE368">
        <f t="shared" si="201"/>
        <v>1.5663807890222985</v>
      </c>
      <c r="AF368">
        <f t="shared" si="194"/>
        <v>0.33576329331046312</v>
      </c>
      <c r="AH368">
        <v>26</v>
      </c>
      <c r="AI368" s="3">
        <v>43</v>
      </c>
    </row>
    <row r="369" spans="1:38" x14ac:dyDescent="0.5">
      <c r="A369">
        <v>30</v>
      </c>
      <c r="B369" s="4">
        <v>210</v>
      </c>
      <c r="C369">
        <v>0.1</v>
      </c>
      <c r="D369">
        <v>0.35599999999999998</v>
      </c>
      <c r="E369">
        <v>10</v>
      </c>
      <c r="F369">
        <v>3.5339999999999998</v>
      </c>
      <c r="G369" s="3">
        <f t="shared" si="198"/>
        <v>9.9269662921348321</v>
      </c>
      <c r="H369">
        <v>27.5</v>
      </c>
      <c r="I369">
        <v>15.7</v>
      </c>
      <c r="J369">
        <v>51.4</v>
      </c>
      <c r="Q369">
        <v>47.8</v>
      </c>
      <c r="R369">
        <v>5.1100000000000003</v>
      </c>
      <c r="S369">
        <v>4.78</v>
      </c>
      <c r="T369">
        <v>42.1</v>
      </c>
      <c r="U369">
        <v>0.23</v>
      </c>
      <c r="V369">
        <f t="shared" si="199"/>
        <v>1.2828451882845191</v>
      </c>
      <c r="W369">
        <f t="shared" si="200"/>
        <v>0.66056485355648542</v>
      </c>
      <c r="X369">
        <v>4.28</v>
      </c>
      <c r="Y369" s="3">
        <v>15.4</v>
      </c>
      <c r="Z369">
        <v>57.9</v>
      </c>
      <c r="AA369">
        <v>7.31</v>
      </c>
      <c r="AB369">
        <v>4.3899999999999997</v>
      </c>
      <c r="AC369">
        <v>29.3</v>
      </c>
      <c r="AD369">
        <v>1.1100000000000001</v>
      </c>
      <c r="AE369">
        <f t="shared" si="193"/>
        <v>1.5150259067357512</v>
      </c>
      <c r="AF369">
        <f t="shared" si="194"/>
        <v>0.3795336787564767</v>
      </c>
      <c r="AH369">
        <v>24.5</v>
      </c>
      <c r="AI369" s="3">
        <v>48</v>
      </c>
    </row>
    <row r="370" spans="1:38" x14ac:dyDescent="0.5">
      <c r="A370">
        <v>15</v>
      </c>
      <c r="B370" s="4">
        <v>220</v>
      </c>
      <c r="C370">
        <v>0.1</v>
      </c>
      <c r="D370">
        <v>0.35599999999999998</v>
      </c>
      <c r="E370">
        <v>10</v>
      </c>
      <c r="F370">
        <v>3.5339999999999998</v>
      </c>
      <c r="G370" s="3">
        <f t="shared" si="198"/>
        <v>9.9269662921348321</v>
      </c>
      <c r="H370">
        <v>27.5</v>
      </c>
      <c r="I370">
        <v>15.7</v>
      </c>
      <c r="J370">
        <v>51.4</v>
      </c>
      <c r="Q370">
        <v>47.8</v>
      </c>
      <c r="R370">
        <v>5.1100000000000003</v>
      </c>
      <c r="S370">
        <v>4.78</v>
      </c>
      <c r="T370">
        <v>42.1</v>
      </c>
      <c r="U370">
        <v>0.23</v>
      </c>
      <c r="V370">
        <f t="shared" si="199"/>
        <v>1.2828451882845191</v>
      </c>
      <c r="W370">
        <f t="shared" si="200"/>
        <v>0.66056485355648542</v>
      </c>
      <c r="X370">
        <v>4.28</v>
      </c>
      <c r="Y370" s="3">
        <v>15.4</v>
      </c>
      <c r="Z370">
        <v>62.9</v>
      </c>
      <c r="AA370">
        <v>7.95</v>
      </c>
      <c r="AB370">
        <v>5.8</v>
      </c>
      <c r="AC370">
        <v>22.6</v>
      </c>
      <c r="AD370">
        <v>0.83</v>
      </c>
      <c r="AE370">
        <f t="shared" si="193"/>
        <v>1.5166931637519874</v>
      </c>
      <c r="AF370">
        <f t="shared" si="194"/>
        <v>0.26947535771065184</v>
      </c>
      <c r="AH370">
        <v>28.1</v>
      </c>
      <c r="AI370" s="3">
        <v>45</v>
      </c>
    </row>
    <row r="371" spans="1:38" x14ac:dyDescent="0.5">
      <c r="A371">
        <v>30</v>
      </c>
      <c r="B371" s="4">
        <v>220</v>
      </c>
      <c r="C371">
        <v>0.1</v>
      </c>
      <c r="D371">
        <v>0.35599999999999998</v>
      </c>
      <c r="E371">
        <v>10</v>
      </c>
      <c r="F371">
        <v>3.5339999999999998</v>
      </c>
      <c r="G371" s="3">
        <f t="shared" si="198"/>
        <v>9.9269662921348321</v>
      </c>
      <c r="H371">
        <v>27.5</v>
      </c>
      <c r="I371">
        <v>15.7</v>
      </c>
      <c r="J371">
        <v>51.4</v>
      </c>
      <c r="Q371">
        <v>47.8</v>
      </c>
      <c r="R371">
        <v>5.1100000000000003</v>
      </c>
      <c r="S371">
        <v>4.78</v>
      </c>
      <c r="T371">
        <v>42.1</v>
      </c>
      <c r="U371">
        <v>0.23</v>
      </c>
      <c r="V371">
        <f t="shared" si="199"/>
        <v>1.2828451882845191</v>
      </c>
      <c r="W371">
        <f t="shared" si="200"/>
        <v>0.66056485355648542</v>
      </c>
      <c r="X371">
        <v>4.28</v>
      </c>
      <c r="Y371" s="3">
        <v>15.4</v>
      </c>
      <c r="Z371">
        <v>64.400000000000006</v>
      </c>
      <c r="AA371">
        <v>7.92</v>
      </c>
      <c r="AB371">
        <v>5.05</v>
      </c>
      <c r="AC371">
        <v>21.5</v>
      </c>
      <c r="AD371">
        <v>1.1000000000000001</v>
      </c>
      <c r="AE371">
        <f>(AA371/1)/(Z371/12)</f>
        <v>1.4757763975155278</v>
      </c>
      <c r="AF371">
        <f t="shared" si="194"/>
        <v>0.25038819875776397</v>
      </c>
      <c r="AH371">
        <v>28.9</v>
      </c>
      <c r="AI371" s="3">
        <v>45.5</v>
      </c>
    </row>
    <row r="372" spans="1:38" x14ac:dyDescent="0.5">
      <c r="A372">
        <v>90</v>
      </c>
      <c r="B372" s="4">
        <v>180</v>
      </c>
      <c r="C372">
        <v>0.1</v>
      </c>
      <c r="D372">
        <v>10</v>
      </c>
      <c r="E372">
        <v>100</v>
      </c>
      <c r="F372">
        <v>30</v>
      </c>
      <c r="G372" s="3">
        <f t="shared" si="198"/>
        <v>3</v>
      </c>
      <c r="Q372">
        <v>36.49</v>
      </c>
      <c r="R372">
        <v>6.89</v>
      </c>
      <c r="S372">
        <v>2.08</v>
      </c>
      <c r="T372">
        <v>36.47</v>
      </c>
      <c r="U372">
        <v>0</v>
      </c>
      <c r="V372">
        <f t="shared" si="199"/>
        <v>2.2658262537681555</v>
      </c>
      <c r="W372">
        <f t="shared" si="200"/>
        <v>0.74958892847355429</v>
      </c>
      <c r="X372">
        <v>18.07</v>
      </c>
      <c r="Y372" s="3">
        <f>(0.338*Q372)+1.428*(R372-(T372/8))</f>
        <v>15.662645000000001</v>
      </c>
      <c r="Z372">
        <v>46.36</v>
      </c>
      <c r="AA372">
        <v>5.43</v>
      </c>
      <c r="AB372">
        <v>1.85</v>
      </c>
      <c r="AC372">
        <v>34</v>
      </c>
      <c r="AE372">
        <f t="shared" ref="AE372:AE435" si="202">(AA372/1)/(Z372/12)</f>
        <v>1.4055220017256256</v>
      </c>
      <c r="AF372">
        <f t="shared" si="194"/>
        <v>0.55004314063848148</v>
      </c>
      <c r="AG372" s="3">
        <v>12.36</v>
      </c>
      <c r="AH372">
        <f>(0.338*Z372)+1.428*(AA372-(AC372/8))</f>
        <v>17.35472</v>
      </c>
      <c r="AI372" s="3">
        <v>57</v>
      </c>
      <c r="AJ372" s="2" t="s">
        <v>109</v>
      </c>
      <c r="AK372" t="s">
        <v>110</v>
      </c>
      <c r="AL372">
        <v>39</v>
      </c>
    </row>
    <row r="373" spans="1:38" x14ac:dyDescent="0.5">
      <c r="A373">
        <v>120</v>
      </c>
      <c r="B373" s="4">
        <v>180</v>
      </c>
      <c r="C373">
        <v>0.1</v>
      </c>
      <c r="D373">
        <v>10</v>
      </c>
      <c r="E373">
        <v>100</v>
      </c>
      <c r="F373">
        <v>30</v>
      </c>
      <c r="G373" s="3">
        <f t="shared" ref="G373:G377" si="203">F373/D373</f>
        <v>3</v>
      </c>
      <c r="Q373">
        <v>36.49</v>
      </c>
      <c r="R373">
        <v>6.89</v>
      </c>
      <c r="S373">
        <v>2.08</v>
      </c>
      <c r="T373">
        <v>36.47</v>
      </c>
      <c r="U373">
        <v>0</v>
      </c>
      <c r="V373">
        <f t="shared" ref="V373:V380" si="204">(R373/1)/(Q373/12)</f>
        <v>2.2658262537681555</v>
      </c>
      <c r="W373">
        <f t="shared" ref="W373:W380" si="205">(T373/16)/(Q373/12)</f>
        <v>0.74958892847355429</v>
      </c>
      <c r="X373">
        <v>18.07</v>
      </c>
      <c r="Y373" s="3">
        <f t="shared" ref="Y373:Y379" si="206">(0.338*Q373)+1.428*(R373-(T373/8))</f>
        <v>15.662645000000001</v>
      </c>
      <c r="Z373">
        <v>48.72</v>
      </c>
      <c r="AA373">
        <v>5.01</v>
      </c>
      <c r="AB373">
        <v>2.7</v>
      </c>
      <c r="AC373">
        <v>32.020000000000003</v>
      </c>
      <c r="AE373">
        <f t="shared" si="202"/>
        <v>1.2339901477832513</v>
      </c>
      <c r="AF373">
        <f t="shared" si="194"/>
        <v>0.49291871921182273</v>
      </c>
      <c r="AG373" s="3">
        <v>11.56</v>
      </c>
      <c r="AH373">
        <f t="shared" ref="AH373:AH379" si="207">(0.338*Z373)+1.428*(AA373-(AC373/8))</f>
        <v>17.90607</v>
      </c>
      <c r="AI373" s="3">
        <v>56</v>
      </c>
    </row>
    <row r="374" spans="1:38" x14ac:dyDescent="0.5">
      <c r="A374">
        <v>90</v>
      </c>
      <c r="B374" s="4">
        <v>220</v>
      </c>
      <c r="C374">
        <v>0.1</v>
      </c>
      <c r="D374">
        <v>10</v>
      </c>
      <c r="E374">
        <v>100</v>
      </c>
      <c r="F374">
        <v>30</v>
      </c>
      <c r="G374" s="3">
        <f t="shared" si="203"/>
        <v>3</v>
      </c>
      <c r="Q374">
        <v>36.49</v>
      </c>
      <c r="R374">
        <v>6.89</v>
      </c>
      <c r="S374">
        <v>2.08</v>
      </c>
      <c r="T374">
        <v>36.47</v>
      </c>
      <c r="U374">
        <v>0</v>
      </c>
      <c r="V374">
        <f t="shared" si="204"/>
        <v>2.2658262537681555</v>
      </c>
      <c r="W374">
        <f t="shared" si="205"/>
        <v>0.74958892847355429</v>
      </c>
      <c r="X374">
        <v>18.07</v>
      </c>
      <c r="Y374" s="3">
        <f t="shared" si="206"/>
        <v>15.662645000000001</v>
      </c>
      <c r="Z374">
        <v>49.84</v>
      </c>
      <c r="AA374">
        <v>5.07</v>
      </c>
      <c r="AB374">
        <v>2.81</v>
      </c>
      <c r="AC374">
        <v>31.14</v>
      </c>
      <c r="AE374">
        <f t="shared" si="202"/>
        <v>1.2207062600321028</v>
      </c>
      <c r="AF374">
        <f t="shared" si="194"/>
        <v>0.46859951845906905</v>
      </c>
      <c r="AG374" s="3">
        <v>11.13</v>
      </c>
      <c r="AH374">
        <f t="shared" si="207"/>
        <v>18.527390000000004</v>
      </c>
      <c r="AI374" s="3">
        <v>52</v>
      </c>
    </row>
    <row r="375" spans="1:38" x14ac:dyDescent="0.5">
      <c r="A375">
        <v>120</v>
      </c>
      <c r="B375" s="4">
        <v>220</v>
      </c>
      <c r="C375">
        <v>0.1</v>
      </c>
      <c r="D375">
        <v>10</v>
      </c>
      <c r="E375">
        <v>100</v>
      </c>
      <c r="F375">
        <v>30</v>
      </c>
      <c r="G375" s="3">
        <f t="shared" si="203"/>
        <v>3</v>
      </c>
      <c r="Q375">
        <v>36.49</v>
      </c>
      <c r="R375">
        <v>6.89</v>
      </c>
      <c r="S375">
        <v>2.08</v>
      </c>
      <c r="T375">
        <v>36.47</v>
      </c>
      <c r="U375">
        <v>0</v>
      </c>
      <c r="V375">
        <f t="shared" si="204"/>
        <v>2.2658262537681555</v>
      </c>
      <c r="W375">
        <f t="shared" si="205"/>
        <v>0.74958892847355429</v>
      </c>
      <c r="X375">
        <v>18.07</v>
      </c>
      <c r="Y375" s="3">
        <f t="shared" si="206"/>
        <v>15.662645000000001</v>
      </c>
      <c r="Z375">
        <v>50.71</v>
      </c>
      <c r="AA375">
        <v>4.91</v>
      </c>
      <c r="AB375">
        <v>3</v>
      </c>
      <c r="AC375">
        <v>30.04</v>
      </c>
      <c r="AE375">
        <f t="shared" si="202"/>
        <v>1.1619010057187933</v>
      </c>
      <c r="AF375">
        <f t="shared" si="194"/>
        <v>0.44429106685071978</v>
      </c>
      <c r="AG375" s="3">
        <v>10.97</v>
      </c>
      <c r="AH375">
        <f t="shared" si="207"/>
        <v>18.78932</v>
      </c>
      <c r="AI375" s="3">
        <v>51</v>
      </c>
    </row>
    <row r="376" spans="1:38" x14ac:dyDescent="0.5">
      <c r="A376">
        <v>90</v>
      </c>
      <c r="B376" s="4">
        <v>250</v>
      </c>
      <c r="C376">
        <v>0.1</v>
      </c>
      <c r="D376">
        <v>10</v>
      </c>
      <c r="E376">
        <v>100</v>
      </c>
      <c r="F376">
        <v>30</v>
      </c>
      <c r="G376" s="3">
        <f t="shared" si="203"/>
        <v>3</v>
      </c>
      <c r="Q376">
        <v>36.49</v>
      </c>
      <c r="R376">
        <v>6.89</v>
      </c>
      <c r="S376">
        <v>2.08</v>
      </c>
      <c r="T376">
        <v>36.47</v>
      </c>
      <c r="U376">
        <v>0</v>
      </c>
      <c r="V376">
        <f t="shared" si="204"/>
        <v>2.2658262537681555</v>
      </c>
      <c r="W376">
        <f t="shared" si="205"/>
        <v>0.74958892847355429</v>
      </c>
      <c r="X376">
        <v>18.07</v>
      </c>
      <c r="Y376" s="3">
        <f t="shared" si="206"/>
        <v>15.662645000000001</v>
      </c>
      <c r="Z376">
        <v>51.73</v>
      </c>
      <c r="AA376">
        <v>4.79</v>
      </c>
      <c r="AB376">
        <v>4.24</v>
      </c>
      <c r="AC376">
        <v>29.62</v>
      </c>
      <c r="AE376">
        <f t="shared" si="202"/>
        <v>1.1111540692054902</v>
      </c>
      <c r="AF376">
        <f t="shared" si="194"/>
        <v>0.42944132998260204</v>
      </c>
      <c r="AG376" s="3">
        <v>9.6300000000000008</v>
      </c>
      <c r="AH376">
        <f t="shared" si="207"/>
        <v>19.037689999999998</v>
      </c>
      <c r="AI376" s="3">
        <v>45</v>
      </c>
    </row>
    <row r="377" spans="1:38" x14ac:dyDescent="0.5">
      <c r="A377">
        <v>120</v>
      </c>
      <c r="B377" s="4">
        <v>250</v>
      </c>
      <c r="C377">
        <v>0.1</v>
      </c>
      <c r="D377">
        <v>10</v>
      </c>
      <c r="E377">
        <v>100</v>
      </c>
      <c r="F377">
        <v>30</v>
      </c>
      <c r="G377" s="3">
        <f t="shared" si="203"/>
        <v>3</v>
      </c>
      <c r="Q377">
        <v>36.49</v>
      </c>
      <c r="R377">
        <v>6.89</v>
      </c>
      <c r="S377">
        <v>2.08</v>
      </c>
      <c r="T377">
        <v>36.47</v>
      </c>
      <c r="U377">
        <v>0</v>
      </c>
      <c r="V377">
        <f t="shared" si="204"/>
        <v>2.2658262537681555</v>
      </c>
      <c r="W377">
        <f t="shared" si="205"/>
        <v>0.74958892847355429</v>
      </c>
      <c r="X377">
        <v>18.07</v>
      </c>
      <c r="Y377" s="3">
        <f t="shared" si="206"/>
        <v>15.662645000000001</v>
      </c>
      <c r="Z377">
        <v>53.84</v>
      </c>
      <c r="AA377">
        <v>4.74</v>
      </c>
      <c r="AB377">
        <v>3.55</v>
      </c>
      <c r="AC377">
        <v>28.84</v>
      </c>
      <c r="AE377">
        <f t="shared" si="202"/>
        <v>1.0564635958395245</v>
      </c>
      <c r="AF377">
        <f t="shared" si="194"/>
        <v>0.4017459138187221</v>
      </c>
      <c r="AG377" s="3">
        <v>9.0399999999999991</v>
      </c>
      <c r="AH377">
        <f t="shared" si="207"/>
        <v>19.818700000000003</v>
      </c>
      <c r="AI377" s="3">
        <v>44</v>
      </c>
    </row>
    <row r="378" spans="1:38" x14ac:dyDescent="0.5">
      <c r="A378">
        <v>120</v>
      </c>
      <c r="B378" s="4">
        <v>250</v>
      </c>
      <c r="C378">
        <v>0.1</v>
      </c>
      <c r="D378">
        <v>10</v>
      </c>
      <c r="E378">
        <v>100</v>
      </c>
      <c r="F378">
        <v>30</v>
      </c>
      <c r="G378" s="3">
        <f t="shared" ref="G378:G380" si="208">F378/D378</f>
        <v>3</v>
      </c>
      <c r="Q378">
        <v>42.55</v>
      </c>
      <c r="R378">
        <v>6.01</v>
      </c>
      <c r="S378">
        <v>1.46</v>
      </c>
      <c r="T378">
        <v>43.01</v>
      </c>
      <c r="U378">
        <v>0</v>
      </c>
      <c r="V378">
        <f t="shared" si="204"/>
        <v>1.6949471210340776</v>
      </c>
      <c r="W378">
        <f t="shared" si="205"/>
        <v>0.75810810810810814</v>
      </c>
      <c r="X378">
        <v>6.97</v>
      </c>
      <c r="Y378" s="3">
        <f t="shared" si="206"/>
        <v>15.286894999999999</v>
      </c>
      <c r="Z378">
        <v>53.25</v>
      </c>
      <c r="AA378">
        <v>5.46</v>
      </c>
      <c r="AB378">
        <v>1.8</v>
      </c>
      <c r="AC378">
        <v>33.340000000000003</v>
      </c>
      <c r="AE378">
        <f t="shared" si="202"/>
        <v>1.2304225352112677</v>
      </c>
      <c r="AF378">
        <f t="shared" si="194"/>
        <v>0.46957746478873247</v>
      </c>
      <c r="AG378" s="3">
        <v>6.16</v>
      </c>
      <c r="AH378">
        <f t="shared" si="207"/>
        <v>19.844189999999998</v>
      </c>
      <c r="AI378" s="3">
        <v>69.09</v>
      </c>
    </row>
    <row r="379" spans="1:38" x14ac:dyDescent="0.5">
      <c r="A379">
        <v>120</v>
      </c>
      <c r="B379" s="4">
        <v>250</v>
      </c>
      <c r="C379">
        <v>0.1</v>
      </c>
      <c r="D379">
        <v>10</v>
      </c>
      <c r="E379">
        <v>100</v>
      </c>
      <c r="F379">
        <v>30</v>
      </c>
      <c r="G379" s="3">
        <f t="shared" si="208"/>
        <v>3</v>
      </c>
      <c r="Q379">
        <v>32.18</v>
      </c>
      <c r="R379">
        <v>6.56</v>
      </c>
      <c r="S379">
        <v>2.1</v>
      </c>
      <c r="T379">
        <v>43.53</v>
      </c>
      <c r="U379">
        <v>0</v>
      </c>
      <c r="V379">
        <f t="shared" si="204"/>
        <v>2.4462399005593536</v>
      </c>
      <c r="W379">
        <f t="shared" si="205"/>
        <v>1.0145276569297701</v>
      </c>
      <c r="X379">
        <v>15.63</v>
      </c>
      <c r="Y379" s="3">
        <f t="shared" si="206"/>
        <v>12.474415</v>
      </c>
      <c r="Z379">
        <v>44.78</v>
      </c>
      <c r="AA379">
        <v>4.2699999999999996</v>
      </c>
      <c r="AB379">
        <v>2.12</v>
      </c>
      <c r="AC379">
        <v>34.24</v>
      </c>
      <c r="AE379">
        <f t="shared" si="202"/>
        <v>1.1442608307280033</v>
      </c>
      <c r="AF379">
        <f t="shared" si="194"/>
        <v>0.57347029924073245</v>
      </c>
      <c r="AG379" s="3">
        <v>14.58</v>
      </c>
      <c r="AH379">
        <f t="shared" si="207"/>
        <v>15.121360000000001</v>
      </c>
      <c r="AI379" s="3">
        <v>24.59</v>
      </c>
    </row>
    <row r="380" spans="1:38" x14ac:dyDescent="0.5">
      <c r="A380">
        <v>120</v>
      </c>
      <c r="B380" s="4">
        <v>180</v>
      </c>
      <c r="C380">
        <v>0.1</v>
      </c>
      <c r="D380">
        <v>3</v>
      </c>
      <c r="E380">
        <v>50</v>
      </c>
      <c r="F380">
        <v>30</v>
      </c>
      <c r="G380" s="3">
        <f t="shared" si="208"/>
        <v>10</v>
      </c>
      <c r="N380">
        <v>7.33</v>
      </c>
      <c r="O380">
        <v>78.84</v>
      </c>
      <c r="P380" s="3">
        <v>13.44</v>
      </c>
      <c r="Q380">
        <v>55.64</v>
      </c>
      <c r="R380">
        <v>7.28</v>
      </c>
      <c r="S380">
        <v>4.91</v>
      </c>
      <c r="T380">
        <v>32.15</v>
      </c>
      <c r="U380">
        <v>0.02</v>
      </c>
      <c r="V380">
        <f t="shared" si="204"/>
        <v>1.5700934579439252</v>
      </c>
      <c r="W380">
        <f t="shared" si="205"/>
        <v>0.4333662832494608</v>
      </c>
      <c r="X380">
        <v>0.36</v>
      </c>
      <c r="Y380" s="3">
        <v>19.41</v>
      </c>
      <c r="Z380">
        <v>56.72</v>
      </c>
      <c r="AA380">
        <v>8</v>
      </c>
      <c r="AB380">
        <v>1.33</v>
      </c>
      <c r="AC380">
        <v>33.869999999999997</v>
      </c>
      <c r="AD380">
        <v>0.08</v>
      </c>
      <c r="AE380">
        <f t="shared" si="202"/>
        <v>1.692524682651622</v>
      </c>
      <c r="AF380">
        <f t="shared" si="194"/>
        <v>0.44785789844851903</v>
      </c>
      <c r="AG380" s="3">
        <v>0.16</v>
      </c>
      <c r="AH380">
        <v>20.059999999999999</v>
      </c>
      <c r="AI380" s="3">
        <v>74</v>
      </c>
      <c r="AJ380" s="2" t="s">
        <v>111</v>
      </c>
      <c r="AK380" t="s">
        <v>112</v>
      </c>
      <c r="AL380">
        <v>40</v>
      </c>
    </row>
    <row r="381" spans="1:38" x14ac:dyDescent="0.5">
      <c r="A381">
        <v>120</v>
      </c>
      <c r="B381" s="4">
        <v>200</v>
      </c>
      <c r="C381">
        <v>0.1</v>
      </c>
      <c r="D381">
        <v>3</v>
      </c>
      <c r="E381">
        <v>50</v>
      </c>
      <c r="F381">
        <v>30</v>
      </c>
      <c r="G381" s="3">
        <f t="shared" ref="G381:G384" si="209">F381/D381</f>
        <v>10</v>
      </c>
      <c r="N381">
        <v>7.33</v>
      </c>
      <c r="O381">
        <v>78.84</v>
      </c>
      <c r="P381" s="3">
        <v>13.44</v>
      </c>
      <c r="Q381">
        <v>55.64</v>
      </c>
      <c r="R381">
        <v>7.28</v>
      </c>
      <c r="S381">
        <v>4.91</v>
      </c>
      <c r="T381">
        <v>32.15</v>
      </c>
      <c r="U381">
        <v>0.02</v>
      </c>
      <c r="V381">
        <f t="shared" ref="V381:V384" si="210">(R381/1)/(Q381/12)</f>
        <v>1.5700934579439252</v>
      </c>
      <c r="W381">
        <f t="shared" ref="W381:W384" si="211">(T381/16)/(Q381/12)</f>
        <v>0.4333662832494608</v>
      </c>
      <c r="X381">
        <v>0.36</v>
      </c>
      <c r="Y381" s="3">
        <v>19.41</v>
      </c>
      <c r="Z381">
        <v>60.69</v>
      </c>
      <c r="AA381">
        <v>7.69</v>
      </c>
      <c r="AB381">
        <v>1.31</v>
      </c>
      <c r="AC381">
        <v>30.26</v>
      </c>
      <c r="AD381">
        <v>0.05</v>
      </c>
      <c r="AE381">
        <f t="shared" si="202"/>
        <v>1.5205140879881365</v>
      </c>
      <c r="AF381">
        <f t="shared" si="194"/>
        <v>0.37394957983193278</v>
      </c>
      <c r="AG381" s="3">
        <v>0.17</v>
      </c>
      <c r="AH381">
        <v>21.53</v>
      </c>
      <c r="AI381" s="3">
        <v>70</v>
      </c>
    </row>
    <row r="382" spans="1:38" x14ac:dyDescent="0.5">
      <c r="A382">
        <v>120</v>
      </c>
      <c r="B382" s="4">
        <v>220</v>
      </c>
      <c r="C382">
        <v>0.1</v>
      </c>
      <c r="D382">
        <v>3</v>
      </c>
      <c r="E382">
        <v>50</v>
      </c>
      <c r="F382">
        <v>30</v>
      </c>
      <c r="G382" s="3">
        <f t="shared" si="209"/>
        <v>10</v>
      </c>
      <c r="N382">
        <v>7.33</v>
      </c>
      <c r="O382">
        <v>78.84</v>
      </c>
      <c r="P382" s="3">
        <v>13.44</v>
      </c>
      <c r="Q382">
        <v>55.64</v>
      </c>
      <c r="R382">
        <v>7.28</v>
      </c>
      <c r="S382">
        <v>4.91</v>
      </c>
      <c r="T382">
        <v>32.15</v>
      </c>
      <c r="U382">
        <v>0.02</v>
      </c>
      <c r="V382">
        <f t="shared" si="210"/>
        <v>1.5700934579439252</v>
      </c>
      <c r="W382">
        <f t="shared" si="211"/>
        <v>0.4333662832494608</v>
      </c>
      <c r="X382">
        <v>0.36</v>
      </c>
      <c r="Y382" s="3">
        <v>19.41</v>
      </c>
      <c r="Z382">
        <v>65.34</v>
      </c>
      <c r="AA382">
        <v>7.57</v>
      </c>
      <c r="AB382">
        <v>0.88</v>
      </c>
      <c r="AC382">
        <v>26.17</v>
      </c>
      <c r="AD382">
        <v>0.04</v>
      </c>
      <c r="AE382">
        <f t="shared" si="202"/>
        <v>1.3902662993572084</v>
      </c>
      <c r="AF382">
        <f t="shared" si="194"/>
        <v>0.30039026629935722</v>
      </c>
      <c r="AG382" s="3">
        <v>0.17</v>
      </c>
      <c r="AH382">
        <v>23.21</v>
      </c>
      <c r="AI382" s="3">
        <v>65</v>
      </c>
    </row>
    <row r="383" spans="1:38" x14ac:dyDescent="0.5">
      <c r="A383">
        <v>120</v>
      </c>
      <c r="B383" s="4">
        <v>240</v>
      </c>
      <c r="C383">
        <v>0.1</v>
      </c>
      <c r="D383">
        <v>3</v>
      </c>
      <c r="E383">
        <v>50</v>
      </c>
      <c r="F383">
        <v>30</v>
      </c>
      <c r="G383" s="3">
        <f t="shared" si="209"/>
        <v>10</v>
      </c>
      <c r="N383">
        <v>7.33</v>
      </c>
      <c r="O383">
        <v>78.84</v>
      </c>
      <c r="P383" s="3">
        <v>13.44</v>
      </c>
      <c r="Q383">
        <v>55.64</v>
      </c>
      <c r="R383">
        <v>7.28</v>
      </c>
      <c r="S383">
        <v>4.91</v>
      </c>
      <c r="T383">
        <v>32.15</v>
      </c>
      <c r="U383">
        <v>0.02</v>
      </c>
      <c r="V383">
        <f t="shared" si="210"/>
        <v>1.5700934579439252</v>
      </c>
      <c r="W383">
        <f t="shared" si="211"/>
        <v>0.4333662832494608</v>
      </c>
      <c r="X383">
        <v>0.36</v>
      </c>
      <c r="Y383" s="3">
        <v>19.41</v>
      </c>
      <c r="Z383">
        <v>74.58</v>
      </c>
      <c r="AA383">
        <v>6.27</v>
      </c>
      <c r="AB383">
        <v>5.01</v>
      </c>
      <c r="AC383">
        <v>14.13</v>
      </c>
      <c r="AD383">
        <v>0.01</v>
      </c>
      <c r="AE383">
        <f t="shared" si="202"/>
        <v>1.0088495575221239</v>
      </c>
      <c r="AF383">
        <f t="shared" si="194"/>
        <v>0.14209573612228479</v>
      </c>
      <c r="AG383" s="3">
        <v>0.25</v>
      </c>
      <c r="AH383">
        <v>26.85</v>
      </c>
      <c r="AI383" s="3">
        <v>54</v>
      </c>
    </row>
    <row r="384" spans="1:38" x14ac:dyDescent="0.5">
      <c r="A384">
        <v>60</v>
      </c>
      <c r="B384" s="4">
        <v>180</v>
      </c>
      <c r="C384">
        <v>0.1</v>
      </c>
      <c r="D384">
        <v>12</v>
      </c>
      <c r="E384">
        <v>50</v>
      </c>
      <c r="F384">
        <v>36</v>
      </c>
      <c r="G384" s="3">
        <f t="shared" si="209"/>
        <v>3</v>
      </c>
      <c r="Q384">
        <v>35.799999999999997</v>
      </c>
      <c r="R384">
        <v>4.8</v>
      </c>
      <c r="S384">
        <v>2.1</v>
      </c>
      <c r="T384">
        <v>24.6</v>
      </c>
      <c r="U384">
        <v>0.5</v>
      </c>
      <c r="V384">
        <f t="shared" si="210"/>
        <v>1.6089385474860336</v>
      </c>
      <c r="W384">
        <f t="shared" si="211"/>
        <v>0.51536312849162025</v>
      </c>
      <c r="X384">
        <v>32.1</v>
      </c>
      <c r="Y384" s="3">
        <f>(0.338*Q384)+1.428*(R384-(T384/8))</f>
        <v>14.563700000000001</v>
      </c>
      <c r="Z384">
        <v>36.299999999999997</v>
      </c>
      <c r="AA384">
        <v>4.3</v>
      </c>
      <c r="AB384">
        <v>2.4</v>
      </c>
      <c r="AC384">
        <v>16.600000000000001</v>
      </c>
      <c r="AD384">
        <v>0.6</v>
      </c>
      <c r="AE384">
        <f t="shared" si="202"/>
        <v>1.4214876033057851</v>
      </c>
      <c r="AF384">
        <f t="shared" si="194"/>
        <v>0.34297520661157027</v>
      </c>
      <c r="AG384" s="3">
        <v>39.799999999999997</v>
      </c>
      <c r="AH384">
        <f>(0.338*Z384)+1.428*(AA384-(AC384/8))</f>
        <v>15.446699999999998</v>
      </c>
      <c r="AI384" s="3">
        <v>70</v>
      </c>
      <c r="AJ384" s="2" t="s">
        <v>79</v>
      </c>
      <c r="AK384" t="s">
        <v>113</v>
      </c>
      <c r="AL384">
        <v>41</v>
      </c>
    </row>
    <row r="385" spans="1:38" x14ac:dyDescent="0.5">
      <c r="A385">
        <v>60</v>
      </c>
      <c r="B385" s="4">
        <v>210</v>
      </c>
      <c r="C385">
        <v>0.1</v>
      </c>
      <c r="D385">
        <v>12</v>
      </c>
      <c r="E385">
        <v>50</v>
      </c>
      <c r="F385">
        <v>36</v>
      </c>
      <c r="G385" s="3">
        <f t="shared" ref="G385:G396" si="212">F385/D385</f>
        <v>3</v>
      </c>
      <c r="Q385">
        <v>35.799999999999997</v>
      </c>
      <c r="R385">
        <v>4.8</v>
      </c>
      <c r="S385">
        <v>2.1</v>
      </c>
      <c r="T385">
        <v>24.6</v>
      </c>
      <c r="U385">
        <v>0.5</v>
      </c>
      <c r="V385">
        <f t="shared" ref="V385:V387" si="213">(R385/1)/(Q385/12)</f>
        <v>1.6089385474860336</v>
      </c>
      <c r="W385">
        <f t="shared" ref="W385:W387" si="214">(T385/16)/(Q385/12)</f>
        <v>0.51536312849162025</v>
      </c>
      <c r="X385">
        <v>32.1</v>
      </c>
      <c r="Y385" s="3">
        <f t="shared" ref="Y385:Y387" si="215">(0.338*Q385)+1.428*(R385-(T385/8))</f>
        <v>14.563700000000001</v>
      </c>
      <c r="Z385">
        <v>40.5</v>
      </c>
      <c r="AA385">
        <v>4.4000000000000004</v>
      </c>
      <c r="AB385">
        <v>2.5</v>
      </c>
      <c r="AC385">
        <v>13.7</v>
      </c>
      <c r="AD385">
        <v>0.6</v>
      </c>
      <c r="AE385">
        <f t="shared" si="202"/>
        <v>1.3037037037037038</v>
      </c>
      <c r="AF385">
        <f t="shared" si="194"/>
        <v>0.25370370370370371</v>
      </c>
      <c r="AG385" s="3">
        <v>38.200000000000003</v>
      </c>
      <c r="AH385">
        <f t="shared" ref="AH385:AH395" si="216">(0.338*Z385)+1.428*(AA385-(AC385/8))</f>
        <v>17.52675</v>
      </c>
      <c r="AI385" s="3">
        <v>63</v>
      </c>
    </row>
    <row r="386" spans="1:38" x14ac:dyDescent="0.5">
      <c r="A386">
        <v>60</v>
      </c>
      <c r="B386" s="4">
        <v>240</v>
      </c>
      <c r="C386">
        <v>0.1</v>
      </c>
      <c r="D386">
        <v>12</v>
      </c>
      <c r="E386">
        <v>50</v>
      </c>
      <c r="F386">
        <v>36</v>
      </c>
      <c r="G386" s="3">
        <f t="shared" si="212"/>
        <v>3</v>
      </c>
      <c r="Q386">
        <v>35.799999999999997</v>
      </c>
      <c r="R386">
        <v>4.8</v>
      </c>
      <c r="S386">
        <v>2.1</v>
      </c>
      <c r="T386">
        <v>24.6</v>
      </c>
      <c r="U386">
        <v>0.5</v>
      </c>
      <c r="V386">
        <f t="shared" si="213"/>
        <v>1.6089385474860336</v>
      </c>
      <c r="W386">
        <f t="shared" si="214"/>
        <v>0.51536312849162025</v>
      </c>
      <c r="X386">
        <v>32.1</v>
      </c>
      <c r="Y386" s="3">
        <f t="shared" si="215"/>
        <v>14.563700000000001</v>
      </c>
      <c r="Z386">
        <v>41</v>
      </c>
      <c r="AA386">
        <v>4</v>
      </c>
      <c r="AB386">
        <v>2.6</v>
      </c>
      <c r="AC386">
        <v>8.1999999999999993</v>
      </c>
      <c r="AD386">
        <v>0.7</v>
      </c>
      <c r="AE386">
        <f t="shared" si="202"/>
        <v>1.1707317073170733</v>
      </c>
      <c r="AF386">
        <f t="shared" si="194"/>
        <v>0.15</v>
      </c>
      <c r="AG386" s="3">
        <v>43.5</v>
      </c>
      <c r="AH386">
        <f t="shared" si="216"/>
        <v>18.106300000000001</v>
      </c>
      <c r="AI386" s="3">
        <v>51</v>
      </c>
    </row>
    <row r="387" spans="1:38" x14ac:dyDescent="0.5">
      <c r="A387">
        <v>60</v>
      </c>
      <c r="B387" s="4">
        <v>180</v>
      </c>
      <c r="C387">
        <v>0.1</v>
      </c>
      <c r="D387">
        <v>12</v>
      </c>
      <c r="E387">
        <v>50</v>
      </c>
      <c r="F387">
        <v>36</v>
      </c>
      <c r="G387" s="3">
        <f t="shared" si="212"/>
        <v>3</v>
      </c>
      <c r="Q387">
        <v>37.700000000000003</v>
      </c>
      <c r="R387">
        <v>5</v>
      </c>
      <c r="S387">
        <v>2.2999999999999998</v>
      </c>
      <c r="T387">
        <v>26.1</v>
      </c>
      <c r="U387">
        <v>0.4</v>
      </c>
      <c r="V387">
        <f t="shared" si="213"/>
        <v>1.5915119363395223</v>
      </c>
      <c r="W387">
        <f t="shared" si="214"/>
        <v>0.51923076923076916</v>
      </c>
      <c r="X387">
        <v>28.5</v>
      </c>
      <c r="Y387" s="3">
        <f t="shared" si="215"/>
        <v>15.223750000000001</v>
      </c>
      <c r="Z387">
        <v>40.9</v>
      </c>
      <c r="AA387">
        <v>4.5999999999999996</v>
      </c>
      <c r="AB387">
        <v>2.8</v>
      </c>
      <c r="AC387">
        <v>18.8</v>
      </c>
      <c r="AD387">
        <v>0.6</v>
      </c>
      <c r="AE387">
        <f t="shared" si="202"/>
        <v>1.3496332518337408</v>
      </c>
      <c r="AF387">
        <f t="shared" si="194"/>
        <v>0.34474327628361862</v>
      </c>
      <c r="AG387" s="3">
        <v>32.5</v>
      </c>
      <c r="AH387">
        <f t="shared" si="216"/>
        <v>17.037199999999999</v>
      </c>
      <c r="AI387" s="3">
        <v>74</v>
      </c>
    </row>
    <row r="388" spans="1:38" x14ac:dyDescent="0.5">
      <c r="A388">
        <v>60</v>
      </c>
      <c r="B388" s="4">
        <v>210</v>
      </c>
      <c r="C388">
        <v>0.1</v>
      </c>
      <c r="D388">
        <v>12</v>
      </c>
      <c r="E388">
        <v>50</v>
      </c>
      <c r="F388">
        <v>36</v>
      </c>
      <c r="G388" s="3">
        <f t="shared" si="212"/>
        <v>3</v>
      </c>
      <c r="Q388">
        <v>37.700000000000003</v>
      </c>
      <c r="R388">
        <v>5</v>
      </c>
      <c r="S388">
        <v>2.2999999999999998</v>
      </c>
      <c r="T388">
        <v>26.1</v>
      </c>
      <c r="U388">
        <v>0.4</v>
      </c>
      <c r="V388">
        <f t="shared" ref="V388:V390" si="217">(R388/1)/(Q388/12)</f>
        <v>1.5915119363395223</v>
      </c>
      <c r="W388">
        <f t="shared" ref="W388:W390" si="218">(T388/16)/(Q388/12)</f>
        <v>0.51923076923076916</v>
      </c>
      <c r="X388">
        <v>28.5</v>
      </c>
      <c r="Y388" s="3">
        <f t="shared" ref="Y388:Y390" si="219">(0.338*Q388)+1.428*(R388-(T388/8))</f>
        <v>15.223750000000001</v>
      </c>
      <c r="Z388">
        <v>45.2</v>
      </c>
      <c r="AA388">
        <v>4.8</v>
      </c>
      <c r="AB388">
        <v>2.9</v>
      </c>
      <c r="AC388">
        <v>11.4</v>
      </c>
      <c r="AD388">
        <v>0.6</v>
      </c>
      <c r="AE388">
        <f t="shared" si="202"/>
        <v>1.2743362831858405</v>
      </c>
      <c r="AF388">
        <f t="shared" si="194"/>
        <v>0.18915929203539822</v>
      </c>
      <c r="AG388" s="3">
        <v>35</v>
      </c>
      <c r="AH388">
        <f t="shared" si="216"/>
        <v>20.097100000000001</v>
      </c>
      <c r="AI388" s="3">
        <v>66</v>
      </c>
    </row>
    <row r="389" spans="1:38" x14ac:dyDescent="0.5">
      <c r="A389">
        <v>60</v>
      </c>
      <c r="B389" s="4">
        <v>240</v>
      </c>
      <c r="C389">
        <v>0.1</v>
      </c>
      <c r="D389">
        <v>12</v>
      </c>
      <c r="E389">
        <v>50</v>
      </c>
      <c r="F389">
        <v>36</v>
      </c>
      <c r="G389" s="3">
        <f t="shared" si="212"/>
        <v>3</v>
      </c>
      <c r="Q389">
        <v>37.700000000000003</v>
      </c>
      <c r="R389">
        <v>5</v>
      </c>
      <c r="S389">
        <v>2.2999999999999998</v>
      </c>
      <c r="T389">
        <v>26.1</v>
      </c>
      <c r="U389">
        <v>0.4</v>
      </c>
      <c r="V389">
        <f t="shared" si="217"/>
        <v>1.5915119363395223</v>
      </c>
      <c r="W389">
        <f t="shared" si="218"/>
        <v>0.51923076923076916</v>
      </c>
      <c r="X389">
        <v>28.5</v>
      </c>
      <c r="Y389" s="3">
        <f>(0.338*Q389)+1.428*(R389-(T389/8))</f>
        <v>15.223750000000001</v>
      </c>
      <c r="Z389">
        <v>45</v>
      </c>
      <c r="AA389">
        <v>4.5999999999999996</v>
      </c>
      <c r="AB389">
        <v>2.9</v>
      </c>
      <c r="AC389">
        <v>8.6999999999999993</v>
      </c>
      <c r="AD389">
        <v>0.6</v>
      </c>
      <c r="AE389">
        <f t="shared" si="202"/>
        <v>1.2266666666666666</v>
      </c>
      <c r="AF389">
        <f t="shared" si="194"/>
        <v>0.14499999999999999</v>
      </c>
      <c r="AG389" s="3">
        <v>38.299999999999997</v>
      </c>
      <c r="AH389">
        <f t="shared" si="216"/>
        <v>20.225850000000001</v>
      </c>
      <c r="AI389" s="3">
        <v>59</v>
      </c>
    </row>
    <row r="390" spans="1:38" x14ac:dyDescent="0.5">
      <c r="A390">
        <v>60</v>
      </c>
      <c r="B390" s="4">
        <v>180</v>
      </c>
      <c r="C390">
        <v>0.1</v>
      </c>
      <c r="D390">
        <v>12</v>
      </c>
      <c r="E390">
        <v>50</v>
      </c>
      <c r="F390">
        <v>36</v>
      </c>
      <c r="G390" s="3">
        <f t="shared" si="212"/>
        <v>3</v>
      </c>
      <c r="Q390">
        <v>26.8</v>
      </c>
      <c r="R390">
        <v>3.4</v>
      </c>
      <c r="S390">
        <v>1.7</v>
      </c>
      <c r="T390">
        <v>22.8</v>
      </c>
      <c r="U390">
        <v>0.4</v>
      </c>
      <c r="V390">
        <f t="shared" si="217"/>
        <v>1.5223880597014925</v>
      </c>
      <c r="W390">
        <f t="shared" si="218"/>
        <v>0.63805970149253732</v>
      </c>
      <c r="X390">
        <v>44.8</v>
      </c>
      <c r="Y390" s="3">
        <f t="shared" si="219"/>
        <v>9.8437999999999999</v>
      </c>
      <c r="Z390">
        <v>28.9</v>
      </c>
      <c r="AA390">
        <v>3.4</v>
      </c>
      <c r="AB390">
        <v>1.8</v>
      </c>
      <c r="AC390">
        <v>16.2</v>
      </c>
      <c r="AD390">
        <v>0.2</v>
      </c>
      <c r="AE390">
        <f t="shared" si="202"/>
        <v>1.411764705882353</v>
      </c>
      <c r="AF390">
        <f t="shared" si="194"/>
        <v>0.42041522491349481</v>
      </c>
      <c r="AG390" s="3">
        <v>49.5</v>
      </c>
      <c r="AH390">
        <f t="shared" si="216"/>
        <v>11.7317</v>
      </c>
      <c r="AI390" s="3">
        <v>80</v>
      </c>
    </row>
    <row r="391" spans="1:38" x14ac:dyDescent="0.5">
      <c r="A391">
        <v>60</v>
      </c>
      <c r="B391" s="4">
        <v>210</v>
      </c>
      <c r="C391">
        <v>0.1</v>
      </c>
      <c r="D391">
        <v>12</v>
      </c>
      <c r="E391">
        <v>50</v>
      </c>
      <c r="F391">
        <v>36</v>
      </c>
      <c r="G391" s="3">
        <f t="shared" si="212"/>
        <v>3</v>
      </c>
      <c r="Q391">
        <v>26.8</v>
      </c>
      <c r="R391">
        <v>3.4</v>
      </c>
      <c r="S391">
        <v>1.7</v>
      </c>
      <c r="T391">
        <v>22.8</v>
      </c>
      <c r="U391">
        <v>0.4</v>
      </c>
      <c r="V391">
        <f t="shared" ref="V391:V393" si="220">(R391/1)/(Q391/12)</f>
        <v>1.5223880597014925</v>
      </c>
      <c r="W391">
        <f t="shared" ref="W391:W393" si="221">(T391/16)/(Q391/12)</f>
        <v>0.63805970149253732</v>
      </c>
      <c r="X391">
        <v>44.8</v>
      </c>
      <c r="Y391" s="3">
        <f t="shared" ref="Y391:Y393" si="222">(0.338*Q391)+1.428*(R391-(T391/8))</f>
        <v>9.8437999999999999</v>
      </c>
      <c r="Z391">
        <v>31.4</v>
      </c>
      <c r="AA391">
        <v>3.5</v>
      </c>
      <c r="AB391">
        <v>1.9</v>
      </c>
      <c r="AC391">
        <v>9.1</v>
      </c>
      <c r="AD391">
        <v>0.4</v>
      </c>
      <c r="AE391">
        <f t="shared" si="202"/>
        <v>1.3375796178343948</v>
      </c>
      <c r="AF391">
        <f t="shared" si="194"/>
        <v>0.21735668789808915</v>
      </c>
      <c r="AG391" s="3">
        <v>53.7</v>
      </c>
      <c r="AH391">
        <f t="shared" si="216"/>
        <v>13.98685</v>
      </c>
      <c r="AI391" s="3">
        <v>77</v>
      </c>
    </row>
    <row r="392" spans="1:38" x14ac:dyDescent="0.5">
      <c r="A392">
        <v>60</v>
      </c>
      <c r="B392" s="4">
        <v>240</v>
      </c>
      <c r="C392">
        <v>0.1</v>
      </c>
      <c r="D392">
        <v>12</v>
      </c>
      <c r="E392">
        <v>50</v>
      </c>
      <c r="F392">
        <v>36</v>
      </c>
      <c r="G392" s="3">
        <f t="shared" si="212"/>
        <v>3</v>
      </c>
      <c r="Q392">
        <v>26.8</v>
      </c>
      <c r="R392">
        <v>3.4</v>
      </c>
      <c r="S392">
        <v>1.7</v>
      </c>
      <c r="T392">
        <v>22.8</v>
      </c>
      <c r="U392">
        <v>0.4</v>
      </c>
      <c r="V392">
        <f t="shared" si="220"/>
        <v>1.5223880597014925</v>
      </c>
      <c r="W392">
        <f t="shared" si="221"/>
        <v>0.63805970149253732</v>
      </c>
      <c r="X392">
        <v>44.8</v>
      </c>
      <c r="Y392" s="3">
        <f t="shared" si="222"/>
        <v>9.8437999999999999</v>
      </c>
      <c r="Z392">
        <v>32.5</v>
      </c>
      <c r="AA392">
        <v>3.3</v>
      </c>
      <c r="AB392">
        <v>1.9</v>
      </c>
      <c r="AC392">
        <v>3.2</v>
      </c>
      <c r="AD392">
        <v>0.5</v>
      </c>
      <c r="AE392">
        <f t="shared" si="202"/>
        <v>1.2184615384615383</v>
      </c>
      <c r="AF392">
        <f t="shared" si="194"/>
        <v>7.3846153846153853E-2</v>
      </c>
      <c r="AG392" s="3">
        <v>58.6</v>
      </c>
      <c r="AH392">
        <f t="shared" si="216"/>
        <v>15.126200000000001</v>
      </c>
      <c r="AI392" s="3">
        <v>68</v>
      </c>
    </row>
    <row r="393" spans="1:38" x14ac:dyDescent="0.5">
      <c r="A393">
        <v>60</v>
      </c>
      <c r="B393" s="4">
        <v>180</v>
      </c>
      <c r="C393">
        <v>0.1</v>
      </c>
      <c r="D393">
        <v>12</v>
      </c>
      <c r="E393">
        <v>50</v>
      </c>
      <c r="F393">
        <v>36</v>
      </c>
      <c r="G393" s="3">
        <f t="shared" si="212"/>
        <v>3</v>
      </c>
      <c r="Q393">
        <v>28.2</v>
      </c>
      <c r="R393">
        <v>3.6</v>
      </c>
      <c r="S393">
        <v>1.7</v>
      </c>
      <c r="T393">
        <v>20.3</v>
      </c>
      <c r="U393">
        <v>0.4</v>
      </c>
      <c r="V393">
        <f t="shared" si="220"/>
        <v>1.5319148936170213</v>
      </c>
      <c r="W393">
        <f t="shared" si="221"/>
        <v>0.53989361702127658</v>
      </c>
      <c r="X393">
        <v>45.7</v>
      </c>
      <c r="Y393" s="3">
        <f t="shared" si="222"/>
        <v>11.048850000000002</v>
      </c>
      <c r="Z393">
        <v>36.700000000000003</v>
      </c>
      <c r="AA393">
        <v>4.2</v>
      </c>
      <c r="AB393">
        <v>2.2999999999999998</v>
      </c>
      <c r="AC393">
        <v>12.9</v>
      </c>
      <c r="AD393">
        <v>0.5</v>
      </c>
      <c r="AE393">
        <f t="shared" si="202"/>
        <v>1.3732970027247955</v>
      </c>
      <c r="AF393">
        <f t="shared" si="194"/>
        <v>0.26362397820163486</v>
      </c>
      <c r="AG393" s="3">
        <v>43.4</v>
      </c>
      <c r="AH393">
        <f t="shared" si="216"/>
        <v>16.099550000000001</v>
      </c>
      <c r="AI393" s="3">
        <v>88</v>
      </c>
    </row>
    <row r="394" spans="1:38" x14ac:dyDescent="0.5">
      <c r="A394">
        <v>60</v>
      </c>
      <c r="B394" s="4">
        <v>210</v>
      </c>
      <c r="C394">
        <v>0.1</v>
      </c>
      <c r="D394">
        <v>12</v>
      </c>
      <c r="E394">
        <v>50</v>
      </c>
      <c r="F394">
        <v>36</v>
      </c>
      <c r="G394" s="3">
        <f t="shared" si="212"/>
        <v>3</v>
      </c>
      <c r="Q394">
        <v>28.2</v>
      </c>
      <c r="R394">
        <v>3.6</v>
      </c>
      <c r="S394">
        <v>1.7</v>
      </c>
      <c r="T394">
        <v>20.3</v>
      </c>
      <c r="U394">
        <v>0.4</v>
      </c>
      <c r="V394">
        <f t="shared" ref="V394:V396" si="223">(R394/1)/(Q394/12)</f>
        <v>1.5319148936170213</v>
      </c>
      <c r="W394">
        <f t="shared" ref="W394:W396" si="224">(T394/16)/(Q394/12)</f>
        <v>0.53989361702127658</v>
      </c>
      <c r="X394">
        <v>45.7</v>
      </c>
      <c r="Y394" s="3">
        <f t="shared" ref="Y394:Y395" si="225">(0.338*Q394)+1.428*(R394-(T394/8))</f>
        <v>11.048850000000002</v>
      </c>
      <c r="Z394">
        <v>35.5</v>
      </c>
      <c r="AA394">
        <v>3.8</v>
      </c>
      <c r="AB394">
        <v>2.1</v>
      </c>
      <c r="AC394">
        <v>13.6</v>
      </c>
      <c r="AD394">
        <v>0.4</v>
      </c>
      <c r="AE394">
        <f t="shared" si="202"/>
        <v>1.284507042253521</v>
      </c>
      <c r="AF394">
        <f t="shared" si="194"/>
        <v>0.28732394366197184</v>
      </c>
      <c r="AG394" s="3">
        <v>44.6</v>
      </c>
      <c r="AH394">
        <f t="shared" si="216"/>
        <v>14.9978</v>
      </c>
      <c r="AI394" s="3">
        <v>84</v>
      </c>
    </row>
    <row r="395" spans="1:38" x14ac:dyDescent="0.5">
      <c r="A395">
        <v>60</v>
      </c>
      <c r="B395" s="4">
        <v>240</v>
      </c>
      <c r="C395">
        <v>0.1</v>
      </c>
      <c r="D395">
        <v>12</v>
      </c>
      <c r="E395">
        <v>50</v>
      </c>
      <c r="F395">
        <v>36</v>
      </c>
      <c r="G395" s="3">
        <f t="shared" si="212"/>
        <v>3</v>
      </c>
      <c r="Q395">
        <v>28.2</v>
      </c>
      <c r="R395">
        <v>3.6</v>
      </c>
      <c r="S395">
        <v>1.7</v>
      </c>
      <c r="T395">
        <v>20.3</v>
      </c>
      <c r="U395">
        <v>0.4</v>
      </c>
      <c r="V395">
        <f t="shared" si="223"/>
        <v>1.5319148936170213</v>
      </c>
      <c r="W395">
        <f t="shared" si="224"/>
        <v>0.53989361702127658</v>
      </c>
      <c r="X395">
        <v>45.7</v>
      </c>
      <c r="Y395" s="3">
        <f t="shared" si="225"/>
        <v>11.048850000000002</v>
      </c>
      <c r="Z395">
        <v>37.700000000000003</v>
      </c>
      <c r="AA395">
        <v>3.9</v>
      </c>
      <c r="AB395">
        <v>2.2000000000000002</v>
      </c>
      <c r="AC395">
        <v>6</v>
      </c>
      <c r="AD395">
        <v>0.3</v>
      </c>
      <c r="AE395">
        <f t="shared" si="202"/>
        <v>1.2413793103448274</v>
      </c>
      <c r="AF395">
        <f t="shared" si="194"/>
        <v>0.11936339522546417</v>
      </c>
      <c r="AG395" s="3">
        <v>49.9</v>
      </c>
      <c r="AH395">
        <f t="shared" si="216"/>
        <v>17.2408</v>
      </c>
      <c r="AI395" s="3">
        <v>71</v>
      </c>
    </row>
    <row r="396" spans="1:38" x14ac:dyDescent="0.5">
      <c r="A396">
        <v>120</v>
      </c>
      <c r="B396" s="4">
        <v>160</v>
      </c>
      <c r="C396">
        <v>0.1</v>
      </c>
      <c r="D396">
        <v>15</v>
      </c>
      <c r="E396">
        <v>200</v>
      </c>
      <c r="F396">
        <v>135</v>
      </c>
      <c r="G396" s="3">
        <f t="shared" si="212"/>
        <v>9</v>
      </c>
      <c r="O396">
        <v>87.69</v>
      </c>
      <c r="P396" s="3">
        <v>3.66</v>
      </c>
      <c r="Q396">
        <v>46.59</v>
      </c>
      <c r="R396">
        <v>6.91</v>
      </c>
      <c r="S396">
        <v>10.53</v>
      </c>
      <c r="T396">
        <v>35.4</v>
      </c>
      <c r="U396">
        <v>0.56999999999999995</v>
      </c>
      <c r="V396">
        <f t="shared" si="223"/>
        <v>1.7797810688989053</v>
      </c>
      <c r="W396">
        <f t="shared" si="224"/>
        <v>0.56986477784932388</v>
      </c>
      <c r="X396">
        <v>8.65</v>
      </c>
      <c r="Y396" s="3">
        <v>18.100000000000001</v>
      </c>
      <c r="Z396">
        <v>47.33</v>
      </c>
      <c r="AA396">
        <v>7.01</v>
      </c>
      <c r="AB396">
        <v>9.6</v>
      </c>
      <c r="AC396">
        <v>35.299999999999997</v>
      </c>
      <c r="AD396">
        <v>0.76</v>
      </c>
      <c r="AE396">
        <f t="shared" si="202"/>
        <v>1.7773082611451512</v>
      </c>
      <c r="AF396">
        <f t="shared" si="194"/>
        <v>0.55937037819564761</v>
      </c>
      <c r="AG396" s="3">
        <v>5.6</v>
      </c>
      <c r="AH396">
        <v>18.399999999999999</v>
      </c>
      <c r="AI396" s="3">
        <v>57.69</v>
      </c>
      <c r="AJ396" s="2" t="s">
        <v>114</v>
      </c>
      <c r="AK396" t="s">
        <v>115</v>
      </c>
      <c r="AL396">
        <v>42</v>
      </c>
    </row>
    <row r="397" spans="1:38" x14ac:dyDescent="0.5">
      <c r="A397">
        <v>120</v>
      </c>
      <c r="B397" s="4">
        <v>160</v>
      </c>
      <c r="C397">
        <v>0.1</v>
      </c>
      <c r="D397">
        <v>15</v>
      </c>
      <c r="E397">
        <v>200</v>
      </c>
      <c r="F397">
        <v>135</v>
      </c>
      <c r="G397" s="3">
        <f t="shared" ref="G397:G404" si="226">F397/D397</f>
        <v>9</v>
      </c>
      <c r="O397">
        <v>87.69</v>
      </c>
      <c r="P397" s="3">
        <v>3.66</v>
      </c>
      <c r="Q397">
        <v>46.59</v>
      </c>
      <c r="R397">
        <v>6.91</v>
      </c>
      <c r="S397">
        <v>10.53</v>
      </c>
      <c r="T397">
        <v>35.4</v>
      </c>
      <c r="U397">
        <v>0.56999999999999995</v>
      </c>
      <c r="V397">
        <f t="shared" ref="V397:V400" si="227">(R397/1)/(Q397/12)</f>
        <v>1.7797810688989053</v>
      </c>
      <c r="W397">
        <f t="shared" ref="W397:W400" si="228">(T397/16)/(Q397/12)</f>
        <v>0.56986477784932388</v>
      </c>
      <c r="X397">
        <v>8.65</v>
      </c>
      <c r="Y397" s="3">
        <v>18.100000000000001</v>
      </c>
      <c r="Z397">
        <v>47.25</v>
      </c>
      <c r="AA397">
        <v>7.04</v>
      </c>
      <c r="AB397">
        <v>9.5500000000000007</v>
      </c>
      <c r="AC397">
        <v>35.44</v>
      </c>
      <c r="AD397">
        <v>0.72</v>
      </c>
      <c r="AE397">
        <f t="shared" si="202"/>
        <v>1.7879365079365079</v>
      </c>
      <c r="AF397">
        <f t="shared" si="194"/>
        <v>0.56253968253968245</v>
      </c>
      <c r="AG397" s="3">
        <v>6.32</v>
      </c>
      <c r="AH397">
        <v>18.39</v>
      </c>
      <c r="AI397" s="3">
        <v>60.18</v>
      </c>
      <c r="AJ397" s="2"/>
    </row>
    <row r="398" spans="1:38" x14ac:dyDescent="0.5">
      <c r="A398">
        <v>120</v>
      </c>
      <c r="B398" s="4">
        <v>160</v>
      </c>
      <c r="C398">
        <v>0.1</v>
      </c>
      <c r="D398">
        <v>15</v>
      </c>
      <c r="E398">
        <v>200</v>
      </c>
      <c r="F398">
        <v>135</v>
      </c>
      <c r="G398" s="3">
        <f t="shared" si="226"/>
        <v>9</v>
      </c>
      <c r="O398">
        <v>87.69</v>
      </c>
      <c r="P398" s="3">
        <v>3.66</v>
      </c>
      <c r="Q398">
        <v>46.59</v>
      </c>
      <c r="R398">
        <v>6.91</v>
      </c>
      <c r="S398">
        <v>10.53</v>
      </c>
      <c r="T398">
        <v>35.4</v>
      </c>
      <c r="U398">
        <v>0.56999999999999995</v>
      </c>
      <c r="V398">
        <f t="shared" si="227"/>
        <v>1.7797810688989053</v>
      </c>
      <c r="W398">
        <f t="shared" si="228"/>
        <v>0.56986477784932388</v>
      </c>
      <c r="X398">
        <v>8.65</v>
      </c>
      <c r="Y398" s="3">
        <v>18.100000000000001</v>
      </c>
      <c r="Z398">
        <v>47.69</v>
      </c>
      <c r="AA398">
        <v>7.03</v>
      </c>
      <c r="AB398">
        <v>9.59</v>
      </c>
      <c r="AC398">
        <v>34.85</v>
      </c>
      <c r="AD398">
        <v>0.84</v>
      </c>
      <c r="AE398">
        <f t="shared" si="202"/>
        <v>1.7689243027888446</v>
      </c>
      <c r="AF398">
        <f t="shared" si="194"/>
        <v>0.5480708743971483</v>
      </c>
      <c r="AG398" s="3">
        <v>5.67</v>
      </c>
      <c r="AH398">
        <v>18.63</v>
      </c>
      <c r="AI398" s="3">
        <v>58.99</v>
      </c>
      <c r="AJ398" s="2"/>
    </row>
    <row r="399" spans="1:38" x14ac:dyDescent="0.5">
      <c r="A399">
        <v>120</v>
      </c>
      <c r="B399" s="4">
        <v>160</v>
      </c>
      <c r="C399">
        <v>0.1</v>
      </c>
      <c r="D399">
        <v>15</v>
      </c>
      <c r="E399">
        <v>200</v>
      </c>
      <c r="F399">
        <v>135</v>
      </c>
      <c r="G399" s="3">
        <f t="shared" ref="G399" si="229">F399/D399</f>
        <v>9</v>
      </c>
      <c r="O399">
        <v>87.69</v>
      </c>
      <c r="P399" s="3">
        <v>3.66</v>
      </c>
      <c r="Q399">
        <v>46.59</v>
      </c>
      <c r="R399">
        <v>6.91</v>
      </c>
      <c r="S399">
        <v>10.53</v>
      </c>
      <c r="T399">
        <v>35.4</v>
      </c>
      <c r="U399">
        <v>0.56999999999999995</v>
      </c>
      <c r="V399">
        <f t="shared" si="227"/>
        <v>1.7797810688989053</v>
      </c>
      <c r="W399">
        <f t="shared" si="228"/>
        <v>0.56986477784932388</v>
      </c>
      <c r="X399">
        <v>8.65</v>
      </c>
      <c r="Y399" s="3">
        <v>18.100000000000001</v>
      </c>
      <c r="Z399">
        <v>47.15</v>
      </c>
      <c r="AA399">
        <v>7.05</v>
      </c>
      <c r="AB399">
        <v>9.7200000000000006</v>
      </c>
      <c r="AC399">
        <v>35.11</v>
      </c>
      <c r="AD399">
        <v>0.97</v>
      </c>
      <c r="AE399">
        <f t="shared" si="202"/>
        <v>1.794273594909862</v>
      </c>
      <c r="AF399">
        <f t="shared" si="194"/>
        <v>0.55848356309650049</v>
      </c>
      <c r="AG399" s="3">
        <v>6.28</v>
      </c>
      <c r="AH399">
        <v>18.43</v>
      </c>
      <c r="AI399" s="3">
        <v>63.09</v>
      </c>
      <c r="AJ399" s="2"/>
    </row>
    <row r="400" spans="1:38" x14ac:dyDescent="0.5">
      <c r="A400">
        <v>120</v>
      </c>
      <c r="B400" s="4">
        <v>160</v>
      </c>
      <c r="C400">
        <v>0.1</v>
      </c>
      <c r="D400">
        <v>15</v>
      </c>
      <c r="E400">
        <v>200</v>
      </c>
      <c r="F400">
        <v>135</v>
      </c>
      <c r="G400" s="3">
        <f t="shared" si="226"/>
        <v>9</v>
      </c>
      <c r="O400">
        <v>87.69</v>
      </c>
      <c r="P400" s="3">
        <v>3.66</v>
      </c>
      <c r="Q400">
        <v>46.59</v>
      </c>
      <c r="R400">
        <v>6.91</v>
      </c>
      <c r="S400">
        <v>10.53</v>
      </c>
      <c r="T400">
        <v>35.4</v>
      </c>
      <c r="U400">
        <v>0.56999999999999995</v>
      </c>
      <c r="V400">
        <f t="shared" si="227"/>
        <v>1.7797810688989053</v>
      </c>
      <c r="W400">
        <f t="shared" si="228"/>
        <v>0.56986477784932388</v>
      </c>
      <c r="X400">
        <v>8.65</v>
      </c>
      <c r="Y400" s="3">
        <v>18.100000000000001</v>
      </c>
      <c r="Z400">
        <v>46.96</v>
      </c>
      <c r="AA400">
        <v>6.97</v>
      </c>
      <c r="AB400">
        <v>9.82</v>
      </c>
      <c r="AC400">
        <v>34.770000000000003</v>
      </c>
      <c r="AD400">
        <v>1.48</v>
      </c>
      <c r="AE400">
        <f t="shared" si="202"/>
        <v>1.7810902896081771</v>
      </c>
      <c r="AF400">
        <f t="shared" si="194"/>
        <v>0.5553130323679728</v>
      </c>
      <c r="AG400" s="3">
        <v>6.37</v>
      </c>
      <c r="AH400">
        <v>18.329999999999998</v>
      </c>
      <c r="AI400" s="3">
        <v>59.97</v>
      </c>
      <c r="AJ400" s="2"/>
    </row>
    <row r="401" spans="1:38" x14ac:dyDescent="0.5">
      <c r="A401">
        <v>120</v>
      </c>
      <c r="B401" s="4">
        <v>180</v>
      </c>
      <c r="C401">
        <v>0.1</v>
      </c>
      <c r="D401">
        <v>15</v>
      </c>
      <c r="E401">
        <v>200</v>
      </c>
      <c r="F401">
        <v>135</v>
      </c>
      <c r="G401" s="3">
        <f t="shared" si="226"/>
        <v>9</v>
      </c>
      <c r="O401">
        <v>87.69</v>
      </c>
      <c r="P401" s="3">
        <v>3.66</v>
      </c>
      <c r="Q401">
        <v>46.59</v>
      </c>
      <c r="R401">
        <v>6.91</v>
      </c>
      <c r="S401">
        <v>10.53</v>
      </c>
      <c r="T401">
        <v>35.4</v>
      </c>
      <c r="U401">
        <v>0.56999999999999995</v>
      </c>
      <c r="V401">
        <f t="shared" ref="V401:V404" si="230">(R401/1)/(Q401/12)</f>
        <v>1.7797810688989053</v>
      </c>
      <c r="W401">
        <f t="shared" ref="W401:W404" si="231">(T401/16)/(Q401/12)</f>
        <v>0.56986477784932388</v>
      </c>
      <c r="X401">
        <v>8.65</v>
      </c>
      <c r="Y401" s="3">
        <v>18.100000000000001</v>
      </c>
      <c r="Z401">
        <v>49.08</v>
      </c>
      <c r="AA401">
        <v>7.14</v>
      </c>
      <c r="AB401">
        <v>9.2100000000000009</v>
      </c>
      <c r="AC401">
        <v>33.869999999999997</v>
      </c>
      <c r="AD401">
        <v>0.7</v>
      </c>
      <c r="AE401">
        <f t="shared" si="202"/>
        <v>1.745721271393643</v>
      </c>
      <c r="AF401">
        <f t="shared" si="194"/>
        <v>0.51757334963325186</v>
      </c>
      <c r="AG401" s="3">
        <v>6.1</v>
      </c>
      <c r="AH401">
        <v>19.41</v>
      </c>
      <c r="AI401" s="3">
        <v>47.26</v>
      </c>
      <c r="AJ401" s="2"/>
    </row>
    <row r="402" spans="1:38" x14ac:dyDescent="0.5">
      <c r="A402">
        <v>120</v>
      </c>
      <c r="B402" s="4">
        <v>180</v>
      </c>
      <c r="C402">
        <v>0.1</v>
      </c>
      <c r="D402">
        <v>15</v>
      </c>
      <c r="E402">
        <v>200</v>
      </c>
      <c r="F402">
        <v>135</v>
      </c>
      <c r="G402" s="3">
        <f t="shared" si="226"/>
        <v>9</v>
      </c>
      <c r="O402">
        <v>87.69</v>
      </c>
      <c r="P402" s="3">
        <v>3.66</v>
      </c>
      <c r="Q402">
        <v>46.59</v>
      </c>
      <c r="R402">
        <v>6.91</v>
      </c>
      <c r="S402">
        <v>10.53</v>
      </c>
      <c r="T402">
        <v>35.4</v>
      </c>
      <c r="U402">
        <v>0.56999999999999995</v>
      </c>
      <c r="V402">
        <f t="shared" si="230"/>
        <v>1.7797810688989053</v>
      </c>
      <c r="W402">
        <f t="shared" si="231"/>
        <v>0.56986477784932388</v>
      </c>
      <c r="X402">
        <v>8.65</v>
      </c>
      <c r="Y402" s="3">
        <v>18.100000000000001</v>
      </c>
      <c r="Z402">
        <v>49.18</v>
      </c>
      <c r="AA402">
        <v>7.16</v>
      </c>
      <c r="AB402">
        <v>9.2200000000000006</v>
      </c>
      <c r="AC402">
        <v>33.69</v>
      </c>
      <c r="AD402">
        <v>0.75</v>
      </c>
      <c r="AE402">
        <f t="shared" si="202"/>
        <v>1.74705164701098</v>
      </c>
      <c r="AF402">
        <f t="shared" si="194"/>
        <v>0.51377592517283444</v>
      </c>
      <c r="AG402" s="3">
        <v>5.34</v>
      </c>
      <c r="AH402">
        <v>19.5</v>
      </c>
      <c r="AI402" s="3">
        <v>46.48</v>
      </c>
      <c r="AJ402" s="2"/>
    </row>
    <row r="403" spans="1:38" x14ac:dyDescent="0.5">
      <c r="A403">
        <v>120</v>
      </c>
      <c r="B403" s="4">
        <v>180</v>
      </c>
      <c r="C403">
        <v>0.1</v>
      </c>
      <c r="D403">
        <v>15</v>
      </c>
      <c r="E403">
        <v>200</v>
      </c>
      <c r="F403">
        <v>135</v>
      </c>
      <c r="G403" s="3">
        <f t="shared" si="226"/>
        <v>9</v>
      </c>
      <c r="O403">
        <v>87.69</v>
      </c>
      <c r="P403" s="3">
        <v>3.66</v>
      </c>
      <c r="Q403">
        <v>46.59</v>
      </c>
      <c r="R403">
        <v>6.91</v>
      </c>
      <c r="S403">
        <v>10.53</v>
      </c>
      <c r="T403">
        <v>35.4</v>
      </c>
      <c r="U403">
        <v>0.56999999999999995</v>
      </c>
      <c r="V403">
        <f t="shared" si="230"/>
        <v>1.7797810688989053</v>
      </c>
      <c r="W403">
        <f t="shared" si="231"/>
        <v>0.56986477784932388</v>
      </c>
      <c r="X403">
        <v>8.65</v>
      </c>
      <c r="Y403" s="3">
        <v>18.100000000000001</v>
      </c>
      <c r="Z403">
        <v>49.28</v>
      </c>
      <c r="AA403">
        <v>7.12</v>
      </c>
      <c r="AB403">
        <v>9.19</v>
      </c>
      <c r="AC403">
        <v>33.58</v>
      </c>
      <c r="AD403">
        <v>0.83</v>
      </c>
      <c r="AE403">
        <f t="shared" si="202"/>
        <v>1.7337662337662338</v>
      </c>
      <c r="AF403">
        <f t="shared" si="194"/>
        <v>0.51105925324675328</v>
      </c>
      <c r="AG403" s="3">
        <v>5.82</v>
      </c>
      <c r="AH403">
        <v>19.510000000000002</v>
      </c>
      <c r="AI403" s="3">
        <v>47.31</v>
      </c>
      <c r="AJ403" s="2"/>
    </row>
    <row r="404" spans="1:38" x14ac:dyDescent="0.5">
      <c r="A404">
        <v>120</v>
      </c>
      <c r="B404" s="4">
        <v>180</v>
      </c>
      <c r="C404">
        <v>0.1</v>
      </c>
      <c r="D404">
        <v>15</v>
      </c>
      <c r="E404">
        <v>200</v>
      </c>
      <c r="F404">
        <v>135</v>
      </c>
      <c r="G404" s="3">
        <f t="shared" si="226"/>
        <v>9</v>
      </c>
      <c r="O404">
        <v>87.69</v>
      </c>
      <c r="P404" s="3">
        <v>3.66</v>
      </c>
      <c r="Q404">
        <v>46.59</v>
      </c>
      <c r="R404">
        <v>6.91</v>
      </c>
      <c r="S404">
        <v>10.53</v>
      </c>
      <c r="T404">
        <v>35.4</v>
      </c>
      <c r="U404">
        <v>0.56999999999999995</v>
      </c>
      <c r="V404">
        <f t="shared" si="230"/>
        <v>1.7797810688989053</v>
      </c>
      <c r="W404">
        <f t="shared" si="231"/>
        <v>0.56986477784932388</v>
      </c>
      <c r="X404">
        <v>8.65</v>
      </c>
      <c r="Y404" s="3">
        <v>18.100000000000001</v>
      </c>
      <c r="Z404">
        <v>50.06</v>
      </c>
      <c r="AA404">
        <v>7.06</v>
      </c>
      <c r="AB404">
        <v>9.31</v>
      </c>
      <c r="AC404">
        <v>32.619999999999997</v>
      </c>
      <c r="AD404">
        <v>0.95</v>
      </c>
      <c r="AE404">
        <f t="shared" si="202"/>
        <v>1.692369157011586</v>
      </c>
      <c r="AF404">
        <f t="shared" si="194"/>
        <v>0.48871354374750292</v>
      </c>
      <c r="AG404" s="3">
        <v>6.27</v>
      </c>
      <c r="AH404">
        <v>19.87</v>
      </c>
      <c r="AI404" s="3">
        <v>44.27</v>
      </c>
      <c r="AJ404" s="2"/>
    </row>
    <row r="405" spans="1:38" x14ac:dyDescent="0.5">
      <c r="A405">
        <v>120</v>
      </c>
      <c r="B405" s="4">
        <v>180</v>
      </c>
      <c r="C405">
        <v>0.1</v>
      </c>
      <c r="D405">
        <v>15</v>
      </c>
      <c r="E405">
        <v>200</v>
      </c>
      <c r="F405">
        <v>135</v>
      </c>
      <c r="G405" s="3">
        <f t="shared" ref="G405:G411" si="232">F405/D405</f>
        <v>9</v>
      </c>
      <c r="O405">
        <v>87.69</v>
      </c>
      <c r="P405" s="3">
        <v>3.66</v>
      </c>
      <c r="Q405">
        <v>46.59</v>
      </c>
      <c r="R405">
        <v>6.91</v>
      </c>
      <c r="S405">
        <v>10.53</v>
      </c>
      <c r="T405">
        <v>35.4</v>
      </c>
      <c r="U405">
        <v>0.56999999999999995</v>
      </c>
      <c r="V405">
        <f t="shared" ref="V405:V411" si="233">(R405/1)/(Q405/12)</f>
        <v>1.7797810688989053</v>
      </c>
      <c r="W405">
        <f t="shared" ref="W405:W411" si="234">(T405/16)/(Q405/12)</f>
        <v>0.56986477784932388</v>
      </c>
      <c r="X405">
        <v>8.65</v>
      </c>
      <c r="Y405" s="3">
        <v>18.100000000000001</v>
      </c>
      <c r="Z405">
        <v>50.55</v>
      </c>
      <c r="AA405">
        <v>7.08</v>
      </c>
      <c r="AB405">
        <v>9.42</v>
      </c>
      <c r="AC405">
        <v>31.76</v>
      </c>
      <c r="AD405">
        <v>1.19</v>
      </c>
      <c r="AE405">
        <f t="shared" si="202"/>
        <v>1.6807121661721069</v>
      </c>
      <c r="AF405">
        <f t="shared" si="194"/>
        <v>0.47121661721068259</v>
      </c>
      <c r="AG405" s="3">
        <v>5.59</v>
      </c>
      <c r="AH405">
        <v>20.22</v>
      </c>
      <c r="AI405" s="3">
        <v>46.12</v>
      </c>
    </row>
    <row r="406" spans="1:38" x14ac:dyDescent="0.5">
      <c r="A406">
        <v>120</v>
      </c>
      <c r="B406" s="4">
        <v>200</v>
      </c>
      <c r="C406">
        <v>0.1</v>
      </c>
      <c r="D406">
        <v>15</v>
      </c>
      <c r="E406">
        <v>200</v>
      </c>
      <c r="F406">
        <v>135</v>
      </c>
      <c r="G406" s="3">
        <f t="shared" ref="G406:G409" si="235">F406/D406</f>
        <v>9</v>
      </c>
      <c r="O406">
        <v>87.69</v>
      </c>
      <c r="P406" s="3">
        <v>3.66</v>
      </c>
      <c r="Q406">
        <v>46.59</v>
      </c>
      <c r="R406">
        <v>6.91</v>
      </c>
      <c r="S406">
        <v>10.53</v>
      </c>
      <c r="T406">
        <v>35.4</v>
      </c>
      <c r="U406">
        <v>0.56999999999999995</v>
      </c>
      <c r="V406">
        <f t="shared" ref="V406:V409" si="236">(R406/1)/(Q406/12)</f>
        <v>1.7797810688989053</v>
      </c>
      <c r="W406">
        <f t="shared" ref="W406:W409" si="237">(T406/16)/(Q406/12)</f>
        <v>0.56986477784932388</v>
      </c>
      <c r="X406">
        <v>8.65</v>
      </c>
      <c r="Y406" s="3">
        <v>18.100000000000001</v>
      </c>
      <c r="Z406">
        <v>52.32</v>
      </c>
      <c r="AA406">
        <v>7.12</v>
      </c>
      <c r="AB406">
        <v>8.2799999999999994</v>
      </c>
      <c r="AC406">
        <v>31.6</v>
      </c>
      <c r="AD406">
        <v>0.68</v>
      </c>
      <c r="AE406">
        <f t="shared" si="202"/>
        <v>1.6330275229357798</v>
      </c>
      <c r="AF406">
        <f t="shared" si="194"/>
        <v>0.45298165137614677</v>
      </c>
      <c r="AG406" s="3">
        <v>6.4</v>
      </c>
      <c r="AH406">
        <v>20.89</v>
      </c>
      <c r="AI406" s="3">
        <v>32.68</v>
      </c>
    </row>
    <row r="407" spans="1:38" x14ac:dyDescent="0.5">
      <c r="A407">
        <v>120</v>
      </c>
      <c r="B407" s="4">
        <v>200</v>
      </c>
      <c r="C407">
        <v>0.1</v>
      </c>
      <c r="D407">
        <v>15</v>
      </c>
      <c r="E407">
        <v>200</v>
      </c>
      <c r="F407">
        <v>135</v>
      </c>
      <c r="G407" s="3">
        <f t="shared" si="235"/>
        <v>9</v>
      </c>
      <c r="O407">
        <v>87.69</v>
      </c>
      <c r="P407" s="3">
        <v>3.66</v>
      </c>
      <c r="Q407">
        <v>46.59</v>
      </c>
      <c r="R407">
        <v>6.91</v>
      </c>
      <c r="S407">
        <v>10.53</v>
      </c>
      <c r="T407">
        <v>35.4</v>
      </c>
      <c r="U407">
        <v>0.56999999999999995</v>
      </c>
      <c r="V407">
        <f t="shared" si="236"/>
        <v>1.7797810688989053</v>
      </c>
      <c r="W407">
        <f t="shared" si="237"/>
        <v>0.56986477784932388</v>
      </c>
      <c r="X407">
        <v>8.65</v>
      </c>
      <c r="Y407" s="3">
        <v>18.100000000000001</v>
      </c>
      <c r="Z407">
        <v>52.8</v>
      </c>
      <c r="AA407">
        <v>7.15</v>
      </c>
      <c r="AB407">
        <v>8.3699999999999992</v>
      </c>
      <c r="AC407">
        <v>30.96</v>
      </c>
      <c r="AD407">
        <v>0.72</v>
      </c>
      <c r="AE407">
        <f t="shared" si="202"/>
        <v>1.6250000000000002</v>
      </c>
      <c r="AF407">
        <f t="shared" si="194"/>
        <v>0.43977272727272732</v>
      </c>
      <c r="AG407" s="3">
        <v>6.87</v>
      </c>
      <c r="AH407">
        <v>21.21</v>
      </c>
      <c r="AI407" s="3">
        <v>32.11</v>
      </c>
    </row>
    <row r="408" spans="1:38" x14ac:dyDescent="0.5">
      <c r="A408">
        <v>120</v>
      </c>
      <c r="B408" s="4">
        <v>200</v>
      </c>
      <c r="C408">
        <v>0.1</v>
      </c>
      <c r="D408">
        <v>15</v>
      </c>
      <c r="E408">
        <v>200</v>
      </c>
      <c r="F408">
        <v>135</v>
      </c>
      <c r="G408" s="3">
        <f t="shared" si="235"/>
        <v>9</v>
      </c>
      <c r="O408">
        <v>87.69</v>
      </c>
      <c r="P408" s="3">
        <v>3.66</v>
      </c>
      <c r="Q408">
        <v>46.59</v>
      </c>
      <c r="R408">
        <v>6.91</v>
      </c>
      <c r="S408">
        <v>10.53</v>
      </c>
      <c r="T408">
        <v>35.4</v>
      </c>
      <c r="U408">
        <v>0.56999999999999995</v>
      </c>
      <c r="V408">
        <f t="shared" si="236"/>
        <v>1.7797810688989053</v>
      </c>
      <c r="W408">
        <f t="shared" si="237"/>
        <v>0.56986477784932388</v>
      </c>
      <c r="X408">
        <v>8.65</v>
      </c>
      <c r="Y408" s="3">
        <v>18.100000000000001</v>
      </c>
      <c r="Z408">
        <v>53.07</v>
      </c>
      <c r="AA408">
        <v>7.25</v>
      </c>
      <c r="AB408">
        <v>8.27</v>
      </c>
      <c r="AC408">
        <v>30.68</v>
      </c>
      <c r="AD408">
        <v>0.74</v>
      </c>
      <c r="AE408">
        <f t="shared" si="202"/>
        <v>1.6393442622950818</v>
      </c>
      <c r="AF408">
        <f t="shared" si="194"/>
        <v>0.43357829282080268</v>
      </c>
      <c r="AG408" s="3">
        <v>9.2799999999999994</v>
      </c>
      <c r="AH408">
        <v>21.46</v>
      </c>
      <c r="AI408" s="3">
        <v>32.15</v>
      </c>
    </row>
    <row r="409" spans="1:38" x14ac:dyDescent="0.5">
      <c r="A409">
        <v>120</v>
      </c>
      <c r="B409" s="4">
        <v>200</v>
      </c>
      <c r="C409">
        <v>0.1</v>
      </c>
      <c r="D409">
        <v>15</v>
      </c>
      <c r="E409">
        <v>200</v>
      </c>
      <c r="F409">
        <v>135</v>
      </c>
      <c r="G409" s="3">
        <f t="shared" si="235"/>
        <v>9</v>
      </c>
      <c r="O409">
        <v>87.69</v>
      </c>
      <c r="P409" s="3">
        <v>3.66</v>
      </c>
      <c r="Q409">
        <v>46.59</v>
      </c>
      <c r="R409">
        <v>6.91</v>
      </c>
      <c r="S409">
        <v>10.53</v>
      </c>
      <c r="T409">
        <v>35.4</v>
      </c>
      <c r="U409">
        <v>0.56999999999999995</v>
      </c>
      <c r="V409">
        <f t="shared" si="236"/>
        <v>1.7797810688989053</v>
      </c>
      <c r="W409">
        <f t="shared" si="237"/>
        <v>0.56986477784932388</v>
      </c>
      <c r="X409">
        <v>8.65</v>
      </c>
      <c r="Y409" s="3">
        <v>18.100000000000001</v>
      </c>
      <c r="Z409">
        <v>53.28</v>
      </c>
      <c r="AA409">
        <v>7.16</v>
      </c>
      <c r="AB409">
        <v>8.2799999999999994</v>
      </c>
      <c r="AC409">
        <v>30.4</v>
      </c>
      <c r="AD409">
        <v>0.88</v>
      </c>
      <c r="AE409">
        <f t="shared" si="202"/>
        <v>1.6126126126126126</v>
      </c>
      <c r="AF409">
        <f t="shared" si="194"/>
        <v>0.42792792792792789</v>
      </c>
      <c r="AG409" s="3">
        <v>9.15</v>
      </c>
      <c r="AH409">
        <v>21.49</v>
      </c>
      <c r="AI409" s="3">
        <v>33.76</v>
      </c>
    </row>
    <row r="410" spans="1:38" x14ac:dyDescent="0.5">
      <c r="A410">
        <v>120</v>
      </c>
      <c r="B410" s="4">
        <v>200</v>
      </c>
      <c r="C410">
        <v>0.1</v>
      </c>
      <c r="D410">
        <v>15</v>
      </c>
      <c r="E410">
        <v>200</v>
      </c>
      <c r="F410">
        <v>135</v>
      </c>
      <c r="G410" s="3">
        <f t="shared" si="232"/>
        <v>9</v>
      </c>
      <c r="O410">
        <v>87.69</v>
      </c>
      <c r="P410" s="3">
        <v>3.66</v>
      </c>
      <c r="Q410">
        <v>46.59</v>
      </c>
      <c r="R410">
        <v>6.91</v>
      </c>
      <c r="S410">
        <v>10.53</v>
      </c>
      <c r="T410">
        <v>35.4</v>
      </c>
      <c r="U410">
        <v>0.56999999999999995</v>
      </c>
      <c r="V410">
        <f t="shared" si="233"/>
        <v>1.7797810688989053</v>
      </c>
      <c r="W410">
        <f t="shared" si="234"/>
        <v>0.56986477784932388</v>
      </c>
      <c r="X410">
        <v>8.65</v>
      </c>
      <c r="Y410" s="3">
        <v>18.100000000000001</v>
      </c>
      <c r="Z410">
        <v>53.84</v>
      </c>
      <c r="AA410">
        <v>6.99</v>
      </c>
      <c r="AB410">
        <v>8.25</v>
      </c>
      <c r="AC410">
        <v>29.93</v>
      </c>
      <c r="AD410">
        <v>0.99</v>
      </c>
      <c r="AE410">
        <f t="shared" si="202"/>
        <v>1.5579494799405644</v>
      </c>
      <c r="AF410">
        <f t="shared" si="194"/>
        <v>0.41692979197622582</v>
      </c>
      <c r="AG410" s="3">
        <v>9.26</v>
      </c>
      <c r="AH410">
        <v>21.55</v>
      </c>
      <c r="AI410" s="3">
        <v>29.51</v>
      </c>
    </row>
    <row r="411" spans="1:38" x14ac:dyDescent="0.5">
      <c r="A411">
        <v>120</v>
      </c>
      <c r="B411" s="4">
        <v>220</v>
      </c>
      <c r="C411">
        <v>0.1</v>
      </c>
      <c r="D411">
        <v>15</v>
      </c>
      <c r="E411">
        <v>200</v>
      </c>
      <c r="F411">
        <v>135</v>
      </c>
      <c r="G411" s="3">
        <f t="shared" si="232"/>
        <v>9</v>
      </c>
      <c r="O411">
        <v>87.69</v>
      </c>
      <c r="P411" s="3">
        <v>3.66</v>
      </c>
      <c r="Q411">
        <v>46.59</v>
      </c>
      <c r="R411">
        <v>6.91</v>
      </c>
      <c r="S411">
        <v>10.53</v>
      </c>
      <c r="T411">
        <v>35.4</v>
      </c>
      <c r="U411">
        <v>0.56999999999999995</v>
      </c>
      <c r="V411">
        <f t="shared" si="233"/>
        <v>1.7797810688989053</v>
      </c>
      <c r="W411">
        <f t="shared" si="234"/>
        <v>0.56986477784932388</v>
      </c>
      <c r="X411">
        <v>8.65</v>
      </c>
      <c r="Y411" s="3">
        <v>18.100000000000001</v>
      </c>
      <c r="Z411">
        <v>54.21</v>
      </c>
      <c r="AA411">
        <v>7.02</v>
      </c>
      <c r="AB411">
        <v>6.81</v>
      </c>
      <c r="AC411">
        <v>31.24</v>
      </c>
      <c r="AD411">
        <v>0.72</v>
      </c>
      <c r="AE411">
        <f t="shared" si="202"/>
        <v>1.553956834532374</v>
      </c>
      <c r="AF411">
        <f t="shared" si="194"/>
        <v>0.43220807969009406</v>
      </c>
      <c r="AG411" s="3">
        <v>13.24</v>
      </c>
      <c r="AH411">
        <v>21.47</v>
      </c>
      <c r="AI411" s="3">
        <v>26.86</v>
      </c>
    </row>
    <row r="412" spans="1:38" x14ac:dyDescent="0.5">
      <c r="A412">
        <v>120</v>
      </c>
      <c r="B412" s="4">
        <v>220</v>
      </c>
      <c r="C412">
        <v>0.1</v>
      </c>
      <c r="D412">
        <v>15</v>
      </c>
      <c r="E412">
        <v>200</v>
      </c>
      <c r="F412">
        <v>135</v>
      </c>
      <c r="G412" s="3">
        <f t="shared" ref="G412:G417" si="238">F412/D412</f>
        <v>9</v>
      </c>
      <c r="O412">
        <v>87.69</v>
      </c>
      <c r="P412" s="3">
        <v>3.66</v>
      </c>
      <c r="Q412">
        <v>46.59</v>
      </c>
      <c r="R412">
        <v>6.91</v>
      </c>
      <c r="S412">
        <v>10.53</v>
      </c>
      <c r="T412">
        <v>35.4</v>
      </c>
      <c r="U412">
        <v>0.56999999999999995</v>
      </c>
      <c r="V412">
        <f t="shared" ref="V412:V417" si="239">(R412/1)/(Q412/12)</f>
        <v>1.7797810688989053</v>
      </c>
      <c r="W412">
        <f t="shared" ref="W412:W417" si="240">(T412/16)/(Q412/12)</f>
        <v>0.56986477784932388</v>
      </c>
      <c r="X412">
        <v>8.65</v>
      </c>
      <c r="Y412" s="3">
        <v>18.100000000000001</v>
      </c>
      <c r="Z412">
        <v>54.45</v>
      </c>
      <c r="AA412">
        <v>7.02</v>
      </c>
      <c r="AB412">
        <v>6.75</v>
      </c>
      <c r="AC412">
        <v>31.08</v>
      </c>
      <c r="AD412">
        <v>0.7</v>
      </c>
      <c r="AE412">
        <f t="shared" si="202"/>
        <v>1.5471074380165286</v>
      </c>
      <c r="AF412">
        <f t="shared" si="194"/>
        <v>0.42809917355371896</v>
      </c>
      <c r="AG412" s="3">
        <v>13.71</v>
      </c>
      <c r="AH412">
        <v>21.58</v>
      </c>
      <c r="AI412" s="3">
        <v>24.3</v>
      </c>
    </row>
    <row r="413" spans="1:38" x14ac:dyDescent="0.5">
      <c r="A413">
        <v>120</v>
      </c>
      <c r="B413" s="4">
        <v>220</v>
      </c>
      <c r="C413">
        <v>0.1</v>
      </c>
      <c r="D413">
        <v>15</v>
      </c>
      <c r="E413">
        <v>200</v>
      </c>
      <c r="F413">
        <v>135</v>
      </c>
      <c r="G413" s="3">
        <f t="shared" si="238"/>
        <v>9</v>
      </c>
      <c r="O413">
        <v>87.69</v>
      </c>
      <c r="P413" s="3">
        <v>3.66</v>
      </c>
      <c r="Q413">
        <v>46.59</v>
      </c>
      <c r="R413">
        <v>6.91</v>
      </c>
      <c r="S413">
        <v>10.53</v>
      </c>
      <c r="T413">
        <v>35.4</v>
      </c>
      <c r="U413">
        <v>0.56999999999999995</v>
      </c>
      <c r="V413">
        <f t="shared" si="239"/>
        <v>1.7797810688989053</v>
      </c>
      <c r="W413">
        <f t="shared" si="240"/>
        <v>0.56986477784932388</v>
      </c>
      <c r="X413">
        <v>8.65</v>
      </c>
      <c r="Y413" s="3">
        <v>18.100000000000001</v>
      </c>
      <c r="Z413">
        <v>55.4</v>
      </c>
      <c r="AA413">
        <v>7.16</v>
      </c>
      <c r="AB413">
        <v>6.82</v>
      </c>
      <c r="AC413">
        <v>29.9</v>
      </c>
      <c r="AD413">
        <v>0.72</v>
      </c>
      <c r="AE413">
        <f t="shared" si="202"/>
        <v>1.5509025270758126</v>
      </c>
      <c r="AF413">
        <f t="shared" si="194"/>
        <v>0.40478339350180509</v>
      </c>
      <c r="AG413" s="3">
        <v>13.27</v>
      </c>
      <c r="AH413">
        <v>22.29</v>
      </c>
      <c r="AI413" s="3">
        <v>24.54</v>
      </c>
    </row>
    <row r="414" spans="1:38" x14ac:dyDescent="0.5">
      <c r="A414">
        <v>120</v>
      </c>
      <c r="B414" s="4">
        <v>220</v>
      </c>
      <c r="C414">
        <v>0.1</v>
      </c>
      <c r="D414">
        <v>15</v>
      </c>
      <c r="E414">
        <v>200</v>
      </c>
      <c r="F414">
        <v>135</v>
      </c>
      <c r="G414" s="3">
        <f t="shared" si="238"/>
        <v>9</v>
      </c>
      <c r="O414">
        <v>87.69</v>
      </c>
      <c r="P414" s="3">
        <v>3.66</v>
      </c>
      <c r="Q414">
        <v>46.59</v>
      </c>
      <c r="R414">
        <v>6.91</v>
      </c>
      <c r="S414">
        <v>10.53</v>
      </c>
      <c r="T414">
        <v>35.4</v>
      </c>
      <c r="U414">
        <v>0.56999999999999995</v>
      </c>
      <c r="V414">
        <f t="shared" si="239"/>
        <v>1.7797810688989053</v>
      </c>
      <c r="W414">
        <f t="shared" si="240"/>
        <v>0.56986477784932388</v>
      </c>
      <c r="X414">
        <v>8.65</v>
      </c>
      <c r="Y414" s="3">
        <v>18.100000000000001</v>
      </c>
      <c r="Z414">
        <v>56.14</v>
      </c>
      <c r="AA414">
        <v>7.08</v>
      </c>
      <c r="AB414">
        <v>6.76</v>
      </c>
      <c r="AC414">
        <v>29.29</v>
      </c>
      <c r="AD414">
        <v>0.73</v>
      </c>
      <c r="AE414">
        <f t="shared" si="202"/>
        <v>1.5133594584966155</v>
      </c>
      <c r="AF414">
        <f t="shared" si="194"/>
        <v>0.391298539365871</v>
      </c>
      <c r="AG414" s="3">
        <v>13.68</v>
      </c>
      <c r="AH414">
        <v>22.55</v>
      </c>
      <c r="AI414" s="3">
        <v>24.49</v>
      </c>
    </row>
    <row r="415" spans="1:38" x14ac:dyDescent="0.5">
      <c r="A415">
        <v>120</v>
      </c>
      <c r="B415" s="4">
        <v>220</v>
      </c>
      <c r="C415">
        <v>0.1</v>
      </c>
      <c r="D415">
        <v>15</v>
      </c>
      <c r="E415">
        <v>200</v>
      </c>
      <c r="F415">
        <v>135</v>
      </c>
      <c r="G415" s="3">
        <f t="shared" si="238"/>
        <v>9</v>
      </c>
      <c r="O415">
        <v>87.69</v>
      </c>
      <c r="P415" s="3">
        <v>3.66</v>
      </c>
      <c r="Q415">
        <v>46.59</v>
      </c>
      <c r="R415">
        <v>6.91</v>
      </c>
      <c r="S415">
        <v>10.53</v>
      </c>
      <c r="T415">
        <v>35.4</v>
      </c>
      <c r="U415">
        <v>0.56999999999999995</v>
      </c>
      <c r="V415">
        <f t="shared" si="239"/>
        <v>1.7797810688989053</v>
      </c>
      <c r="W415">
        <f t="shared" si="240"/>
        <v>0.56986477784932388</v>
      </c>
      <c r="X415">
        <v>8.65</v>
      </c>
      <c r="Y415" s="3">
        <v>18.100000000000001</v>
      </c>
      <c r="Z415">
        <v>56.74</v>
      </c>
      <c r="AA415">
        <v>7.05</v>
      </c>
      <c r="AB415">
        <v>6.82</v>
      </c>
      <c r="AC415">
        <v>28.5</v>
      </c>
      <c r="AD415">
        <v>0.89</v>
      </c>
      <c r="AE415">
        <f t="shared" si="202"/>
        <v>1.4910116320056397</v>
      </c>
      <c r="AF415">
        <f t="shared" si="194"/>
        <v>0.37671836446951001</v>
      </c>
      <c r="AG415" s="3">
        <v>13.32</v>
      </c>
      <c r="AH415">
        <v>22.86</v>
      </c>
      <c r="AI415" s="3">
        <v>25.41</v>
      </c>
    </row>
    <row r="416" spans="1:38" x14ac:dyDescent="0.5">
      <c r="A416">
        <v>120</v>
      </c>
      <c r="B416" s="4">
        <v>230</v>
      </c>
      <c r="C416">
        <v>0.1</v>
      </c>
      <c r="D416">
        <v>3</v>
      </c>
      <c r="E416">
        <v>100</v>
      </c>
      <c r="F416">
        <v>60</v>
      </c>
      <c r="G416" s="3">
        <f t="shared" si="238"/>
        <v>20</v>
      </c>
      <c r="O416">
        <v>92.42</v>
      </c>
      <c r="P416" s="3">
        <v>6.18</v>
      </c>
      <c r="Q416">
        <v>43.92</v>
      </c>
      <c r="R416">
        <v>5.81</v>
      </c>
      <c r="S416">
        <v>0.59</v>
      </c>
      <c r="T416">
        <v>47.73</v>
      </c>
      <c r="U416">
        <v>0.55000000000000004</v>
      </c>
      <c r="V416">
        <f t="shared" si="239"/>
        <v>1.5874316939890709</v>
      </c>
      <c r="W416">
        <f t="shared" si="240"/>
        <v>0.81506147540983598</v>
      </c>
      <c r="X416">
        <v>1.4</v>
      </c>
      <c r="Y416" s="3">
        <v>18.63</v>
      </c>
      <c r="Z416">
        <v>61.66</v>
      </c>
      <c r="AA416">
        <v>4.2699999999999996</v>
      </c>
      <c r="AB416">
        <v>0.18</v>
      </c>
      <c r="AC416">
        <v>30.31</v>
      </c>
      <c r="AD416">
        <v>0.68</v>
      </c>
      <c r="AE416">
        <f t="shared" si="202"/>
        <v>0.83100875770353555</v>
      </c>
      <c r="AF416">
        <f t="shared" si="194"/>
        <v>0.36867499189101527</v>
      </c>
      <c r="AG416" s="3">
        <v>2.9</v>
      </c>
      <c r="AH416">
        <v>24.79</v>
      </c>
      <c r="AI416" s="3">
        <v>43.36</v>
      </c>
      <c r="AJ416" s="2" t="s">
        <v>116</v>
      </c>
      <c r="AK416" t="s">
        <v>117</v>
      </c>
      <c r="AL416">
        <v>43</v>
      </c>
    </row>
    <row r="417" spans="1:38" x14ac:dyDescent="0.5">
      <c r="A417">
        <v>30</v>
      </c>
      <c r="B417" s="4">
        <v>250</v>
      </c>
      <c r="C417">
        <v>0.1</v>
      </c>
      <c r="D417">
        <v>20</v>
      </c>
      <c r="E417">
        <v>1000</v>
      </c>
      <c r="F417">
        <v>300</v>
      </c>
      <c r="G417" s="3">
        <f t="shared" si="238"/>
        <v>15</v>
      </c>
      <c r="N417">
        <v>6</v>
      </c>
      <c r="O417">
        <v>85.1</v>
      </c>
      <c r="P417" s="3">
        <v>4.2</v>
      </c>
      <c r="Q417">
        <v>53.7</v>
      </c>
      <c r="R417">
        <v>8.6999999999999993</v>
      </c>
      <c r="S417">
        <v>1.5</v>
      </c>
      <c r="T417">
        <v>36.1</v>
      </c>
      <c r="U417">
        <v>0</v>
      </c>
      <c r="V417">
        <f t="shared" si="239"/>
        <v>1.94413407821229</v>
      </c>
      <c r="W417">
        <f t="shared" si="240"/>
        <v>0.50418994413407814</v>
      </c>
      <c r="X417">
        <v>10.7</v>
      </c>
      <c r="Y417" s="3">
        <v>21.2</v>
      </c>
      <c r="Z417">
        <v>61.9</v>
      </c>
      <c r="AA417">
        <v>7.9</v>
      </c>
      <c r="AB417">
        <v>1.8</v>
      </c>
      <c r="AC417">
        <v>28.4</v>
      </c>
      <c r="AD417">
        <v>0</v>
      </c>
      <c r="AE417">
        <f t="shared" si="202"/>
        <v>1.5315024232633281</v>
      </c>
      <c r="AF417">
        <f t="shared" si="194"/>
        <v>0.34410339256865913</v>
      </c>
      <c r="AG417" s="3">
        <v>4.8</v>
      </c>
      <c r="AH417">
        <v>26.1</v>
      </c>
      <c r="AI417" s="3">
        <v>49.2</v>
      </c>
      <c r="AJ417" s="2" t="s">
        <v>118</v>
      </c>
      <c r="AK417" t="s">
        <v>119</v>
      </c>
      <c r="AL417">
        <v>44</v>
      </c>
    </row>
    <row r="418" spans="1:38" x14ac:dyDescent="0.5">
      <c r="A418">
        <v>30</v>
      </c>
      <c r="B418" s="4">
        <v>275</v>
      </c>
      <c r="C418">
        <v>0.1</v>
      </c>
      <c r="D418">
        <v>20</v>
      </c>
      <c r="E418">
        <v>1000</v>
      </c>
      <c r="F418">
        <v>300</v>
      </c>
      <c r="G418" s="3">
        <f t="shared" ref="G418:G420" si="241">F418/D418</f>
        <v>15</v>
      </c>
      <c r="N418">
        <v>6</v>
      </c>
      <c r="O418">
        <v>85.1</v>
      </c>
      <c r="P418" s="3">
        <v>4.2</v>
      </c>
      <c r="Q418">
        <v>53.7</v>
      </c>
      <c r="R418">
        <v>8.6999999999999993</v>
      </c>
      <c r="S418">
        <v>1.5</v>
      </c>
      <c r="T418">
        <v>36.1</v>
      </c>
      <c r="U418">
        <v>0</v>
      </c>
      <c r="V418">
        <f t="shared" ref="V418:V426" si="242">(R418/1)/(Q418/12)</f>
        <v>1.94413407821229</v>
      </c>
      <c r="W418">
        <f t="shared" ref="W418:W426" si="243">(T418/16)/(Q418/12)</f>
        <v>0.50418994413407814</v>
      </c>
      <c r="X418">
        <v>10.7</v>
      </c>
      <c r="Y418" s="3">
        <v>21.2</v>
      </c>
      <c r="Z418">
        <v>62.6</v>
      </c>
      <c r="AA418">
        <v>7.2</v>
      </c>
      <c r="AB418">
        <v>1.7</v>
      </c>
      <c r="AC418">
        <v>28.5</v>
      </c>
      <c r="AD418">
        <v>0</v>
      </c>
      <c r="AE418">
        <f t="shared" si="202"/>
        <v>1.3801916932907348</v>
      </c>
      <c r="AF418">
        <f t="shared" si="194"/>
        <v>0.34145367412140576</v>
      </c>
      <c r="AG418" s="3">
        <v>4.7</v>
      </c>
      <c r="AH418">
        <v>25.2</v>
      </c>
      <c r="AI418" s="3">
        <v>49.3</v>
      </c>
    </row>
    <row r="419" spans="1:38" x14ac:dyDescent="0.5">
      <c r="A419">
        <v>30</v>
      </c>
      <c r="B419" s="4">
        <v>275</v>
      </c>
      <c r="C419">
        <v>0.1</v>
      </c>
      <c r="D419">
        <v>20</v>
      </c>
      <c r="E419">
        <v>1000</v>
      </c>
      <c r="F419">
        <v>100</v>
      </c>
      <c r="G419" s="3">
        <f t="shared" si="241"/>
        <v>5</v>
      </c>
      <c r="N419">
        <v>6</v>
      </c>
      <c r="O419">
        <v>85.1</v>
      </c>
      <c r="P419" s="3">
        <v>4.2</v>
      </c>
      <c r="Q419">
        <v>53.7</v>
      </c>
      <c r="R419">
        <v>8.6999999999999993</v>
      </c>
      <c r="S419">
        <v>1.5</v>
      </c>
      <c r="T419">
        <v>36.1</v>
      </c>
      <c r="U419">
        <v>0</v>
      </c>
      <c r="V419">
        <f t="shared" si="242"/>
        <v>1.94413407821229</v>
      </c>
      <c r="W419">
        <f t="shared" si="243"/>
        <v>0.50418994413407814</v>
      </c>
      <c r="X419">
        <v>10.7</v>
      </c>
      <c r="Y419" s="3">
        <v>21.2</v>
      </c>
      <c r="Z419">
        <v>64.099999999999994</v>
      </c>
      <c r="AA419">
        <v>7.3</v>
      </c>
      <c r="AB419">
        <v>2.1</v>
      </c>
      <c r="AC419">
        <v>26.5</v>
      </c>
      <c r="AD419">
        <v>0</v>
      </c>
      <c r="AE419">
        <f t="shared" si="202"/>
        <v>1.3666146645865835</v>
      </c>
      <c r="AF419">
        <f t="shared" si="194"/>
        <v>0.3100624024960999</v>
      </c>
      <c r="AG419" s="3">
        <v>5.3</v>
      </c>
      <c r="AH419">
        <v>26.3</v>
      </c>
      <c r="AI419" s="3">
        <v>53.7</v>
      </c>
    </row>
    <row r="420" spans="1:38" x14ac:dyDescent="0.5">
      <c r="A420">
        <v>30</v>
      </c>
      <c r="B420" s="4">
        <v>300</v>
      </c>
      <c r="C420">
        <v>0.1</v>
      </c>
      <c r="D420">
        <v>20</v>
      </c>
      <c r="E420">
        <v>1000</v>
      </c>
      <c r="F420">
        <v>300</v>
      </c>
      <c r="G420" s="3">
        <f t="shared" si="241"/>
        <v>15</v>
      </c>
      <c r="N420">
        <v>6</v>
      </c>
      <c r="O420">
        <v>85.1</v>
      </c>
      <c r="P420" s="3">
        <v>4.2</v>
      </c>
      <c r="Q420">
        <v>53.7</v>
      </c>
      <c r="R420">
        <v>8.6999999999999993</v>
      </c>
      <c r="S420">
        <v>1.5</v>
      </c>
      <c r="T420">
        <v>36.1</v>
      </c>
      <c r="U420">
        <v>0</v>
      </c>
      <c r="V420">
        <f t="shared" si="242"/>
        <v>1.94413407821229</v>
      </c>
      <c r="W420">
        <f t="shared" si="243"/>
        <v>0.50418994413407814</v>
      </c>
      <c r="X420">
        <v>10.7</v>
      </c>
      <c r="Y420" s="3">
        <v>21.2</v>
      </c>
      <c r="Z420">
        <v>64.5</v>
      </c>
      <c r="AA420">
        <v>8</v>
      </c>
      <c r="AB420">
        <v>1.9</v>
      </c>
      <c r="AC420">
        <v>25.6</v>
      </c>
      <c r="AD420">
        <v>0</v>
      </c>
      <c r="AE420">
        <f t="shared" si="202"/>
        <v>1.4883720930232558</v>
      </c>
      <c r="AF420">
        <f t="shared" si="194"/>
        <v>0.29767441860465116</v>
      </c>
      <c r="AG420" s="3">
        <v>3.8</v>
      </c>
      <c r="AH420">
        <v>27.7</v>
      </c>
      <c r="AI420" s="3">
        <v>45.2</v>
      </c>
    </row>
    <row r="421" spans="1:38" x14ac:dyDescent="0.5">
      <c r="A421">
        <v>120</v>
      </c>
      <c r="B421" s="4">
        <v>250</v>
      </c>
      <c r="C421">
        <v>0.1</v>
      </c>
      <c r="D421">
        <v>20</v>
      </c>
      <c r="E421">
        <v>1000</v>
      </c>
      <c r="F421">
        <v>300</v>
      </c>
      <c r="G421" s="3">
        <f t="shared" ref="G421:G422" si="244">F421/D421</f>
        <v>15</v>
      </c>
      <c r="N421">
        <v>6</v>
      </c>
      <c r="O421">
        <v>85.1</v>
      </c>
      <c r="P421" s="3">
        <v>4.2</v>
      </c>
      <c r="Q421">
        <v>53.7</v>
      </c>
      <c r="R421">
        <v>8.6999999999999993</v>
      </c>
      <c r="S421">
        <v>1.5</v>
      </c>
      <c r="T421">
        <v>36.1</v>
      </c>
      <c r="U421">
        <v>0</v>
      </c>
      <c r="V421">
        <f t="shared" si="242"/>
        <v>1.94413407821229</v>
      </c>
      <c r="W421">
        <f t="shared" si="243"/>
        <v>0.50418994413407814</v>
      </c>
      <c r="X421">
        <v>10.7</v>
      </c>
      <c r="Y421" s="3">
        <v>21.2</v>
      </c>
      <c r="Z421">
        <v>64.8</v>
      </c>
      <c r="AA421">
        <v>7.7</v>
      </c>
      <c r="AB421">
        <v>2.4</v>
      </c>
      <c r="AC421">
        <v>25</v>
      </c>
      <c r="AD421">
        <v>0</v>
      </c>
      <c r="AE421">
        <f t="shared" si="202"/>
        <v>1.425925925925926</v>
      </c>
      <c r="AF421">
        <f t="shared" si="194"/>
        <v>0.28935185185185186</v>
      </c>
      <c r="AG421" s="3">
        <v>4.0999999999999996</v>
      </c>
      <c r="AH421">
        <v>27.4</v>
      </c>
      <c r="AI421" s="3">
        <v>53.6</v>
      </c>
    </row>
    <row r="422" spans="1:38" x14ac:dyDescent="0.5">
      <c r="A422">
        <v>120</v>
      </c>
      <c r="B422" s="4">
        <v>275</v>
      </c>
      <c r="C422">
        <v>0.1</v>
      </c>
      <c r="D422">
        <v>20</v>
      </c>
      <c r="E422">
        <v>1000</v>
      </c>
      <c r="F422">
        <v>300</v>
      </c>
      <c r="G422" s="3">
        <f t="shared" si="244"/>
        <v>15</v>
      </c>
      <c r="N422">
        <v>6</v>
      </c>
      <c r="O422">
        <v>85.1</v>
      </c>
      <c r="P422" s="3">
        <v>4.2</v>
      </c>
      <c r="Q422">
        <v>53.7</v>
      </c>
      <c r="R422">
        <v>8.6999999999999993</v>
      </c>
      <c r="S422">
        <v>1.5</v>
      </c>
      <c r="T422">
        <v>36.1</v>
      </c>
      <c r="U422">
        <v>0</v>
      </c>
      <c r="V422">
        <f t="shared" si="242"/>
        <v>1.94413407821229</v>
      </c>
      <c r="W422">
        <f t="shared" si="243"/>
        <v>0.50418994413407814</v>
      </c>
      <c r="X422">
        <v>10.7</v>
      </c>
      <c r="Y422" s="3">
        <v>21.2</v>
      </c>
      <c r="Z422">
        <v>66.7</v>
      </c>
      <c r="AA422">
        <v>7.7</v>
      </c>
      <c r="AB422">
        <v>1.7</v>
      </c>
      <c r="AC422">
        <v>23.8</v>
      </c>
      <c r="AD422">
        <v>0</v>
      </c>
      <c r="AE422">
        <f t="shared" si="202"/>
        <v>1.3853073463268366</v>
      </c>
      <c r="AF422">
        <f t="shared" si="194"/>
        <v>0.26761619190404795</v>
      </c>
      <c r="AG422" s="3">
        <v>4.3</v>
      </c>
      <c r="AH422">
        <v>28.1</v>
      </c>
      <c r="AI422" s="3">
        <v>51.6</v>
      </c>
    </row>
    <row r="423" spans="1:38" x14ac:dyDescent="0.5">
      <c r="A423">
        <v>120</v>
      </c>
      <c r="B423" s="4">
        <v>300</v>
      </c>
      <c r="C423">
        <v>0.1</v>
      </c>
      <c r="D423">
        <v>20</v>
      </c>
      <c r="E423">
        <v>1000</v>
      </c>
      <c r="F423">
        <v>300</v>
      </c>
      <c r="G423" s="3">
        <f t="shared" ref="G423:G424" si="245">F423/D423</f>
        <v>15</v>
      </c>
      <c r="N423">
        <v>6</v>
      </c>
      <c r="O423">
        <v>85.1</v>
      </c>
      <c r="P423" s="3">
        <v>4.2</v>
      </c>
      <c r="Q423">
        <v>53.7</v>
      </c>
      <c r="R423">
        <v>8.6999999999999993</v>
      </c>
      <c r="S423">
        <v>1.5</v>
      </c>
      <c r="T423">
        <v>36.1</v>
      </c>
      <c r="U423">
        <v>0</v>
      </c>
      <c r="V423">
        <f t="shared" si="242"/>
        <v>1.94413407821229</v>
      </c>
      <c r="W423">
        <f t="shared" si="243"/>
        <v>0.50418994413407814</v>
      </c>
      <c r="X423">
        <v>10.7</v>
      </c>
      <c r="Y423" s="3">
        <v>21.2</v>
      </c>
      <c r="Z423">
        <v>62.9</v>
      </c>
      <c r="AA423">
        <v>8</v>
      </c>
      <c r="AB423">
        <v>2.1</v>
      </c>
      <c r="AC423">
        <v>27.1</v>
      </c>
      <c r="AD423">
        <v>0</v>
      </c>
      <c r="AE423">
        <f t="shared" si="202"/>
        <v>1.5262321144674087</v>
      </c>
      <c r="AF423">
        <f t="shared" si="194"/>
        <v>0.3231319554848967</v>
      </c>
      <c r="AG423" s="3">
        <v>3.3</v>
      </c>
      <c r="AH423">
        <v>27.2</v>
      </c>
      <c r="AI423" s="3">
        <v>47.6</v>
      </c>
    </row>
    <row r="424" spans="1:38" x14ac:dyDescent="0.5">
      <c r="A424">
        <v>360</v>
      </c>
      <c r="B424" s="4">
        <v>220</v>
      </c>
      <c r="C424">
        <v>0.1</v>
      </c>
      <c r="D424">
        <v>50</v>
      </c>
      <c r="E424">
        <v>750</v>
      </c>
      <c r="F424">
        <v>500</v>
      </c>
      <c r="G424" s="3">
        <f t="shared" si="245"/>
        <v>10</v>
      </c>
      <c r="N424">
        <v>5.9</v>
      </c>
      <c r="O424">
        <v>77.7</v>
      </c>
      <c r="P424" s="3">
        <v>4.8</v>
      </c>
      <c r="Q424">
        <v>46.2</v>
      </c>
      <c r="R424">
        <v>7.21</v>
      </c>
      <c r="S424">
        <v>9.6999999999999993</v>
      </c>
      <c r="T424">
        <v>25.3</v>
      </c>
      <c r="U424">
        <v>0</v>
      </c>
      <c r="V424">
        <f t="shared" si="242"/>
        <v>1.8727272727272726</v>
      </c>
      <c r="W424">
        <f t="shared" si="243"/>
        <v>0.4107142857142857</v>
      </c>
      <c r="X424">
        <v>11.6</v>
      </c>
      <c r="Y424" s="3">
        <v>15.7</v>
      </c>
      <c r="Z424">
        <v>58.3</v>
      </c>
      <c r="AA424">
        <v>7.19</v>
      </c>
      <c r="AB424">
        <v>9.1999999999999993</v>
      </c>
      <c r="AC424">
        <v>14.6</v>
      </c>
      <c r="AD424">
        <v>0</v>
      </c>
      <c r="AE424">
        <f t="shared" si="202"/>
        <v>1.4799313893653516</v>
      </c>
      <c r="AF424">
        <f t="shared" si="194"/>
        <v>0.18782161234991424</v>
      </c>
      <c r="AG424" s="3">
        <v>10.7</v>
      </c>
      <c r="AH424">
        <v>22.1</v>
      </c>
      <c r="AI424" s="3">
        <v>47.1</v>
      </c>
      <c r="AJ424" s="2" t="s">
        <v>120</v>
      </c>
      <c r="AK424" t="s">
        <v>121</v>
      </c>
      <c r="AL424">
        <v>45</v>
      </c>
    </row>
    <row r="425" spans="1:38" x14ac:dyDescent="0.5">
      <c r="A425">
        <v>360</v>
      </c>
      <c r="B425" s="4">
        <v>220</v>
      </c>
      <c r="C425">
        <v>0.1</v>
      </c>
      <c r="D425">
        <v>50</v>
      </c>
      <c r="E425">
        <v>750</v>
      </c>
      <c r="F425">
        <v>500</v>
      </c>
      <c r="G425" s="3">
        <f t="shared" ref="G425:G426" si="246">F425/D425</f>
        <v>10</v>
      </c>
      <c r="N425">
        <v>6.5</v>
      </c>
      <c r="O425">
        <v>82.8</v>
      </c>
      <c r="P425" s="3">
        <v>7.3</v>
      </c>
      <c r="Q425">
        <v>43.3</v>
      </c>
      <c r="R425">
        <v>6.9</v>
      </c>
      <c r="S425">
        <v>4.4000000000000004</v>
      </c>
      <c r="T425">
        <v>38.6</v>
      </c>
      <c r="U425">
        <v>0</v>
      </c>
      <c r="V425">
        <f t="shared" si="242"/>
        <v>1.9122401847575061</v>
      </c>
      <c r="W425">
        <f t="shared" si="243"/>
        <v>0.66859122401847582</v>
      </c>
      <c r="X425">
        <v>3.4</v>
      </c>
      <c r="Y425" s="3">
        <v>17.7</v>
      </c>
      <c r="Z425">
        <v>66.8</v>
      </c>
      <c r="AA425">
        <v>7.4</v>
      </c>
      <c r="AB425">
        <v>10.8</v>
      </c>
      <c r="AC425">
        <v>14.4</v>
      </c>
      <c r="AD425">
        <v>0</v>
      </c>
      <c r="AE425">
        <f t="shared" si="202"/>
        <v>1.3293413173652695</v>
      </c>
      <c r="AF425">
        <f t="shared" si="194"/>
        <v>0.16167664670658682</v>
      </c>
      <c r="AG425" s="3">
        <v>0.6</v>
      </c>
      <c r="AH425">
        <v>30.4</v>
      </c>
      <c r="AI425" s="3">
        <v>41.5</v>
      </c>
    </row>
    <row r="426" spans="1:38" x14ac:dyDescent="0.5">
      <c r="A426">
        <v>30</v>
      </c>
      <c r="B426" s="4">
        <v>180</v>
      </c>
      <c r="C426">
        <v>0.1</v>
      </c>
      <c r="D426">
        <v>10</v>
      </c>
      <c r="E426">
        <v>500</v>
      </c>
      <c r="F426">
        <v>100</v>
      </c>
      <c r="G426" s="3">
        <f t="shared" si="246"/>
        <v>10</v>
      </c>
      <c r="Q426">
        <v>46.59</v>
      </c>
      <c r="R426">
        <v>6.91</v>
      </c>
      <c r="S426">
        <v>10.53</v>
      </c>
      <c r="T426">
        <v>35.4</v>
      </c>
      <c r="U426">
        <v>0.57099999999999995</v>
      </c>
      <c r="V426">
        <f t="shared" si="242"/>
        <v>1.7797810688989053</v>
      </c>
      <c r="W426">
        <f t="shared" si="243"/>
        <v>0.56986477784932388</v>
      </c>
      <c r="X426">
        <v>5</v>
      </c>
      <c r="Y426" s="3">
        <f>(0.338*Q426)+1.428*(R426-(T426/8))</f>
        <v>19.296000000000003</v>
      </c>
      <c r="Z426">
        <v>49.23</v>
      </c>
      <c r="AA426">
        <v>6.72</v>
      </c>
      <c r="AB426">
        <v>8.2899999999999991</v>
      </c>
      <c r="AC426">
        <v>35.200000000000003</v>
      </c>
      <c r="AD426">
        <v>0.56200000000000006</v>
      </c>
      <c r="AE426">
        <f t="shared" si="202"/>
        <v>1.6380255941499084</v>
      </c>
      <c r="AF426">
        <f t="shared" si="194"/>
        <v>0.53625837903717244</v>
      </c>
      <c r="AH426">
        <f>(0.338*Z426)+1.428*(AA426-(AC426/8))</f>
        <v>19.9527</v>
      </c>
      <c r="AI426" s="3">
        <v>45.7</v>
      </c>
      <c r="AJ426" s="2" t="s">
        <v>122</v>
      </c>
      <c r="AK426" t="s">
        <v>123</v>
      </c>
      <c r="AL426">
        <v>46</v>
      </c>
    </row>
    <row r="427" spans="1:38" x14ac:dyDescent="0.5">
      <c r="A427">
        <v>30</v>
      </c>
      <c r="B427" s="4">
        <v>200</v>
      </c>
      <c r="C427">
        <v>0.1</v>
      </c>
      <c r="D427">
        <v>10</v>
      </c>
      <c r="E427">
        <v>500</v>
      </c>
      <c r="F427">
        <v>100</v>
      </c>
      <c r="G427" s="3">
        <f t="shared" ref="G427:G433" si="247">F427/D427</f>
        <v>10</v>
      </c>
      <c r="Q427">
        <v>46.59</v>
      </c>
      <c r="R427">
        <v>6.91</v>
      </c>
      <c r="S427">
        <v>10.53</v>
      </c>
      <c r="T427">
        <v>35.4</v>
      </c>
      <c r="U427">
        <v>0.57099999999999995</v>
      </c>
      <c r="V427">
        <f t="shared" ref="V427:V432" si="248">(R427/1)/(Q427/12)</f>
        <v>1.7797810688989053</v>
      </c>
      <c r="W427">
        <f t="shared" ref="W427:W432" si="249">(T427/16)/(Q427/12)</f>
        <v>0.56986477784932388</v>
      </c>
      <c r="X427">
        <v>5</v>
      </c>
      <c r="Y427" s="3">
        <f t="shared" ref="Y427:Y432" si="250">(0.338*Q427)+1.428*(R427-(T427/8))</f>
        <v>19.296000000000003</v>
      </c>
      <c r="Z427">
        <v>52.27</v>
      </c>
      <c r="AA427">
        <v>6.55</v>
      </c>
      <c r="AB427">
        <v>7.63</v>
      </c>
      <c r="AC427">
        <v>32.99</v>
      </c>
      <c r="AD427">
        <v>0.55900000000000005</v>
      </c>
      <c r="AE427">
        <f t="shared" si="202"/>
        <v>1.5037306294241437</v>
      </c>
      <c r="AF427">
        <f t="shared" si="194"/>
        <v>0.47335947962502389</v>
      </c>
      <c r="AH427">
        <f t="shared" ref="AH427:AH432" si="251">(0.338*Z427)+1.428*(AA427-(AC427/8))</f>
        <v>21.131945000000002</v>
      </c>
      <c r="AI427" s="3">
        <v>30.6</v>
      </c>
    </row>
    <row r="428" spans="1:38" x14ac:dyDescent="0.5">
      <c r="A428">
        <v>30</v>
      </c>
      <c r="B428" s="4">
        <v>220</v>
      </c>
      <c r="C428">
        <v>0.1</v>
      </c>
      <c r="D428">
        <v>10</v>
      </c>
      <c r="E428">
        <v>500</v>
      </c>
      <c r="F428">
        <v>100</v>
      </c>
      <c r="G428" s="3">
        <f t="shared" si="247"/>
        <v>10</v>
      </c>
      <c r="Q428">
        <v>46.59</v>
      </c>
      <c r="R428">
        <v>6.91</v>
      </c>
      <c r="S428">
        <v>10.53</v>
      </c>
      <c r="T428">
        <v>35.4</v>
      </c>
      <c r="U428">
        <v>0.57099999999999995</v>
      </c>
      <c r="V428">
        <f t="shared" si="248"/>
        <v>1.7797810688989053</v>
      </c>
      <c r="W428">
        <f t="shared" si="249"/>
        <v>0.56986477784932388</v>
      </c>
      <c r="X428">
        <v>5</v>
      </c>
      <c r="Y428" s="3">
        <f t="shared" si="250"/>
        <v>19.296000000000003</v>
      </c>
      <c r="Z428">
        <v>58.08</v>
      </c>
      <c r="AA428">
        <v>7.09</v>
      </c>
      <c r="AB428">
        <v>7.6</v>
      </c>
      <c r="AC428">
        <v>26.84</v>
      </c>
      <c r="AD428">
        <v>0.39200000000000002</v>
      </c>
      <c r="AE428">
        <f t="shared" si="202"/>
        <v>1.4648760330578512</v>
      </c>
      <c r="AF428">
        <f t="shared" si="194"/>
        <v>0.34659090909090912</v>
      </c>
      <c r="AH428">
        <f t="shared" si="251"/>
        <v>24.964620000000004</v>
      </c>
      <c r="AI428" s="3">
        <v>26.5</v>
      </c>
    </row>
    <row r="429" spans="1:38" x14ac:dyDescent="0.5">
      <c r="A429">
        <v>30</v>
      </c>
      <c r="B429" s="4">
        <v>240</v>
      </c>
      <c r="C429">
        <v>0.1</v>
      </c>
      <c r="D429">
        <v>10</v>
      </c>
      <c r="E429">
        <v>500</v>
      </c>
      <c r="F429">
        <v>100</v>
      </c>
      <c r="G429" s="3">
        <f t="shared" si="247"/>
        <v>10</v>
      </c>
      <c r="Q429">
        <v>46.59</v>
      </c>
      <c r="R429">
        <v>6.91</v>
      </c>
      <c r="S429">
        <v>10.53</v>
      </c>
      <c r="T429">
        <v>35.4</v>
      </c>
      <c r="U429">
        <v>0.57099999999999995</v>
      </c>
      <c r="V429">
        <f t="shared" si="248"/>
        <v>1.7797810688989053</v>
      </c>
      <c r="W429">
        <f t="shared" si="249"/>
        <v>0.56986477784932388</v>
      </c>
      <c r="X429">
        <v>5</v>
      </c>
      <c r="Y429" s="3">
        <f t="shared" si="250"/>
        <v>19.296000000000003</v>
      </c>
      <c r="Z429">
        <v>59.21</v>
      </c>
      <c r="AA429">
        <v>6.57</v>
      </c>
      <c r="AB429">
        <v>6.47</v>
      </c>
      <c r="AC429">
        <v>27.37</v>
      </c>
      <c r="AD429">
        <v>0.38100000000000001</v>
      </c>
      <c r="AE429">
        <f t="shared" si="202"/>
        <v>1.3315318358385408</v>
      </c>
      <c r="AF429">
        <f t="shared" si="194"/>
        <v>0.34668974835331867</v>
      </c>
      <c r="AH429">
        <f>(0.338*Z429)+1.428*(AA429-(AC429/8))</f>
        <v>24.509395000000001</v>
      </c>
      <c r="AI429" s="3">
        <v>24.3</v>
      </c>
    </row>
    <row r="430" spans="1:38" x14ac:dyDescent="0.5">
      <c r="A430">
        <v>30</v>
      </c>
      <c r="B430" s="4">
        <v>260</v>
      </c>
      <c r="C430">
        <v>0.1</v>
      </c>
      <c r="D430">
        <v>10</v>
      </c>
      <c r="E430">
        <v>500</v>
      </c>
      <c r="F430">
        <v>100</v>
      </c>
      <c r="G430" s="3">
        <f t="shared" si="247"/>
        <v>10</v>
      </c>
      <c r="Q430">
        <v>46.59</v>
      </c>
      <c r="R430">
        <v>6.91</v>
      </c>
      <c r="S430">
        <v>10.53</v>
      </c>
      <c r="T430">
        <v>35.4</v>
      </c>
      <c r="U430">
        <v>0.57099999999999995</v>
      </c>
      <c r="V430">
        <f t="shared" si="248"/>
        <v>1.7797810688989053</v>
      </c>
      <c r="W430">
        <f t="shared" si="249"/>
        <v>0.56986477784932388</v>
      </c>
      <c r="X430">
        <v>5</v>
      </c>
      <c r="Y430" s="3">
        <f t="shared" si="250"/>
        <v>19.296000000000003</v>
      </c>
      <c r="Z430">
        <v>61.02</v>
      </c>
      <c r="AA430">
        <v>7.25</v>
      </c>
      <c r="AB430">
        <v>6.65</v>
      </c>
      <c r="AC430">
        <v>24.73</v>
      </c>
      <c r="AD430">
        <v>0.34899999999999998</v>
      </c>
      <c r="AE430">
        <f t="shared" si="202"/>
        <v>1.4257620452310718</v>
      </c>
      <c r="AF430">
        <f t="shared" si="194"/>
        <v>0.30395771878072764</v>
      </c>
      <c r="AH430">
        <f t="shared" si="251"/>
        <v>26.563455000000001</v>
      </c>
      <c r="AI430" s="3">
        <v>23.8</v>
      </c>
    </row>
    <row r="431" spans="1:38" x14ac:dyDescent="0.5">
      <c r="A431">
        <v>30</v>
      </c>
      <c r="B431" s="4">
        <v>280</v>
      </c>
      <c r="C431">
        <v>0.1</v>
      </c>
      <c r="D431">
        <v>10</v>
      </c>
      <c r="E431">
        <v>500</v>
      </c>
      <c r="F431">
        <v>100</v>
      </c>
      <c r="G431" s="3">
        <f t="shared" si="247"/>
        <v>10</v>
      </c>
      <c r="Q431">
        <v>46.59</v>
      </c>
      <c r="R431">
        <v>6.91</v>
      </c>
      <c r="S431">
        <v>10.53</v>
      </c>
      <c r="T431">
        <v>35.4</v>
      </c>
      <c r="U431">
        <v>0.57099999999999995</v>
      </c>
      <c r="V431">
        <f t="shared" si="248"/>
        <v>1.7797810688989053</v>
      </c>
      <c r="W431">
        <f t="shared" si="249"/>
        <v>0.56986477784932388</v>
      </c>
      <c r="X431">
        <v>5</v>
      </c>
      <c r="Y431" s="3">
        <f t="shared" si="250"/>
        <v>19.296000000000003</v>
      </c>
      <c r="Z431">
        <v>61.28</v>
      </c>
      <c r="AA431">
        <v>7.26</v>
      </c>
      <c r="AB431">
        <v>5.91</v>
      </c>
      <c r="AC431">
        <v>25.22</v>
      </c>
      <c r="AD431">
        <v>0.33</v>
      </c>
      <c r="AE431">
        <f t="shared" si="202"/>
        <v>1.4216710182767625</v>
      </c>
      <c r="AF431">
        <f t="shared" si="194"/>
        <v>0.30866514360313319</v>
      </c>
      <c r="AH431">
        <f t="shared" si="251"/>
        <v>26.578150000000001</v>
      </c>
      <c r="AI431" s="3">
        <v>22.5</v>
      </c>
    </row>
    <row r="432" spans="1:38" x14ac:dyDescent="0.5">
      <c r="A432">
        <v>30</v>
      </c>
      <c r="B432" s="4">
        <v>300</v>
      </c>
      <c r="C432">
        <v>0.1</v>
      </c>
      <c r="D432">
        <v>10</v>
      </c>
      <c r="E432">
        <v>500</v>
      </c>
      <c r="F432">
        <v>100</v>
      </c>
      <c r="G432" s="3">
        <f t="shared" si="247"/>
        <v>10</v>
      </c>
      <c r="Q432">
        <v>46.59</v>
      </c>
      <c r="R432">
        <v>6.91</v>
      </c>
      <c r="S432">
        <v>10.53</v>
      </c>
      <c r="T432">
        <v>35.4</v>
      </c>
      <c r="U432">
        <v>0.57099999999999995</v>
      </c>
      <c r="V432">
        <f t="shared" si="248"/>
        <v>1.7797810688989053</v>
      </c>
      <c r="W432">
        <f t="shared" si="249"/>
        <v>0.56986477784932388</v>
      </c>
      <c r="X432">
        <v>5</v>
      </c>
      <c r="Y432" s="3">
        <f t="shared" si="250"/>
        <v>19.296000000000003</v>
      </c>
      <c r="Z432">
        <v>62.46</v>
      </c>
      <c r="AA432">
        <v>7.11</v>
      </c>
      <c r="AB432">
        <v>5.62</v>
      </c>
      <c r="AC432">
        <v>24.49</v>
      </c>
      <c r="AD432">
        <v>0.32300000000000001</v>
      </c>
      <c r="AE432">
        <f t="shared" si="202"/>
        <v>1.3659942363112392</v>
      </c>
      <c r="AF432">
        <f t="shared" si="194"/>
        <v>0.2940682036503362</v>
      </c>
      <c r="AH432">
        <f t="shared" si="251"/>
        <v>26.893094999999999</v>
      </c>
      <c r="AI432" s="3">
        <v>21.5</v>
      </c>
    </row>
    <row r="433" spans="1:38" x14ac:dyDescent="0.5">
      <c r="A433">
        <v>60</v>
      </c>
      <c r="B433" s="4">
        <v>180</v>
      </c>
      <c r="C433">
        <v>0.1</v>
      </c>
      <c r="D433">
        <v>200</v>
      </c>
      <c r="E433">
        <v>4000</v>
      </c>
      <c r="F433">
        <v>1800</v>
      </c>
      <c r="G433" s="3">
        <f t="shared" si="247"/>
        <v>9</v>
      </c>
      <c r="O433">
        <v>54.7</v>
      </c>
      <c r="P433" s="3">
        <v>4.4000000000000004</v>
      </c>
      <c r="Q433">
        <v>32.700000000000003</v>
      </c>
      <c r="R433">
        <v>4.9000000000000004</v>
      </c>
      <c r="S433">
        <v>5.0999999999999996</v>
      </c>
      <c r="T433">
        <v>15.4</v>
      </c>
      <c r="U433">
        <v>1</v>
      </c>
      <c r="V433">
        <f t="shared" ref="V433:V439" si="252">(R433/1)/(Q433/12)</f>
        <v>1.798165137614679</v>
      </c>
      <c r="W433">
        <f t="shared" ref="W433:W439" si="253">(T433/16)/(Q433/12)</f>
        <v>0.35321100917431192</v>
      </c>
      <c r="X433">
        <v>40.9</v>
      </c>
      <c r="Y433" s="3">
        <v>14.9</v>
      </c>
      <c r="Z433">
        <v>30.8</v>
      </c>
      <c r="AA433">
        <v>4.3</v>
      </c>
      <c r="AB433">
        <v>4.2</v>
      </c>
      <c r="AC433">
        <v>16.8</v>
      </c>
      <c r="AD433">
        <v>1</v>
      </c>
      <c r="AE433">
        <f t="shared" si="202"/>
        <v>1.6753246753246751</v>
      </c>
      <c r="AF433">
        <f t="shared" si="194"/>
        <v>0.40909090909090906</v>
      </c>
      <c r="AG433" s="3">
        <v>42.9</v>
      </c>
      <c r="AH433">
        <v>14.7</v>
      </c>
      <c r="AI433" s="3">
        <v>74.2</v>
      </c>
      <c r="AJ433" s="2" t="s">
        <v>124</v>
      </c>
      <c r="AK433" t="s">
        <v>67</v>
      </c>
      <c r="AL433">
        <v>47</v>
      </c>
    </row>
    <row r="434" spans="1:38" x14ac:dyDescent="0.5">
      <c r="A434">
        <v>60</v>
      </c>
      <c r="B434" s="4">
        <v>210</v>
      </c>
      <c r="C434">
        <v>0.1</v>
      </c>
      <c r="D434">
        <v>200</v>
      </c>
      <c r="E434">
        <v>4000</v>
      </c>
      <c r="F434">
        <v>1800</v>
      </c>
      <c r="G434" s="3">
        <f t="shared" ref="G434:G436" si="254">F434/D434</f>
        <v>9</v>
      </c>
      <c r="O434">
        <v>54.7</v>
      </c>
      <c r="P434" s="3">
        <v>4.4000000000000004</v>
      </c>
      <c r="Q434">
        <v>32.700000000000003</v>
      </c>
      <c r="R434">
        <v>4.9000000000000004</v>
      </c>
      <c r="S434">
        <v>5.0999999999999996</v>
      </c>
      <c r="T434">
        <v>15.4</v>
      </c>
      <c r="U434">
        <v>1</v>
      </c>
      <c r="V434">
        <f t="shared" si="252"/>
        <v>1.798165137614679</v>
      </c>
      <c r="W434">
        <f t="shared" si="253"/>
        <v>0.35321100917431192</v>
      </c>
      <c r="X434">
        <v>40.9</v>
      </c>
      <c r="Y434" s="3">
        <v>14.9</v>
      </c>
      <c r="Z434">
        <v>31.8</v>
      </c>
      <c r="AA434">
        <v>4.3</v>
      </c>
      <c r="AB434">
        <v>4.0999999999999996</v>
      </c>
      <c r="AC434">
        <v>14.9</v>
      </c>
      <c r="AD434">
        <v>1</v>
      </c>
      <c r="AE434">
        <f t="shared" si="202"/>
        <v>1.6226415094339623</v>
      </c>
      <c r="AF434">
        <f t="shared" si="194"/>
        <v>0.35141509433962265</v>
      </c>
      <c r="AG434" s="3">
        <v>43.9</v>
      </c>
      <c r="AH434">
        <v>14.9</v>
      </c>
      <c r="AI434" s="3">
        <v>67.8</v>
      </c>
    </row>
    <row r="435" spans="1:38" x14ac:dyDescent="0.5">
      <c r="A435">
        <v>60</v>
      </c>
      <c r="B435" s="4">
        <v>240</v>
      </c>
      <c r="C435">
        <v>0.1</v>
      </c>
      <c r="D435">
        <v>200</v>
      </c>
      <c r="E435">
        <v>4000</v>
      </c>
      <c r="F435">
        <v>1800</v>
      </c>
      <c r="G435" s="3">
        <f t="shared" si="254"/>
        <v>9</v>
      </c>
      <c r="O435">
        <v>54.7</v>
      </c>
      <c r="P435" s="3">
        <v>4.4000000000000004</v>
      </c>
      <c r="Q435">
        <v>32.700000000000003</v>
      </c>
      <c r="R435">
        <v>4.9000000000000004</v>
      </c>
      <c r="S435">
        <v>5.0999999999999996</v>
      </c>
      <c r="T435">
        <v>15.4</v>
      </c>
      <c r="U435">
        <v>1</v>
      </c>
      <c r="V435">
        <f t="shared" si="252"/>
        <v>1.798165137614679</v>
      </c>
      <c r="W435">
        <f t="shared" si="253"/>
        <v>0.35321100917431192</v>
      </c>
      <c r="X435">
        <v>40.9</v>
      </c>
      <c r="Y435" s="3">
        <v>14.9</v>
      </c>
      <c r="Z435">
        <v>32.6</v>
      </c>
      <c r="AA435">
        <v>4.0999999999999996</v>
      </c>
      <c r="AB435">
        <v>4.0999999999999996</v>
      </c>
      <c r="AC435">
        <v>10</v>
      </c>
      <c r="AD435">
        <v>1.1000000000000001</v>
      </c>
      <c r="AE435">
        <f t="shared" si="202"/>
        <v>1.5092024539877298</v>
      </c>
      <c r="AF435">
        <f t="shared" si="194"/>
        <v>0.23006134969325151</v>
      </c>
      <c r="AG435" s="3">
        <v>48.1</v>
      </c>
      <c r="AH435">
        <v>15.1</v>
      </c>
      <c r="AI435" s="3">
        <v>51.8</v>
      </c>
    </row>
    <row r="436" spans="1:38" x14ac:dyDescent="0.5">
      <c r="A436">
        <v>60</v>
      </c>
      <c r="B436" s="4">
        <v>180</v>
      </c>
      <c r="C436">
        <v>0.1</v>
      </c>
      <c r="D436">
        <v>200</v>
      </c>
      <c r="E436">
        <v>4000</v>
      </c>
      <c r="F436">
        <v>1800</v>
      </c>
      <c r="G436" s="3">
        <f t="shared" si="254"/>
        <v>9</v>
      </c>
      <c r="O436">
        <v>50.9</v>
      </c>
      <c r="P436" s="3">
        <v>6.2</v>
      </c>
      <c r="Q436">
        <v>30.8</v>
      </c>
      <c r="R436">
        <v>4.3</v>
      </c>
      <c r="S436">
        <v>4.2</v>
      </c>
      <c r="T436">
        <v>16.8</v>
      </c>
      <c r="U436">
        <v>1</v>
      </c>
      <c r="V436">
        <f t="shared" si="252"/>
        <v>1.6753246753246751</v>
      </c>
      <c r="W436">
        <f t="shared" si="253"/>
        <v>0.40909090909090906</v>
      </c>
      <c r="X436">
        <v>42.9</v>
      </c>
      <c r="Y436" s="3">
        <v>14.7</v>
      </c>
      <c r="Z436">
        <v>50.1</v>
      </c>
      <c r="AA436">
        <v>5.9</v>
      </c>
      <c r="AB436">
        <v>5.2</v>
      </c>
      <c r="AC436">
        <v>14.7</v>
      </c>
      <c r="AD436">
        <v>1.4</v>
      </c>
      <c r="AE436">
        <f t="shared" ref="AE436:AE461" si="255">(AA436/1)/(Z436/12)</f>
        <v>1.4131736526946108</v>
      </c>
      <c r="AF436">
        <f t="shared" ref="AF436:AF461" si="256">(AC436/16)/(Z436/12)</f>
        <v>0.22005988023952094</v>
      </c>
      <c r="AG436" s="3">
        <v>22.7</v>
      </c>
      <c r="AH436">
        <v>20.5</v>
      </c>
      <c r="AI436" s="3">
        <v>64.400000000000006</v>
      </c>
    </row>
    <row r="437" spans="1:38" x14ac:dyDescent="0.5">
      <c r="A437">
        <v>60</v>
      </c>
      <c r="B437" s="4">
        <v>210</v>
      </c>
      <c r="C437">
        <v>0.1</v>
      </c>
      <c r="D437">
        <v>200</v>
      </c>
      <c r="E437">
        <v>4000</v>
      </c>
      <c r="F437">
        <v>1800</v>
      </c>
      <c r="G437" s="3">
        <f t="shared" ref="G437:G439" si="257">F437/D437</f>
        <v>9</v>
      </c>
      <c r="O437">
        <v>48.3</v>
      </c>
      <c r="P437" s="3">
        <v>7.8</v>
      </c>
      <c r="Q437">
        <v>31.8</v>
      </c>
      <c r="R437">
        <v>4.3</v>
      </c>
      <c r="S437">
        <v>4.0999999999999996</v>
      </c>
      <c r="T437">
        <v>14.9</v>
      </c>
      <c r="U437">
        <v>1</v>
      </c>
      <c r="V437">
        <f t="shared" si="252"/>
        <v>1.6226415094339623</v>
      </c>
      <c r="W437">
        <f t="shared" si="253"/>
        <v>0.35141509433962265</v>
      </c>
      <c r="X437">
        <v>43.9</v>
      </c>
      <c r="Y437" s="3">
        <v>14.9</v>
      </c>
      <c r="Z437">
        <v>52.5</v>
      </c>
      <c r="AA437">
        <v>5.9</v>
      </c>
      <c r="AB437">
        <v>5</v>
      </c>
      <c r="AC437">
        <v>15.3</v>
      </c>
      <c r="AD437">
        <v>1.5</v>
      </c>
      <c r="AE437">
        <f t="shared" si="255"/>
        <v>1.3485714285714288</v>
      </c>
      <c r="AF437">
        <f t="shared" si="256"/>
        <v>0.21857142857142858</v>
      </c>
      <c r="AG437" s="3">
        <v>19.8</v>
      </c>
      <c r="AH437">
        <v>21.6</v>
      </c>
      <c r="AI437" s="3">
        <v>57.3</v>
      </c>
    </row>
    <row r="438" spans="1:38" x14ac:dyDescent="0.5">
      <c r="A438">
        <v>60</v>
      </c>
      <c r="B438" s="4">
        <v>240</v>
      </c>
      <c r="C438">
        <v>0.1</v>
      </c>
      <c r="D438">
        <v>200</v>
      </c>
      <c r="E438">
        <v>4000</v>
      </c>
      <c r="F438">
        <v>1800</v>
      </c>
      <c r="G438" s="3">
        <f t="shared" si="257"/>
        <v>9</v>
      </c>
      <c r="O438">
        <v>44</v>
      </c>
      <c r="P438" s="3">
        <v>7.9</v>
      </c>
      <c r="Q438">
        <v>32.6</v>
      </c>
      <c r="R438">
        <v>4.0999999999999996</v>
      </c>
      <c r="S438">
        <v>4.0999999999999996</v>
      </c>
      <c r="T438">
        <v>10</v>
      </c>
      <c r="U438">
        <v>1.1000000000000001</v>
      </c>
      <c r="V438">
        <f t="shared" si="252"/>
        <v>1.5092024539877298</v>
      </c>
      <c r="W438">
        <f t="shared" si="253"/>
        <v>0.23006134969325151</v>
      </c>
      <c r="X438">
        <v>48.1</v>
      </c>
      <c r="Y438" s="3">
        <v>15.1</v>
      </c>
      <c r="Z438">
        <v>55.8</v>
      </c>
      <c r="AA438">
        <v>6</v>
      </c>
      <c r="AB438">
        <v>4.7</v>
      </c>
      <c r="AC438">
        <v>5.2</v>
      </c>
      <c r="AD438">
        <v>1.5</v>
      </c>
      <c r="AE438">
        <f t="shared" si="255"/>
        <v>1.2903225806451615</v>
      </c>
      <c r="AF438">
        <f t="shared" si="256"/>
        <v>6.9892473118279577E-2</v>
      </c>
      <c r="AG438" s="3">
        <v>26.8</v>
      </c>
      <c r="AH438">
        <v>23.1</v>
      </c>
      <c r="AI438" s="3">
        <v>44.3</v>
      </c>
    </row>
    <row r="439" spans="1:38" x14ac:dyDescent="0.5">
      <c r="A439">
        <v>60</v>
      </c>
      <c r="B439" s="4">
        <v>180</v>
      </c>
      <c r="C439">
        <v>0.1</v>
      </c>
      <c r="D439">
        <v>25</v>
      </c>
      <c r="E439">
        <v>1000</v>
      </c>
      <c r="F439">
        <v>375</v>
      </c>
      <c r="G439" s="3">
        <f t="shared" si="257"/>
        <v>15</v>
      </c>
      <c r="N439">
        <v>6.9</v>
      </c>
      <c r="O439">
        <v>85.5</v>
      </c>
      <c r="P439" s="3">
        <v>5.63</v>
      </c>
      <c r="Q439">
        <v>44.9</v>
      </c>
      <c r="R439">
        <v>6.02</v>
      </c>
      <c r="S439">
        <v>0.33</v>
      </c>
      <c r="T439">
        <v>46.78</v>
      </c>
      <c r="U439">
        <v>0</v>
      </c>
      <c r="V439">
        <f t="shared" si="252"/>
        <v>1.6089086859688195</v>
      </c>
      <c r="W439">
        <f t="shared" si="253"/>
        <v>0.78140311804008911</v>
      </c>
      <c r="X439">
        <v>1.97</v>
      </c>
      <c r="Y439" s="3">
        <v>17.797999999999998</v>
      </c>
      <c r="Z439">
        <v>49.7</v>
      </c>
      <c r="AA439">
        <v>5.77</v>
      </c>
      <c r="AB439">
        <v>0.41</v>
      </c>
      <c r="AC439">
        <v>42.72</v>
      </c>
      <c r="AD439">
        <v>0</v>
      </c>
      <c r="AE439">
        <f t="shared" si="255"/>
        <v>1.3931589537223339</v>
      </c>
      <c r="AF439">
        <f t="shared" si="256"/>
        <v>0.64466800804828972</v>
      </c>
      <c r="AG439" s="3">
        <v>1.4</v>
      </c>
      <c r="AH439">
        <v>19.707000000000001</v>
      </c>
      <c r="AI439" s="3">
        <v>65.88</v>
      </c>
      <c r="AJ439" s="2" t="s">
        <v>125</v>
      </c>
      <c r="AK439" t="s">
        <v>126</v>
      </c>
      <c r="AL439">
        <v>48</v>
      </c>
    </row>
    <row r="440" spans="1:38" x14ac:dyDescent="0.5">
      <c r="A440">
        <v>30</v>
      </c>
      <c r="B440" s="4">
        <v>200</v>
      </c>
      <c r="C440">
        <v>0.1</v>
      </c>
      <c r="D440">
        <v>25</v>
      </c>
      <c r="E440">
        <v>1000</v>
      </c>
      <c r="F440">
        <v>375</v>
      </c>
      <c r="G440" s="3">
        <f t="shared" ref="G440:G442" si="258">F440/D440</f>
        <v>15</v>
      </c>
      <c r="N440">
        <v>6.9</v>
      </c>
      <c r="O440">
        <v>85.5</v>
      </c>
      <c r="P440" s="3">
        <v>5.63</v>
      </c>
      <c r="Q440">
        <v>44.9</v>
      </c>
      <c r="R440">
        <v>6.02</v>
      </c>
      <c r="S440">
        <v>0.33</v>
      </c>
      <c r="T440">
        <v>46.78</v>
      </c>
      <c r="U440">
        <v>0</v>
      </c>
      <c r="V440">
        <f t="shared" ref="V440:V447" si="259">(R440/1)/(Q440/12)</f>
        <v>1.6089086859688195</v>
      </c>
      <c r="W440">
        <f t="shared" ref="W440:W447" si="260">(T440/16)/(Q440/12)</f>
        <v>0.78140311804008911</v>
      </c>
      <c r="X440">
        <v>1.97</v>
      </c>
      <c r="Y440" s="3">
        <v>17.797999999999998</v>
      </c>
      <c r="Z440">
        <v>51.8</v>
      </c>
      <c r="AA440">
        <v>5.81</v>
      </c>
      <c r="AB440">
        <v>0.39</v>
      </c>
      <c r="AC440">
        <v>40.96</v>
      </c>
      <c r="AD440">
        <v>0</v>
      </c>
      <c r="AE440">
        <f t="shared" si="255"/>
        <v>1.345945945945946</v>
      </c>
      <c r="AF440">
        <f t="shared" si="256"/>
        <v>0.59305019305019313</v>
      </c>
      <c r="AG440" s="3">
        <v>1.04</v>
      </c>
      <c r="AH440">
        <v>20.611999999999998</v>
      </c>
      <c r="AI440" s="3">
        <v>61</v>
      </c>
    </row>
    <row r="441" spans="1:38" x14ac:dyDescent="0.5">
      <c r="A441">
        <v>60</v>
      </c>
      <c r="B441" s="4">
        <v>200</v>
      </c>
      <c r="C441">
        <v>0.1</v>
      </c>
      <c r="D441">
        <v>25</v>
      </c>
      <c r="E441">
        <v>1000</v>
      </c>
      <c r="F441">
        <v>375</v>
      </c>
      <c r="G441" s="3">
        <f t="shared" si="258"/>
        <v>15</v>
      </c>
      <c r="N441">
        <v>6.9</v>
      </c>
      <c r="O441">
        <v>85.5</v>
      </c>
      <c r="P441" s="3">
        <v>5.63</v>
      </c>
      <c r="Q441">
        <v>44.9</v>
      </c>
      <c r="R441">
        <v>6.02</v>
      </c>
      <c r="S441">
        <v>0.33</v>
      </c>
      <c r="T441">
        <v>46.78</v>
      </c>
      <c r="U441">
        <v>0</v>
      </c>
      <c r="V441">
        <f t="shared" si="259"/>
        <v>1.6089086859688195</v>
      </c>
      <c r="W441">
        <f t="shared" si="260"/>
        <v>0.78140311804008911</v>
      </c>
      <c r="X441">
        <v>1.97</v>
      </c>
      <c r="Y441" s="3">
        <v>17.797999999999998</v>
      </c>
      <c r="Z441">
        <v>52.5</v>
      </c>
      <c r="AA441">
        <v>5.78</v>
      </c>
      <c r="AB441">
        <v>0.46</v>
      </c>
      <c r="AC441">
        <v>40.21</v>
      </c>
      <c r="AD441">
        <v>0</v>
      </c>
      <c r="AE441">
        <f t="shared" si="255"/>
        <v>1.3211428571428572</v>
      </c>
      <c r="AF441">
        <f t="shared" si="256"/>
        <v>0.5744285714285714</v>
      </c>
      <c r="AG441" s="3">
        <v>1.05</v>
      </c>
      <c r="AH441">
        <v>20.911999999999999</v>
      </c>
      <c r="AI441" s="3">
        <v>60.9</v>
      </c>
    </row>
    <row r="442" spans="1:38" x14ac:dyDescent="0.5">
      <c r="A442">
        <v>90</v>
      </c>
      <c r="B442" s="4">
        <v>200</v>
      </c>
      <c r="C442">
        <v>0.1</v>
      </c>
      <c r="D442">
        <v>25</v>
      </c>
      <c r="E442">
        <v>1000</v>
      </c>
      <c r="F442">
        <v>375</v>
      </c>
      <c r="G442" s="3">
        <f t="shared" si="258"/>
        <v>15</v>
      </c>
      <c r="N442">
        <v>6.9</v>
      </c>
      <c r="O442">
        <v>85.5</v>
      </c>
      <c r="P442" s="3">
        <v>5.63</v>
      </c>
      <c r="Q442">
        <v>44.9</v>
      </c>
      <c r="R442">
        <v>6.02</v>
      </c>
      <c r="S442">
        <v>0.33</v>
      </c>
      <c r="T442">
        <v>46.78</v>
      </c>
      <c r="U442">
        <v>0</v>
      </c>
      <c r="V442">
        <f t="shared" si="259"/>
        <v>1.6089086859688195</v>
      </c>
      <c r="W442">
        <f t="shared" si="260"/>
        <v>0.78140311804008911</v>
      </c>
      <c r="X442">
        <v>1.97</v>
      </c>
      <c r="Y442" s="3">
        <v>17.797999999999998</v>
      </c>
      <c r="Z442">
        <v>52.6</v>
      </c>
      <c r="AA442">
        <v>5.79</v>
      </c>
      <c r="AB442">
        <v>0.39</v>
      </c>
      <c r="AC442">
        <v>40.18</v>
      </c>
      <c r="AD442">
        <v>0</v>
      </c>
      <c r="AE442">
        <f t="shared" si="255"/>
        <v>1.3209125475285171</v>
      </c>
      <c r="AF442">
        <f t="shared" si="256"/>
        <v>0.57290874524714819</v>
      </c>
      <c r="AG442" s="3">
        <v>1.04</v>
      </c>
      <c r="AH442">
        <v>20.951000000000001</v>
      </c>
      <c r="AI442" s="3">
        <v>60.36</v>
      </c>
    </row>
    <row r="443" spans="1:38" x14ac:dyDescent="0.5">
      <c r="A443">
        <v>5</v>
      </c>
      <c r="B443" s="4">
        <v>220</v>
      </c>
      <c r="C443">
        <v>0.1</v>
      </c>
      <c r="D443">
        <v>25</v>
      </c>
      <c r="E443">
        <v>1000</v>
      </c>
      <c r="F443">
        <v>375</v>
      </c>
      <c r="G443" s="3">
        <f t="shared" ref="G443:G444" si="261">F443/D443</f>
        <v>15</v>
      </c>
      <c r="N443">
        <v>6.9</v>
      </c>
      <c r="O443">
        <v>85.5</v>
      </c>
      <c r="P443" s="3">
        <v>5.63</v>
      </c>
      <c r="Q443">
        <v>44.9</v>
      </c>
      <c r="R443">
        <v>6.02</v>
      </c>
      <c r="S443">
        <v>0.33</v>
      </c>
      <c r="T443">
        <v>46.78</v>
      </c>
      <c r="U443">
        <v>0</v>
      </c>
      <c r="V443">
        <f t="shared" si="259"/>
        <v>1.6089086859688195</v>
      </c>
      <c r="W443">
        <f t="shared" si="260"/>
        <v>0.78140311804008911</v>
      </c>
      <c r="X443">
        <v>1.97</v>
      </c>
      <c r="Y443" s="3">
        <v>17.797999999999998</v>
      </c>
      <c r="Z443">
        <v>51.8</v>
      </c>
      <c r="AA443">
        <v>5.77</v>
      </c>
      <c r="AB443">
        <v>0.38</v>
      </c>
      <c r="AC443">
        <v>40.840000000000003</v>
      </c>
      <c r="AD443">
        <v>0</v>
      </c>
      <c r="AE443">
        <f t="shared" si="255"/>
        <v>1.3366795366795368</v>
      </c>
      <c r="AF443">
        <f t="shared" si="256"/>
        <v>0.59131274131274136</v>
      </c>
      <c r="AG443" s="3">
        <v>1.21</v>
      </c>
      <c r="AH443">
        <v>20.593</v>
      </c>
      <c r="AI443" s="3">
        <v>59.2</v>
      </c>
    </row>
    <row r="444" spans="1:38" x14ac:dyDescent="0.5">
      <c r="A444">
        <v>60</v>
      </c>
      <c r="B444" s="4">
        <v>200</v>
      </c>
      <c r="C444">
        <v>0.1</v>
      </c>
      <c r="D444">
        <v>25</v>
      </c>
      <c r="E444">
        <v>1000</v>
      </c>
      <c r="F444">
        <v>500</v>
      </c>
      <c r="G444" s="3">
        <f t="shared" si="261"/>
        <v>20</v>
      </c>
      <c r="N444">
        <v>6.9</v>
      </c>
      <c r="O444">
        <v>85.5</v>
      </c>
      <c r="P444" s="3">
        <v>5.63</v>
      </c>
      <c r="Q444">
        <v>44.9</v>
      </c>
      <c r="R444">
        <v>6.02</v>
      </c>
      <c r="S444">
        <v>0.33</v>
      </c>
      <c r="T444">
        <v>46.78</v>
      </c>
      <c r="U444">
        <v>0</v>
      </c>
      <c r="V444">
        <f t="shared" si="259"/>
        <v>1.6089086859688195</v>
      </c>
      <c r="W444">
        <f t="shared" si="260"/>
        <v>0.78140311804008911</v>
      </c>
      <c r="X444">
        <v>1.97</v>
      </c>
      <c r="Y444" s="3">
        <v>17.797999999999998</v>
      </c>
      <c r="Z444">
        <v>54.5</v>
      </c>
      <c r="AA444">
        <v>5.67</v>
      </c>
      <c r="AB444">
        <v>0.39</v>
      </c>
      <c r="AC444">
        <v>38.39</v>
      </c>
      <c r="AD444">
        <v>0</v>
      </c>
      <c r="AE444">
        <f t="shared" si="255"/>
        <v>1.2484403669724771</v>
      </c>
      <c r="AF444">
        <f t="shared" si="256"/>
        <v>0.52830275229357793</v>
      </c>
      <c r="AG444" s="3">
        <v>1.05</v>
      </c>
      <c r="AH444">
        <v>21.728999999999999</v>
      </c>
      <c r="AI444" s="3">
        <v>55.96</v>
      </c>
    </row>
    <row r="445" spans="1:38" x14ac:dyDescent="0.5">
      <c r="A445">
        <v>90</v>
      </c>
      <c r="B445" s="4">
        <v>200</v>
      </c>
      <c r="C445">
        <v>0.1</v>
      </c>
      <c r="D445">
        <v>25</v>
      </c>
      <c r="E445">
        <v>1000</v>
      </c>
      <c r="F445">
        <v>500</v>
      </c>
      <c r="G445" s="3">
        <f t="shared" ref="G445:G447" si="262">F445/D445</f>
        <v>20</v>
      </c>
      <c r="N445">
        <v>6.9</v>
      </c>
      <c r="O445">
        <v>85.5</v>
      </c>
      <c r="P445" s="3">
        <v>5.63</v>
      </c>
      <c r="Q445">
        <v>44.9</v>
      </c>
      <c r="R445">
        <v>6.02</v>
      </c>
      <c r="S445">
        <v>0.33</v>
      </c>
      <c r="T445">
        <v>46.78</v>
      </c>
      <c r="U445">
        <v>0</v>
      </c>
      <c r="V445">
        <f t="shared" si="259"/>
        <v>1.6089086859688195</v>
      </c>
      <c r="W445">
        <f t="shared" si="260"/>
        <v>0.78140311804008911</v>
      </c>
      <c r="X445">
        <v>1.97</v>
      </c>
      <c r="Y445" s="3">
        <v>17.797999999999998</v>
      </c>
      <c r="Z445">
        <v>51.9</v>
      </c>
      <c r="AA445">
        <v>5.82</v>
      </c>
      <c r="AB445">
        <v>0.57999999999999996</v>
      </c>
      <c r="AC445">
        <v>39.44</v>
      </c>
      <c r="AD445">
        <v>0</v>
      </c>
      <c r="AE445">
        <f t="shared" si="255"/>
        <v>1.3456647398843931</v>
      </c>
      <c r="AF445">
        <f t="shared" si="256"/>
        <v>0.5699421965317919</v>
      </c>
      <c r="AG445" s="3">
        <v>2.2599999999999998</v>
      </c>
      <c r="AH445">
        <v>20.684999999999999</v>
      </c>
      <c r="AI445" s="3">
        <v>62.85</v>
      </c>
    </row>
    <row r="446" spans="1:38" x14ac:dyDescent="0.5">
      <c r="A446">
        <v>240</v>
      </c>
      <c r="B446" s="4">
        <v>200</v>
      </c>
      <c r="C446">
        <v>0.1</v>
      </c>
      <c r="D446">
        <v>25</v>
      </c>
      <c r="E446">
        <v>1000</v>
      </c>
      <c r="F446">
        <v>500</v>
      </c>
      <c r="G446" s="3">
        <f t="shared" si="262"/>
        <v>20</v>
      </c>
      <c r="N446">
        <v>6.9</v>
      </c>
      <c r="O446">
        <v>85.5</v>
      </c>
      <c r="P446" s="3">
        <v>5.63</v>
      </c>
      <c r="Q446">
        <v>44.9</v>
      </c>
      <c r="R446">
        <v>6.02</v>
      </c>
      <c r="S446">
        <v>0.33</v>
      </c>
      <c r="T446">
        <v>46.78</v>
      </c>
      <c r="U446">
        <v>0</v>
      </c>
      <c r="V446">
        <f t="shared" si="259"/>
        <v>1.6089086859688195</v>
      </c>
      <c r="W446">
        <f t="shared" si="260"/>
        <v>0.78140311804008911</v>
      </c>
      <c r="X446">
        <v>1.97</v>
      </c>
      <c r="Y446" s="3">
        <v>17.797999999999998</v>
      </c>
      <c r="Z446">
        <v>53.3</v>
      </c>
      <c r="AA446">
        <v>5.99</v>
      </c>
      <c r="AB446">
        <v>0.32</v>
      </c>
      <c r="AC446">
        <v>40.130000000000003</v>
      </c>
      <c r="AD446">
        <v>0</v>
      </c>
      <c r="AE446">
        <f t="shared" si="255"/>
        <v>1.3485928705440902</v>
      </c>
      <c r="AF446">
        <f t="shared" si="256"/>
        <v>0.56468105065666052</v>
      </c>
      <c r="AG446" s="3">
        <v>0.26</v>
      </c>
      <c r="AH446">
        <v>20.95</v>
      </c>
      <c r="AI446" s="3">
        <v>70</v>
      </c>
    </row>
    <row r="447" spans="1:38" x14ac:dyDescent="0.5">
      <c r="A447">
        <v>60</v>
      </c>
      <c r="B447" s="4">
        <v>180</v>
      </c>
      <c r="C447">
        <v>0.1</v>
      </c>
      <c r="D447">
        <v>230</v>
      </c>
      <c r="E447">
        <v>500</v>
      </c>
      <c r="F447">
        <v>230</v>
      </c>
      <c r="G447" s="3">
        <f t="shared" si="262"/>
        <v>1</v>
      </c>
      <c r="O447">
        <v>55.2</v>
      </c>
      <c r="P447" s="3">
        <v>9.7799999999999994</v>
      </c>
      <c r="Q447">
        <v>38.49</v>
      </c>
      <c r="R447">
        <v>5.54</v>
      </c>
      <c r="S447">
        <v>5.12</v>
      </c>
      <c r="T447">
        <v>25.96</v>
      </c>
      <c r="U447">
        <v>0.87</v>
      </c>
      <c r="V447">
        <f t="shared" si="259"/>
        <v>1.7272018706157444</v>
      </c>
      <c r="W447">
        <f t="shared" si="260"/>
        <v>0.50584567420109117</v>
      </c>
      <c r="X447">
        <v>29.56</v>
      </c>
      <c r="Y447" s="3">
        <v>16.66</v>
      </c>
      <c r="Z447">
        <v>38.020000000000003</v>
      </c>
      <c r="AA447">
        <v>4.7300000000000004</v>
      </c>
      <c r="AB447">
        <v>4.46</v>
      </c>
      <c r="AC447">
        <v>15.95</v>
      </c>
      <c r="AD447">
        <v>0.85</v>
      </c>
      <c r="AE447">
        <f t="shared" si="255"/>
        <v>1.4928984744871121</v>
      </c>
      <c r="AF447">
        <f t="shared" si="256"/>
        <v>0.31463703314045238</v>
      </c>
      <c r="AG447" s="3">
        <v>35.99</v>
      </c>
      <c r="AH447">
        <v>16.309999999999999</v>
      </c>
      <c r="AI447" s="3">
        <v>68.319999999999993</v>
      </c>
      <c r="AJ447" s="2" t="s">
        <v>127</v>
      </c>
      <c r="AK447" t="s">
        <v>128</v>
      </c>
      <c r="AL447">
        <v>49</v>
      </c>
    </row>
    <row r="448" spans="1:38" x14ac:dyDescent="0.5">
      <c r="A448">
        <v>60</v>
      </c>
      <c r="B448" s="4">
        <v>450</v>
      </c>
      <c r="C448">
        <v>0.1</v>
      </c>
      <c r="D448">
        <v>230</v>
      </c>
      <c r="E448">
        <v>500</v>
      </c>
      <c r="F448">
        <v>230</v>
      </c>
      <c r="G448" s="3">
        <f t="shared" ref="G448:G453" si="263">F448/D448</f>
        <v>1</v>
      </c>
      <c r="O448">
        <v>55.2</v>
      </c>
      <c r="P448" s="3">
        <v>9.7799999999999994</v>
      </c>
      <c r="Q448">
        <v>38.49</v>
      </c>
      <c r="R448">
        <v>5.54</v>
      </c>
      <c r="S448">
        <v>5.12</v>
      </c>
      <c r="T448">
        <v>25.96</v>
      </c>
      <c r="U448">
        <v>0.87</v>
      </c>
      <c r="V448">
        <f t="shared" ref="V448:V453" si="264">(R448/1)/(Q448/12)</f>
        <v>1.7272018706157444</v>
      </c>
      <c r="W448">
        <f t="shared" ref="W448:W453" si="265">(T448/16)/(Q448/12)</f>
        <v>0.50584567420109117</v>
      </c>
      <c r="X448">
        <v>29.56</v>
      </c>
      <c r="Y448" s="3">
        <v>16.66</v>
      </c>
      <c r="Z448">
        <v>32.799999999999997</v>
      </c>
      <c r="AA448">
        <v>2.2200000000000002</v>
      </c>
      <c r="AB448">
        <v>5.04</v>
      </c>
      <c r="AC448">
        <v>6.12</v>
      </c>
      <c r="AD448">
        <v>0.6</v>
      </c>
      <c r="AE448">
        <f t="shared" si="255"/>
        <v>0.81219512195121968</v>
      </c>
      <c r="AF448">
        <f t="shared" si="256"/>
        <v>0.13993902439024392</v>
      </c>
      <c r="AG448" s="3">
        <v>55.83</v>
      </c>
      <c r="AH448">
        <v>12.39</v>
      </c>
      <c r="AI448" s="3">
        <v>55.45</v>
      </c>
    </row>
    <row r="449" spans="1:38" x14ac:dyDescent="0.5">
      <c r="A449">
        <v>60</v>
      </c>
      <c r="B449" s="4">
        <v>600</v>
      </c>
      <c r="C449">
        <v>0.1</v>
      </c>
      <c r="D449">
        <v>230</v>
      </c>
      <c r="E449">
        <v>500</v>
      </c>
      <c r="F449">
        <v>230</v>
      </c>
      <c r="G449" s="3">
        <f t="shared" si="263"/>
        <v>1</v>
      </c>
      <c r="O449">
        <v>55.2</v>
      </c>
      <c r="P449" s="3">
        <v>9.7799999999999994</v>
      </c>
      <c r="Q449">
        <v>38.49</v>
      </c>
      <c r="R449">
        <v>5.54</v>
      </c>
      <c r="S449">
        <v>5.12</v>
      </c>
      <c r="T449">
        <v>25.96</v>
      </c>
      <c r="U449">
        <v>0.87</v>
      </c>
      <c r="V449">
        <f t="shared" si="264"/>
        <v>1.7272018706157444</v>
      </c>
      <c r="W449">
        <f t="shared" si="265"/>
        <v>0.50584567420109117</v>
      </c>
      <c r="X449">
        <v>29.56</v>
      </c>
      <c r="Y449" s="3">
        <v>16.66</v>
      </c>
      <c r="Z449">
        <v>31.07</v>
      </c>
      <c r="AA449">
        <v>1.1499999999999999</v>
      </c>
      <c r="AB449">
        <v>4.59</v>
      </c>
      <c r="AC449">
        <v>3.51</v>
      </c>
      <c r="AD449">
        <v>0.46</v>
      </c>
      <c r="AE449">
        <f t="shared" si="255"/>
        <v>0.44415835210814286</v>
      </c>
      <c r="AF449">
        <f t="shared" si="256"/>
        <v>8.4728033472803332E-2</v>
      </c>
      <c r="AG449" s="3">
        <v>56.61</v>
      </c>
      <c r="AH449">
        <v>10.19</v>
      </c>
      <c r="AI449" s="3">
        <v>48.84</v>
      </c>
    </row>
    <row r="450" spans="1:38" x14ac:dyDescent="0.5">
      <c r="A450">
        <v>60</v>
      </c>
      <c r="B450" s="4">
        <v>180</v>
      </c>
      <c r="C450">
        <v>0.1</v>
      </c>
      <c r="D450">
        <v>230</v>
      </c>
      <c r="E450">
        <v>500</v>
      </c>
      <c r="F450">
        <v>230</v>
      </c>
      <c r="G450" s="3">
        <f t="shared" si="263"/>
        <v>1</v>
      </c>
      <c r="O450">
        <v>50.2</v>
      </c>
      <c r="P450" s="3">
        <v>17.440000000000001</v>
      </c>
      <c r="Q450">
        <v>40.11</v>
      </c>
      <c r="R450">
        <v>5.34</v>
      </c>
      <c r="S450">
        <v>4.3600000000000003</v>
      </c>
      <c r="T450">
        <v>23</v>
      </c>
      <c r="U450">
        <v>0.46</v>
      </c>
      <c r="V450">
        <f t="shared" si="264"/>
        <v>1.5976065818997756</v>
      </c>
      <c r="W450">
        <f t="shared" si="265"/>
        <v>0.43006731488406885</v>
      </c>
      <c r="X450">
        <v>56.61</v>
      </c>
      <c r="Y450" s="3">
        <v>17.170000000000002</v>
      </c>
      <c r="Z450">
        <v>45.82</v>
      </c>
      <c r="AA450">
        <v>4.6399999999999997</v>
      </c>
      <c r="AB450">
        <v>5.12</v>
      </c>
      <c r="AC450">
        <v>8.77</v>
      </c>
      <c r="AD450">
        <v>1.1399999999999999</v>
      </c>
      <c r="AE450">
        <f t="shared" si="255"/>
        <v>1.2151898734177213</v>
      </c>
      <c r="AF450">
        <f t="shared" si="256"/>
        <v>0.14355085115670013</v>
      </c>
      <c r="AG450" s="3">
        <v>34.51</v>
      </c>
      <c r="AH450">
        <v>19.75</v>
      </c>
      <c r="AI450" s="3">
        <v>62.32</v>
      </c>
    </row>
    <row r="451" spans="1:38" x14ac:dyDescent="0.5">
      <c r="A451">
        <v>60</v>
      </c>
      <c r="B451" s="4">
        <v>450</v>
      </c>
      <c r="C451">
        <v>0.1</v>
      </c>
      <c r="D451">
        <v>230</v>
      </c>
      <c r="E451">
        <v>500</v>
      </c>
      <c r="F451">
        <v>230</v>
      </c>
      <c r="G451" s="3">
        <f t="shared" si="263"/>
        <v>1</v>
      </c>
      <c r="O451">
        <v>50.2</v>
      </c>
      <c r="P451" s="3">
        <v>17.440000000000001</v>
      </c>
      <c r="Q451">
        <v>40.11</v>
      </c>
      <c r="R451">
        <v>5.34</v>
      </c>
      <c r="S451">
        <v>4.3600000000000003</v>
      </c>
      <c r="T451">
        <v>23</v>
      </c>
      <c r="U451">
        <v>0.46</v>
      </c>
      <c r="V451">
        <f t="shared" si="264"/>
        <v>1.5976065818997756</v>
      </c>
      <c r="W451">
        <f t="shared" si="265"/>
        <v>0.43006731488406885</v>
      </c>
      <c r="X451">
        <v>56.61</v>
      </c>
      <c r="Y451" s="3">
        <v>17.170000000000002</v>
      </c>
      <c r="Z451">
        <v>43.26</v>
      </c>
      <c r="AA451">
        <v>2.61</v>
      </c>
      <c r="AB451">
        <v>4.7699999999999996</v>
      </c>
      <c r="AC451">
        <v>6.52</v>
      </c>
      <c r="AD451">
        <v>0.85</v>
      </c>
      <c r="AE451">
        <f t="shared" si="255"/>
        <v>0.72399445214979197</v>
      </c>
      <c r="AF451">
        <f t="shared" si="256"/>
        <v>0.11303744798890429</v>
      </c>
      <c r="AG451" s="3">
        <v>41.99</v>
      </c>
      <c r="AH451">
        <v>16.57</v>
      </c>
      <c r="AI451" s="3">
        <v>60.99</v>
      </c>
    </row>
    <row r="452" spans="1:38" x14ac:dyDescent="0.5">
      <c r="A452">
        <v>60</v>
      </c>
      <c r="B452" s="4">
        <v>600</v>
      </c>
      <c r="C452">
        <v>0.1</v>
      </c>
      <c r="D452">
        <v>230</v>
      </c>
      <c r="E452">
        <v>500</v>
      </c>
      <c r="F452">
        <v>230</v>
      </c>
      <c r="G452" s="3">
        <f t="shared" si="263"/>
        <v>1</v>
      </c>
      <c r="O452">
        <v>50.2</v>
      </c>
      <c r="P452" s="3">
        <v>17.440000000000001</v>
      </c>
      <c r="Q452">
        <v>40.11</v>
      </c>
      <c r="R452">
        <v>5.34</v>
      </c>
      <c r="S452">
        <v>4.3600000000000003</v>
      </c>
      <c r="T452">
        <v>23</v>
      </c>
      <c r="U452">
        <v>0.46</v>
      </c>
      <c r="V452">
        <f t="shared" si="264"/>
        <v>1.5976065818997756</v>
      </c>
      <c r="W452">
        <f t="shared" si="265"/>
        <v>0.43006731488406885</v>
      </c>
      <c r="X452">
        <v>56.61</v>
      </c>
      <c r="Y452" s="3">
        <v>17.170000000000002</v>
      </c>
      <c r="Z452">
        <v>31.57</v>
      </c>
      <c r="AA452">
        <v>0.87</v>
      </c>
      <c r="AB452">
        <v>3.34</v>
      </c>
      <c r="AC452">
        <v>1.23</v>
      </c>
      <c r="AD452">
        <v>0.93</v>
      </c>
      <c r="AE452">
        <f t="shared" si="255"/>
        <v>0.33069369654735509</v>
      </c>
      <c r="AF452">
        <f t="shared" si="256"/>
        <v>2.922077922077922E-2</v>
      </c>
      <c r="AG452" s="3">
        <v>62.06</v>
      </c>
      <c r="AH452">
        <v>10.64</v>
      </c>
      <c r="AI452" s="3">
        <v>47.91</v>
      </c>
    </row>
    <row r="453" spans="1:38" x14ac:dyDescent="0.5">
      <c r="A453">
        <v>120</v>
      </c>
      <c r="B453" s="4">
        <v>200</v>
      </c>
      <c r="C453">
        <v>0.1</v>
      </c>
      <c r="D453">
        <v>4</v>
      </c>
      <c r="E453">
        <v>50</v>
      </c>
      <c r="F453">
        <v>40</v>
      </c>
      <c r="G453" s="3">
        <f t="shared" si="263"/>
        <v>10</v>
      </c>
      <c r="N453">
        <v>7.33</v>
      </c>
      <c r="O453">
        <v>77.14</v>
      </c>
      <c r="P453" s="3">
        <v>15.17</v>
      </c>
      <c r="Q453">
        <v>44.37</v>
      </c>
      <c r="R453">
        <v>6.29</v>
      </c>
      <c r="S453">
        <v>0.1</v>
      </c>
      <c r="T453">
        <v>48.71</v>
      </c>
      <c r="U453">
        <v>0.17</v>
      </c>
      <c r="V453">
        <f t="shared" si="264"/>
        <v>1.7011494252873565</v>
      </c>
      <c r="W453">
        <f t="shared" si="265"/>
        <v>0.82336037863421241</v>
      </c>
      <c r="X453">
        <v>0.36</v>
      </c>
      <c r="Y453" s="3">
        <v>17.87</v>
      </c>
      <c r="Z453">
        <v>53.59</v>
      </c>
      <c r="AA453">
        <v>5.91</v>
      </c>
      <c r="AB453">
        <v>0.12</v>
      </c>
      <c r="AC453">
        <v>40.159999999999997</v>
      </c>
      <c r="AD453">
        <v>0.05</v>
      </c>
      <c r="AE453">
        <f t="shared" si="255"/>
        <v>1.3233812278410151</v>
      </c>
      <c r="AF453">
        <f t="shared" si="256"/>
        <v>0.56204515767867136</v>
      </c>
      <c r="AG453" s="3">
        <v>0.17</v>
      </c>
      <c r="AH453">
        <v>21.52</v>
      </c>
      <c r="AI453" s="3">
        <v>70.5</v>
      </c>
      <c r="AJ453" s="2" t="s">
        <v>129</v>
      </c>
      <c r="AK453" t="s">
        <v>130</v>
      </c>
      <c r="AL453">
        <v>50</v>
      </c>
    </row>
    <row r="454" spans="1:38" x14ac:dyDescent="0.5">
      <c r="A454">
        <v>120</v>
      </c>
      <c r="B454" s="4">
        <v>220</v>
      </c>
      <c r="C454">
        <v>0.1</v>
      </c>
      <c r="D454">
        <v>4</v>
      </c>
      <c r="E454">
        <v>50</v>
      </c>
      <c r="F454">
        <v>40</v>
      </c>
      <c r="G454" s="3">
        <f t="shared" ref="G454:G461" si="266">F454/D454</f>
        <v>10</v>
      </c>
      <c r="N454">
        <v>7.33</v>
      </c>
      <c r="O454">
        <v>77.14</v>
      </c>
      <c r="P454" s="3">
        <v>15.17</v>
      </c>
      <c r="Q454">
        <v>44.37</v>
      </c>
      <c r="R454">
        <v>6.29</v>
      </c>
      <c r="S454">
        <v>0.1</v>
      </c>
      <c r="T454">
        <v>48.71</v>
      </c>
      <c r="U454">
        <v>0.17</v>
      </c>
      <c r="V454">
        <f t="shared" ref="V454:V461" si="267">(R454/1)/(Q454/12)</f>
        <v>1.7011494252873565</v>
      </c>
      <c r="W454">
        <f t="shared" ref="W454:W461" si="268">(T454/16)/(Q454/12)</f>
        <v>0.82336037863421241</v>
      </c>
      <c r="X454">
        <v>0.36</v>
      </c>
      <c r="Y454" s="3">
        <v>17.87</v>
      </c>
      <c r="Z454">
        <v>57.65</v>
      </c>
      <c r="AA454">
        <v>5.67</v>
      </c>
      <c r="AB454">
        <v>0.14000000000000001</v>
      </c>
      <c r="AC454">
        <v>36.369999999999997</v>
      </c>
      <c r="AD454">
        <v>0</v>
      </c>
      <c r="AE454">
        <f t="shared" si="255"/>
        <v>1.1802254986990461</v>
      </c>
      <c r="AF454">
        <f t="shared" si="256"/>
        <v>0.47315698178664356</v>
      </c>
      <c r="AG454" s="3">
        <v>0.17</v>
      </c>
      <c r="AH454">
        <v>23.04</v>
      </c>
      <c r="AI454" s="3">
        <v>60.25</v>
      </c>
    </row>
    <row r="455" spans="1:38" x14ac:dyDescent="0.5">
      <c r="A455">
        <v>120</v>
      </c>
      <c r="B455" s="4">
        <v>240</v>
      </c>
      <c r="C455">
        <v>0.1</v>
      </c>
      <c r="D455">
        <v>4</v>
      </c>
      <c r="E455">
        <v>50</v>
      </c>
      <c r="F455">
        <v>40</v>
      </c>
      <c r="G455" s="3">
        <f t="shared" si="266"/>
        <v>10</v>
      </c>
      <c r="N455">
        <v>7.33</v>
      </c>
      <c r="O455">
        <v>77.14</v>
      </c>
      <c r="P455" s="3">
        <v>15.17</v>
      </c>
      <c r="Q455">
        <v>44.37</v>
      </c>
      <c r="R455">
        <v>6.29</v>
      </c>
      <c r="S455">
        <v>0.1</v>
      </c>
      <c r="T455">
        <v>48.71</v>
      </c>
      <c r="U455">
        <v>0.17</v>
      </c>
      <c r="V455">
        <f t="shared" si="267"/>
        <v>1.7011494252873565</v>
      </c>
      <c r="W455">
        <f t="shared" si="268"/>
        <v>0.82336037863421241</v>
      </c>
      <c r="X455">
        <v>0.36</v>
      </c>
      <c r="Y455" s="3">
        <v>17.87</v>
      </c>
      <c r="Z455">
        <v>69.7</v>
      </c>
      <c r="AA455">
        <v>5.2</v>
      </c>
      <c r="AB455">
        <v>0.19</v>
      </c>
      <c r="AC455">
        <v>24.71</v>
      </c>
      <c r="AD455">
        <v>0</v>
      </c>
      <c r="AE455">
        <f t="shared" si="255"/>
        <v>0.89526542324246772</v>
      </c>
      <c r="AF455">
        <f t="shared" si="256"/>
        <v>0.26588952654232423</v>
      </c>
      <c r="AG455" s="3">
        <v>0.2</v>
      </c>
      <c r="AH455">
        <v>27.9</v>
      </c>
      <c r="AI455" s="3">
        <v>53</v>
      </c>
    </row>
    <row r="456" spans="1:38" x14ac:dyDescent="0.5">
      <c r="A456">
        <v>120</v>
      </c>
      <c r="B456" s="4">
        <v>260</v>
      </c>
      <c r="C456">
        <v>0.1</v>
      </c>
      <c r="D456">
        <v>4</v>
      </c>
      <c r="E456">
        <v>50</v>
      </c>
      <c r="F456">
        <v>40</v>
      </c>
      <c r="G456" s="3">
        <f t="shared" si="266"/>
        <v>10</v>
      </c>
      <c r="N456">
        <v>7.33</v>
      </c>
      <c r="O456">
        <v>77.14</v>
      </c>
      <c r="P456" s="3">
        <v>15.17</v>
      </c>
      <c r="Q456">
        <v>44.37</v>
      </c>
      <c r="R456">
        <v>6.29</v>
      </c>
      <c r="S456">
        <v>0.1</v>
      </c>
      <c r="T456">
        <v>48.71</v>
      </c>
      <c r="U456">
        <v>0.17</v>
      </c>
      <c r="V456">
        <f t="shared" si="267"/>
        <v>1.7011494252873565</v>
      </c>
      <c r="W456">
        <f t="shared" si="268"/>
        <v>0.82336037863421241</v>
      </c>
      <c r="X456">
        <v>0.36</v>
      </c>
      <c r="Y456" s="3">
        <v>17.87</v>
      </c>
      <c r="Z456">
        <v>70.989999999999995</v>
      </c>
      <c r="AA456">
        <v>5</v>
      </c>
      <c r="AB456">
        <v>0.21</v>
      </c>
      <c r="AC456">
        <v>23.62</v>
      </c>
      <c r="AD456">
        <v>0</v>
      </c>
      <c r="AE456">
        <f t="shared" si="255"/>
        <v>0.84518946330469091</v>
      </c>
      <c r="AF456">
        <f t="shared" si="256"/>
        <v>0.24954218904070999</v>
      </c>
      <c r="AG456" s="3">
        <v>0.18</v>
      </c>
      <c r="AH456">
        <v>28.22</v>
      </c>
      <c r="AI456" s="3">
        <v>50</v>
      </c>
    </row>
    <row r="457" spans="1:38" x14ac:dyDescent="0.5">
      <c r="A457">
        <v>120</v>
      </c>
      <c r="B457" s="4">
        <v>200</v>
      </c>
      <c r="C457">
        <v>0.1</v>
      </c>
      <c r="D457">
        <v>4</v>
      </c>
      <c r="E457">
        <v>50</v>
      </c>
      <c r="F457">
        <v>40</v>
      </c>
      <c r="G457" s="3">
        <f t="shared" si="266"/>
        <v>10</v>
      </c>
      <c r="N457">
        <v>8.06</v>
      </c>
      <c r="O457">
        <v>76.88</v>
      </c>
      <c r="P457" s="3">
        <v>13.83</v>
      </c>
      <c r="Q457">
        <v>46.35</v>
      </c>
      <c r="R457">
        <v>6.66</v>
      </c>
      <c r="S457">
        <v>5.86</v>
      </c>
      <c r="T457">
        <v>39.35</v>
      </c>
      <c r="U457">
        <v>0.55000000000000004</v>
      </c>
      <c r="V457">
        <f t="shared" si="267"/>
        <v>1.7242718446601941</v>
      </c>
      <c r="W457">
        <f t="shared" si="268"/>
        <v>0.63673139158576053</v>
      </c>
      <c r="X457">
        <v>1.23</v>
      </c>
      <c r="Y457" s="3">
        <v>19.899999999999999</v>
      </c>
      <c r="Z457">
        <v>63.49</v>
      </c>
      <c r="AA457">
        <v>6.08</v>
      </c>
      <c r="AB457">
        <v>5.97</v>
      </c>
      <c r="AC457">
        <v>23.17</v>
      </c>
      <c r="AD457">
        <v>0.22</v>
      </c>
      <c r="AE457">
        <f t="shared" si="255"/>
        <v>1.1491573476137975</v>
      </c>
      <c r="AF457">
        <f t="shared" si="256"/>
        <v>0.2737045203969129</v>
      </c>
      <c r="AG457" s="3">
        <v>1.07</v>
      </c>
      <c r="AH457">
        <v>26.84</v>
      </c>
      <c r="AI457" s="3">
        <v>38</v>
      </c>
    </row>
    <row r="458" spans="1:38" x14ac:dyDescent="0.5">
      <c r="A458">
        <v>120</v>
      </c>
      <c r="B458" s="4">
        <v>220</v>
      </c>
      <c r="C458">
        <v>0.1</v>
      </c>
      <c r="D458">
        <v>4</v>
      </c>
      <c r="E458">
        <v>50</v>
      </c>
      <c r="F458">
        <v>40</v>
      </c>
      <c r="G458" s="3">
        <f t="shared" si="266"/>
        <v>10</v>
      </c>
      <c r="N458">
        <v>8.06</v>
      </c>
      <c r="O458">
        <v>76.88</v>
      </c>
      <c r="P458" s="3">
        <v>13.83</v>
      </c>
      <c r="Q458">
        <v>46.35</v>
      </c>
      <c r="R458">
        <v>6.66</v>
      </c>
      <c r="S458">
        <v>5.86</v>
      </c>
      <c r="T458">
        <v>39.35</v>
      </c>
      <c r="U458">
        <v>0.55000000000000004</v>
      </c>
      <c r="V458">
        <f t="shared" si="267"/>
        <v>1.7242718446601941</v>
      </c>
      <c r="W458">
        <f t="shared" si="268"/>
        <v>0.63673139158576053</v>
      </c>
      <c r="X458">
        <v>1.23</v>
      </c>
      <c r="Y458" s="3">
        <v>19.899999999999999</v>
      </c>
      <c r="Z458">
        <v>68.23</v>
      </c>
      <c r="AA458">
        <v>6.26</v>
      </c>
      <c r="AB458">
        <v>6.08</v>
      </c>
      <c r="AC458">
        <v>18.170000000000002</v>
      </c>
      <c r="AD458">
        <v>0.36</v>
      </c>
      <c r="AE458">
        <f t="shared" si="255"/>
        <v>1.100981972739264</v>
      </c>
      <c r="AF458">
        <f t="shared" si="256"/>
        <v>0.19972885827348674</v>
      </c>
      <c r="AG458" s="3">
        <v>0.9</v>
      </c>
      <c r="AH458">
        <v>29.24</v>
      </c>
      <c r="AI458" s="3">
        <v>36</v>
      </c>
    </row>
    <row r="459" spans="1:38" x14ac:dyDescent="0.5">
      <c r="A459">
        <v>120</v>
      </c>
      <c r="B459" s="4">
        <v>240</v>
      </c>
      <c r="C459">
        <v>0.1</v>
      </c>
      <c r="D459">
        <v>4</v>
      </c>
      <c r="E459">
        <v>50</v>
      </c>
      <c r="F459">
        <v>40</v>
      </c>
      <c r="G459" s="3">
        <f t="shared" si="266"/>
        <v>10</v>
      </c>
      <c r="N459">
        <v>8.06</v>
      </c>
      <c r="O459">
        <v>76.88</v>
      </c>
      <c r="P459" s="3">
        <v>13.83</v>
      </c>
      <c r="Q459">
        <v>46.35</v>
      </c>
      <c r="R459">
        <v>6.66</v>
      </c>
      <c r="S459">
        <v>5.86</v>
      </c>
      <c r="T459">
        <v>39.35</v>
      </c>
      <c r="U459">
        <v>0.55000000000000004</v>
      </c>
      <c r="V459">
        <f t="shared" si="267"/>
        <v>1.7242718446601941</v>
      </c>
      <c r="W459">
        <f t="shared" si="268"/>
        <v>0.63673139158576053</v>
      </c>
      <c r="X459">
        <v>1.23</v>
      </c>
      <c r="Y459" s="3">
        <v>19.899999999999999</v>
      </c>
      <c r="Z459">
        <v>69.67</v>
      </c>
      <c r="AA459">
        <v>6.46</v>
      </c>
      <c r="AB459">
        <v>6.36</v>
      </c>
      <c r="AC459">
        <v>16.47</v>
      </c>
      <c r="AD459">
        <v>0.23</v>
      </c>
      <c r="AE459">
        <f t="shared" si="255"/>
        <v>1.1126740347351802</v>
      </c>
      <c r="AF459">
        <f t="shared" si="256"/>
        <v>0.17730012918042198</v>
      </c>
      <c r="AG459" s="3">
        <v>0.81</v>
      </c>
      <c r="AH459">
        <v>30.14</v>
      </c>
      <c r="AI459" s="3">
        <v>34</v>
      </c>
    </row>
    <row r="460" spans="1:38" x14ac:dyDescent="0.5">
      <c r="A460">
        <v>120</v>
      </c>
      <c r="B460" s="4">
        <v>260</v>
      </c>
      <c r="C460">
        <v>0.1</v>
      </c>
      <c r="D460">
        <v>4</v>
      </c>
      <c r="E460">
        <v>50</v>
      </c>
      <c r="F460">
        <v>40</v>
      </c>
      <c r="G460" s="3">
        <f t="shared" si="266"/>
        <v>10</v>
      </c>
      <c r="N460">
        <v>8.06</v>
      </c>
      <c r="O460">
        <v>76.88</v>
      </c>
      <c r="P460" s="3">
        <v>13.83</v>
      </c>
      <c r="Q460">
        <v>46.35</v>
      </c>
      <c r="R460">
        <v>6.66</v>
      </c>
      <c r="S460">
        <v>5.86</v>
      </c>
      <c r="T460">
        <v>39.35</v>
      </c>
      <c r="U460">
        <v>0.55000000000000004</v>
      </c>
      <c r="V460">
        <f t="shared" si="267"/>
        <v>1.7242718446601941</v>
      </c>
      <c r="W460">
        <f t="shared" si="268"/>
        <v>0.63673139158576053</v>
      </c>
      <c r="X460">
        <v>1.23</v>
      </c>
      <c r="Y460" s="3">
        <v>19.899999999999999</v>
      </c>
      <c r="Z460">
        <v>72.25</v>
      </c>
      <c r="AA460">
        <v>6.37</v>
      </c>
      <c r="AB460">
        <v>6.51</v>
      </c>
      <c r="AC460">
        <v>13.66</v>
      </c>
      <c r="AD460">
        <v>0.19</v>
      </c>
      <c r="AE460">
        <f t="shared" si="255"/>
        <v>1.0579930795847752</v>
      </c>
      <c r="AF460">
        <f t="shared" si="256"/>
        <v>0.14179930795847751</v>
      </c>
      <c r="AG460" s="3">
        <v>1.02</v>
      </c>
      <c r="AH460">
        <v>31.22</v>
      </c>
      <c r="AI460" s="3">
        <v>30</v>
      </c>
    </row>
    <row r="461" spans="1:38" x14ac:dyDescent="0.5">
      <c r="A461">
        <v>60</v>
      </c>
      <c r="B461" s="4">
        <v>170</v>
      </c>
      <c r="C461">
        <v>0.1</v>
      </c>
      <c r="D461">
        <v>200</v>
      </c>
      <c r="E461">
        <v>4000</v>
      </c>
      <c r="F461">
        <v>1800</v>
      </c>
      <c r="G461" s="3">
        <f t="shared" si="266"/>
        <v>9</v>
      </c>
      <c r="O461">
        <v>68.8</v>
      </c>
      <c r="P461" s="3">
        <v>15.7</v>
      </c>
      <c r="Q461">
        <v>39.9</v>
      </c>
      <c r="R461">
        <v>5.3</v>
      </c>
      <c r="S461">
        <v>2.7</v>
      </c>
      <c r="T461">
        <v>36.1</v>
      </c>
      <c r="U461">
        <v>0.5</v>
      </c>
      <c r="V461">
        <f t="shared" si="267"/>
        <v>1.5939849624060152</v>
      </c>
      <c r="W461">
        <f t="shared" si="268"/>
        <v>0.6785714285714286</v>
      </c>
      <c r="X461">
        <v>15.5</v>
      </c>
      <c r="Y461" s="3">
        <v>16</v>
      </c>
      <c r="Z461">
        <v>41.6</v>
      </c>
      <c r="AA461">
        <v>5.3</v>
      </c>
      <c r="AB461">
        <v>2</v>
      </c>
      <c r="AC461">
        <v>31.2</v>
      </c>
      <c r="AD461">
        <v>0.2</v>
      </c>
      <c r="AE461">
        <f t="shared" si="255"/>
        <v>1.5288461538461537</v>
      </c>
      <c r="AF461">
        <f t="shared" si="256"/>
        <v>0.5625</v>
      </c>
      <c r="AG461" s="3">
        <v>19.7</v>
      </c>
      <c r="AH461">
        <v>16.399999999999999</v>
      </c>
      <c r="AI461" s="3">
        <v>65</v>
      </c>
      <c r="AJ461" s="2" t="s">
        <v>131</v>
      </c>
      <c r="AK461" t="s">
        <v>78</v>
      </c>
      <c r="AL461">
        <v>51</v>
      </c>
    </row>
    <row r="462" spans="1:38" x14ac:dyDescent="0.5">
      <c r="A462">
        <v>60</v>
      </c>
      <c r="B462" s="4">
        <v>200</v>
      </c>
      <c r="C462">
        <v>0.1</v>
      </c>
      <c r="D462">
        <v>200</v>
      </c>
      <c r="E462">
        <v>4000</v>
      </c>
      <c r="F462">
        <v>1800</v>
      </c>
      <c r="G462" s="3">
        <f t="shared" ref="G462:G464" si="269">F462/D462</f>
        <v>9</v>
      </c>
      <c r="O462">
        <v>68.8</v>
      </c>
      <c r="P462" s="3">
        <v>15.7</v>
      </c>
      <c r="Q462">
        <v>39.9</v>
      </c>
      <c r="R462">
        <v>5.3</v>
      </c>
      <c r="S462">
        <v>2.7</v>
      </c>
      <c r="T462">
        <v>36.1</v>
      </c>
      <c r="U462">
        <v>0.5</v>
      </c>
      <c r="V462">
        <f t="shared" ref="V462:V464" si="270">(R462/1)/(Q462/12)</f>
        <v>1.5939849624060152</v>
      </c>
      <c r="W462">
        <f t="shared" ref="W462:W464" si="271">(T462/16)/(Q462/12)</f>
        <v>0.6785714285714286</v>
      </c>
      <c r="X462">
        <v>15.5</v>
      </c>
      <c r="Y462" s="3">
        <v>16</v>
      </c>
      <c r="Z462">
        <v>44.8</v>
      </c>
      <c r="AA462">
        <v>5.3</v>
      </c>
      <c r="AB462">
        <v>2.1</v>
      </c>
      <c r="AC462">
        <v>24.4</v>
      </c>
      <c r="AD462">
        <v>0.1</v>
      </c>
      <c r="AE462">
        <f t="shared" ref="AE462:AE483" si="272">(AA462/1)/(Z462/12)</f>
        <v>1.4196428571428572</v>
      </c>
      <c r="AF462">
        <f t="shared" ref="AF462:AF483" si="273">(AC462/16)/(Z462/12)</f>
        <v>0.40848214285714285</v>
      </c>
      <c r="AG462" s="3">
        <v>23.3</v>
      </c>
      <c r="AH462">
        <v>19</v>
      </c>
      <c r="AI462" s="3">
        <v>57</v>
      </c>
    </row>
    <row r="463" spans="1:38" x14ac:dyDescent="0.5">
      <c r="A463">
        <v>60</v>
      </c>
      <c r="B463" s="4">
        <v>230</v>
      </c>
      <c r="C463">
        <v>0.1</v>
      </c>
      <c r="D463">
        <v>200</v>
      </c>
      <c r="E463">
        <v>4000</v>
      </c>
      <c r="F463">
        <v>1800</v>
      </c>
      <c r="G463" s="3">
        <f t="shared" si="269"/>
        <v>9</v>
      </c>
      <c r="O463">
        <v>68.8</v>
      </c>
      <c r="P463" s="3">
        <v>15.7</v>
      </c>
      <c r="Q463">
        <v>39.9</v>
      </c>
      <c r="R463">
        <v>5.3</v>
      </c>
      <c r="S463">
        <v>2.7</v>
      </c>
      <c r="T463">
        <v>36.1</v>
      </c>
      <c r="U463">
        <v>0.5</v>
      </c>
      <c r="V463">
        <f t="shared" si="270"/>
        <v>1.5939849624060152</v>
      </c>
      <c r="W463">
        <f t="shared" si="271"/>
        <v>0.6785714285714286</v>
      </c>
      <c r="X463">
        <v>15.5</v>
      </c>
      <c r="Y463" s="3">
        <v>16</v>
      </c>
      <c r="Z463">
        <v>47.4</v>
      </c>
      <c r="AA463">
        <v>5.3</v>
      </c>
      <c r="AB463">
        <v>2.1</v>
      </c>
      <c r="AC463">
        <v>21</v>
      </c>
      <c r="AD463">
        <v>0.1</v>
      </c>
      <c r="AE463">
        <f t="shared" si="272"/>
        <v>1.3417721518987342</v>
      </c>
      <c r="AF463">
        <f t="shared" si="273"/>
        <v>0.33227848101265828</v>
      </c>
      <c r="AG463" s="3">
        <v>24.1</v>
      </c>
      <c r="AH463">
        <v>20.100000000000001</v>
      </c>
      <c r="AI463" s="3">
        <v>54</v>
      </c>
    </row>
    <row r="464" spans="1:38" x14ac:dyDescent="0.5">
      <c r="A464">
        <v>10</v>
      </c>
      <c r="B464" s="4">
        <v>180</v>
      </c>
      <c r="C464">
        <v>0.1</v>
      </c>
      <c r="D464">
        <v>0.3</v>
      </c>
      <c r="E464">
        <v>10</v>
      </c>
      <c r="F464">
        <v>7</v>
      </c>
      <c r="G464" s="3">
        <f t="shared" si="269"/>
        <v>23.333333333333336</v>
      </c>
      <c r="K464">
        <v>34.9</v>
      </c>
      <c r="L464">
        <v>16.2</v>
      </c>
      <c r="M464">
        <v>28.3</v>
      </c>
      <c r="Q464">
        <v>43.1</v>
      </c>
      <c r="R464">
        <v>5.8</v>
      </c>
      <c r="S464">
        <v>0.1</v>
      </c>
      <c r="T464">
        <v>50.7</v>
      </c>
      <c r="U464">
        <v>0.3</v>
      </c>
      <c r="V464">
        <f t="shared" si="270"/>
        <v>1.6148491879350346</v>
      </c>
      <c r="W464">
        <f t="shared" si="271"/>
        <v>0.88225058004640378</v>
      </c>
      <c r="X464">
        <v>10</v>
      </c>
      <c r="Y464" s="3">
        <v>15</v>
      </c>
      <c r="Z464">
        <v>43.4</v>
      </c>
      <c r="AA464">
        <v>5.7</v>
      </c>
      <c r="AB464">
        <v>0.1</v>
      </c>
      <c r="AC464">
        <v>50.6</v>
      </c>
      <c r="AD464">
        <v>0.2</v>
      </c>
      <c r="AE464">
        <f t="shared" si="272"/>
        <v>1.5760368663594471</v>
      </c>
      <c r="AF464">
        <f t="shared" si="273"/>
        <v>0.87442396313364057</v>
      </c>
      <c r="AH464">
        <v>17.2</v>
      </c>
      <c r="AI464" s="3">
        <v>70</v>
      </c>
      <c r="AJ464" s="2" t="s">
        <v>132</v>
      </c>
      <c r="AK464" t="s">
        <v>52</v>
      </c>
      <c r="AL464">
        <v>52</v>
      </c>
    </row>
    <row r="465" spans="1:38" x14ac:dyDescent="0.5">
      <c r="A465">
        <v>10</v>
      </c>
      <c r="B465" s="4">
        <v>200</v>
      </c>
      <c r="C465">
        <v>0.1</v>
      </c>
      <c r="D465">
        <v>0.3</v>
      </c>
      <c r="E465">
        <v>10</v>
      </c>
      <c r="F465">
        <v>7</v>
      </c>
      <c r="G465" s="3">
        <f t="shared" ref="G465:G469" si="274">F465/D465</f>
        <v>23.333333333333336</v>
      </c>
      <c r="K465">
        <v>34.9</v>
      </c>
      <c r="L465">
        <v>16.2</v>
      </c>
      <c r="M465">
        <v>28.3</v>
      </c>
      <c r="Q465">
        <v>43.1</v>
      </c>
      <c r="R465">
        <v>5.8</v>
      </c>
      <c r="S465">
        <v>0.1</v>
      </c>
      <c r="T465">
        <v>50.7</v>
      </c>
      <c r="U465">
        <v>0.3</v>
      </c>
      <c r="V465">
        <f t="shared" ref="V465:V469" si="275">(R465/1)/(Q465/12)</f>
        <v>1.6148491879350346</v>
      </c>
      <c r="W465">
        <f t="shared" ref="W465:W469" si="276">(T465/16)/(Q465/12)</f>
        <v>0.88225058004640378</v>
      </c>
      <c r="X465">
        <v>10</v>
      </c>
      <c r="Y465" s="3">
        <v>15</v>
      </c>
      <c r="Z465">
        <v>44.7</v>
      </c>
      <c r="AA465">
        <v>5.6</v>
      </c>
      <c r="AB465">
        <v>0.2</v>
      </c>
      <c r="AC465">
        <v>49.3</v>
      </c>
      <c r="AD465">
        <v>0.2</v>
      </c>
      <c r="AE465">
        <f t="shared" si="272"/>
        <v>1.5033557046979864</v>
      </c>
      <c r="AF465">
        <f t="shared" si="273"/>
        <v>0.82718120805369122</v>
      </c>
      <c r="AH465">
        <v>17.899999999999999</v>
      </c>
      <c r="AI465" s="3">
        <v>67</v>
      </c>
    </row>
    <row r="466" spans="1:38" x14ac:dyDescent="0.5">
      <c r="A466">
        <v>10</v>
      </c>
      <c r="B466" s="4">
        <v>220</v>
      </c>
      <c r="C466">
        <v>0.1</v>
      </c>
      <c r="D466">
        <v>0.3</v>
      </c>
      <c r="E466">
        <v>10</v>
      </c>
      <c r="F466">
        <v>7</v>
      </c>
      <c r="G466" s="3">
        <f t="shared" si="274"/>
        <v>23.333333333333336</v>
      </c>
      <c r="K466">
        <v>34.9</v>
      </c>
      <c r="L466">
        <v>16.2</v>
      </c>
      <c r="M466">
        <v>28.3</v>
      </c>
      <c r="Q466">
        <v>43.1</v>
      </c>
      <c r="R466">
        <v>5.8</v>
      </c>
      <c r="S466">
        <v>0.1</v>
      </c>
      <c r="T466">
        <v>50.7</v>
      </c>
      <c r="U466">
        <v>0.3</v>
      </c>
      <c r="V466">
        <f t="shared" si="275"/>
        <v>1.6148491879350346</v>
      </c>
      <c r="W466">
        <f t="shared" si="276"/>
        <v>0.88225058004640378</v>
      </c>
      <c r="X466">
        <v>10</v>
      </c>
      <c r="Y466" s="3">
        <v>15</v>
      </c>
      <c r="Z466">
        <v>46</v>
      </c>
      <c r="AA466">
        <v>5.6</v>
      </c>
      <c r="AB466">
        <v>0.2</v>
      </c>
      <c r="AC466">
        <v>48</v>
      </c>
      <c r="AD466">
        <v>0.2</v>
      </c>
      <c r="AE466">
        <f t="shared" si="272"/>
        <v>1.4608695652173911</v>
      </c>
      <c r="AF466">
        <f t="shared" si="273"/>
        <v>0.78260869565217384</v>
      </c>
      <c r="AH466">
        <v>18.2</v>
      </c>
      <c r="AI466" s="3">
        <v>62</v>
      </c>
    </row>
    <row r="467" spans="1:38" x14ac:dyDescent="0.5">
      <c r="A467">
        <v>10</v>
      </c>
      <c r="B467" s="4">
        <v>240</v>
      </c>
      <c r="C467">
        <v>0.1</v>
      </c>
      <c r="D467">
        <v>0.3</v>
      </c>
      <c r="E467">
        <v>10</v>
      </c>
      <c r="F467">
        <v>7</v>
      </c>
      <c r="G467" s="3">
        <f t="shared" si="274"/>
        <v>23.333333333333336</v>
      </c>
      <c r="K467">
        <v>34.9</v>
      </c>
      <c r="L467">
        <v>16.2</v>
      </c>
      <c r="M467">
        <v>28.3</v>
      </c>
      <c r="Q467">
        <v>43.1</v>
      </c>
      <c r="R467">
        <v>5.8</v>
      </c>
      <c r="S467">
        <v>0.1</v>
      </c>
      <c r="T467">
        <v>50.7</v>
      </c>
      <c r="U467">
        <v>0.3</v>
      </c>
      <c r="V467">
        <f t="shared" si="275"/>
        <v>1.6148491879350346</v>
      </c>
      <c r="W467">
        <f t="shared" si="276"/>
        <v>0.88225058004640378</v>
      </c>
      <c r="X467">
        <v>10</v>
      </c>
      <c r="Y467" s="3">
        <v>15</v>
      </c>
      <c r="Z467">
        <v>48</v>
      </c>
      <c r="AA467">
        <v>5.4</v>
      </c>
      <c r="AB467">
        <v>0.1</v>
      </c>
      <c r="AC467">
        <v>46.2</v>
      </c>
      <c r="AD467">
        <v>0.3</v>
      </c>
      <c r="AE467">
        <f t="shared" si="272"/>
        <v>1.35</v>
      </c>
      <c r="AF467">
        <f t="shared" si="273"/>
        <v>0.72187500000000004</v>
      </c>
      <c r="AH467">
        <v>19</v>
      </c>
      <c r="AI467" s="3">
        <v>53</v>
      </c>
    </row>
    <row r="468" spans="1:38" x14ac:dyDescent="0.5">
      <c r="A468">
        <v>10</v>
      </c>
      <c r="B468" s="4">
        <v>260</v>
      </c>
      <c r="C468">
        <v>0.1</v>
      </c>
      <c r="D468">
        <v>0.3</v>
      </c>
      <c r="E468">
        <v>10</v>
      </c>
      <c r="F468">
        <v>7</v>
      </c>
      <c r="G468" s="3">
        <f t="shared" si="274"/>
        <v>23.333333333333336</v>
      </c>
      <c r="K468">
        <v>34.9</v>
      </c>
      <c r="L468">
        <v>16.2</v>
      </c>
      <c r="M468">
        <v>28.3</v>
      </c>
      <c r="Q468">
        <v>43.1</v>
      </c>
      <c r="R468">
        <v>5.8</v>
      </c>
      <c r="S468">
        <v>0.1</v>
      </c>
      <c r="T468">
        <v>50.7</v>
      </c>
      <c r="U468">
        <v>0.3</v>
      </c>
      <c r="V468">
        <f t="shared" si="275"/>
        <v>1.6148491879350346</v>
      </c>
      <c r="W468">
        <f t="shared" si="276"/>
        <v>0.88225058004640378</v>
      </c>
      <c r="X468">
        <v>10</v>
      </c>
      <c r="Y468" s="3">
        <v>15</v>
      </c>
      <c r="Z468">
        <v>51.5</v>
      </c>
      <c r="AA468">
        <v>5.4</v>
      </c>
      <c r="AB468">
        <v>0.2</v>
      </c>
      <c r="AC468">
        <v>42.7</v>
      </c>
      <c r="AD468">
        <v>0.2</v>
      </c>
      <c r="AE468">
        <f t="shared" si="272"/>
        <v>1.2582524271844659</v>
      </c>
      <c r="AF468">
        <f t="shared" si="273"/>
        <v>0.62184466019417473</v>
      </c>
      <c r="AH468">
        <v>20</v>
      </c>
      <c r="AI468" s="3">
        <v>49</v>
      </c>
    </row>
    <row r="469" spans="1:38" x14ac:dyDescent="0.5">
      <c r="A469">
        <v>60</v>
      </c>
      <c r="B469" s="4">
        <v>150</v>
      </c>
      <c r="C469">
        <v>0.1</v>
      </c>
      <c r="D469">
        <v>50</v>
      </c>
      <c r="E469">
        <v>1000</v>
      </c>
      <c r="F469">
        <v>300</v>
      </c>
      <c r="G469" s="3">
        <f t="shared" si="274"/>
        <v>6</v>
      </c>
      <c r="N469">
        <v>87.4</v>
      </c>
      <c r="O469">
        <v>77.16</v>
      </c>
      <c r="P469" s="3">
        <v>9.59</v>
      </c>
      <c r="Q469">
        <v>29.4</v>
      </c>
      <c r="R469">
        <v>4.84</v>
      </c>
      <c r="S469">
        <v>5.82</v>
      </c>
      <c r="T469">
        <v>46.68</v>
      </c>
      <c r="U469">
        <v>0</v>
      </c>
      <c r="V469">
        <f t="shared" si="275"/>
        <v>1.9755102040816328</v>
      </c>
      <c r="W469">
        <f t="shared" si="276"/>
        <v>1.1908163265306124</v>
      </c>
      <c r="X469">
        <v>13.25</v>
      </c>
      <c r="Y469" s="3">
        <v>15.38</v>
      </c>
      <c r="Z469">
        <v>30.72</v>
      </c>
      <c r="AA469">
        <v>4.5</v>
      </c>
      <c r="AB469">
        <v>5.53</v>
      </c>
      <c r="AC469">
        <v>45.9</v>
      </c>
      <c r="AD469">
        <v>0</v>
      </c>
      <c r="AE469">
        <f t="shared" si="272"/>
        <v>1.7578125</v>
      </c>
      <c r="AF469">
        <f t="shared" si="273"/>
        <v>1.12060546875</v>
      </c>
      <c r="AH469">
        <v>18.29</v>
      </c>
      <c r="AI469" s="3">
        <v>72</v>
      </c>
      <c r="AJ469" s="2" t="s">
        <v>133</v>
      </c>
      <c r="AK469" t="s">
        <v>134</v>
      </c>
      <c r="AL469">
        <v>53</v>
      </c>
    </row>
    <row r="470" spans="1:38" x14ac:dyDescent="0.5">
      <c r="A470">
        <v>60</v>
      </c>
      <c r="B470" s="4">
        <v>180</v>
      </c>
      <c r="C470">
        <v>0.1</v>
      </c>
      <c r="D470">
        <v>50</v>
      </c>
      <c r="E470">
        <v>1000</v>
      </c>
      <c r="F470">
        <v>300</v>
      </c>
      <c r="G470" s="3">
        <f t="shared" ref="G470:G474" si="277">F470/D470</f>
        <v>6</v>
      </c>
      <c r="N470">
        <v>87.4</v>
      </c>
      <c r="O470">
        <v>77.16</v>
      </c>
      <c r="P470" s="3">
        <v>9.59</v>
      </c>
      <c r="Q470">
        <v>29.4</v>
      </c>
      <c r="R470">
        <v>4.84</v>
      </c>
      <c r="S470">
        <v>5.82</v>
      </c>
      <c r="T470">
        <v>46.68</v>
      </c>
      <c r="U470">
        <v>0</v>
      </c>
      <c r="V470">
        <f t="shared" ref="V470:V474" si="278">(R470/1)/(Q470/12)</f>
        <v>1.9755102040816328</v>
      </c>
      <c r="W470">
        <f t="shared" ref="W470:W474" si="279">(T470/16)/(Q470/12)</f>
        <v>1.1908163265306124</v>
      </c>
      <c r="X470">
        <v>13.25</v>
      </c>
      <c r="Y470" s="3">
        <v>15.38</v>
      </c>
      <c r="Z470">
        <v>34.479999999999997</v>
      </c>
      <c r="AA470">
        <v>4.45</v>
      </c>
      <c r="AB470">
        <v>4.41</v>
      </c>
      <c r="AC470">
        <v>43.46</v>
      </c>
      <c r="AD470">
        <v>0</v>
      </c>
      <c r="AE470">
        <f t="shared" si="272"/>
        <v>1.5487238979118332</v>
      </c>
      <c r="AF470">
        <f t="shared" si="273"/>
        <v>0.94533062645011612</v>
      </c>
      <c r="AH470">
        <v>18.59</v>
      </c>
      <c r="AI470" s="3">
        <v>69</v>
      </c>
    </row>
    <row r="471" spans="1:38" x14ac:dyDescent="0.5">
      <c r="A471">
        <v>60</v>
      </c>
      <c r="B471" s="4">
        <v>210</v>
      </c>
      <c r="C471">
        <v>0.1</v>
      </c>
      <c r="D471">
        <v>50</v>
      </c>
      <c r="E471">
        <v>1000</v>
      </c>
      <c r="F471">
        <v>300</v>
      </c>
      <c r="G471" s="3">
        <f t="shared" si="277"/>
        <v>6</v>
      </c>
      <c r="N471">
        <v>87.4</v>
      </c>
      <c r="O471">
        <v>77.16</v>
      </c>
      <c r="P471" s="3">
        <v>9.59</v>
      </c>
      <c r="Q471">
        <v>29.4</v>
      </c>
      <c r="R471">
        <v>4.84</v>
      </c>
      <c r="S471">
        <v>5.82</v>
      </c>
      <c r="T471">
        <v>46.68</v>
      </c>
      <c r="U471">
        <v>0</v>
      </c>
      <c r="V471">
        <f t="shared" si="278"/>
        <v>1.9755102040816328</v>
      </c>
      <c r="W471">
        <f t="shared" si="279"/>
        <v>1.1908163265306124</v>
      </c>
      <c r="X471">
        <v>13.25</v>
      </c>
      <c r="Y471" s="3">
        <v>15.38</v>
      </c>
      <c r="Z471">
        <v>36.99</v>
      </c>
      <c r="AA471">
        <v>3.77</v>
      </c>
      <c r="AB471">
        <v>3.82</v>
      </c>
      <c r="AC471">
        <v>39.32</v>
      </c>
      <c r="AD471">
        <v>0</v>
      </c>
      <c r="AE471">
        <f t="shared" si="272"/>
        <v>1.2230332522303324</v>
      </c>
      <c r="AF471">
        <f t="shared" si="273"/>
        <v>0.79724249797242497</v>
      </c>
      <c r="AH471">
        <v>20.9</v>
      </c>
      <c r="AI471" s="3">
        <v>60</v>
      </c>
    </row>
    <row r="472" spans="1:38" x14ac:dyDescent="0.5">
      <c r="A472">
        <v>60</v>
      </c>
      <c r="B472" s="4">
        <v>240</v>
      </c>
      <c r="C472">
        <v>0.1</v>
      </c>
      <c r="D472">
        <v>50</v>
      </c>
      <c r="E472">
        <v>1000</v>
      </c>
      <c r="F472">
        <v>300</v>
      </c>
      <c r="G472" s="3">
        <f t="shared" si="277"/>
        <v>6</v>
      </c>
      <c r="N472">
        <v>87.4</v>
      </c>
      <c r="O472">
        <v>77.16</v>
      </c>
      <c r="P472" s="3">
        <v>9.59</v>
      </c>
      <c r="Q472">
        <v>29.4</v>
      </c>
      <c r="R472">
        <v>4.84</v>
      </c>
      <c r="S472">
        <v>5.82</v>
      </c>
      <c r="T472">
        <v>46.68</v>
      </c>
      <c r="U472">
        <v>0</v>
      </c>
      <c r="V472">
        <f t="shared" si="278"/>
        <v>1.9755102040816328</v>
      </c>
      <c r="W472">
        <f t="shared" si="279"/>
        <v>1.1908163265306124</v>
      </c>
      <c r="X472">
        <v>13.25</v>
      </c>
      <c r="Y472" s="3">
        <v>15.38</v>
      </c>
      <c r="Z472">
        <v>40.03</v>
      </c>
      <c r="AA472">
        <v>2.76</v>
      </c>
      <c r="AB472">
        <v>2.91</v>
      </c>
      <c r="AC472">
        <v>37.35</v>
      </c>
      <c r="AD472">
        <v>0</v>
      </c>
      <c r="AE472">
        <f t="shared" si="272"/>
        <v>0.8273794654009492</v>
      </c>
      <c r="AF472">
        <f t="shared" si="273"/>
        <v>0.6997876592555583</v>
      </c>
      <c r="AH472">
        <v>23.32</v>
      </c>
      <c r="AI472" s="3">
        <v>48</v>
      </c>
    </row>
    <row r="473" spans="1:38" x14ac:dyDescent="0.5">
      <c r="A473">
        <v>60</v>
      </c>
      <c r="B473" s="4">
        <v>270</v>
      </c>
      <c r="C473">
        <v>0.1</v>
      </c>
      <c r="D473">
        <v>50</v>
      </c>
      <c r="E473">
        <v>1000</v>
      </c>
      <c r="F473">
        <v>300</v>
      </c>
      <c r="G473" s="3">
        <f t="shared" si="277"/>
        <v>6</v>
      </c>
      <c r="N473">
        <v>87.4</v>
      </c>
      <c r="O473">
        <v>77.16</v>
      </c>
      <c r="P473" s="3">
        <v>9.59</v>
      </c>
      <c r="Q473">
        <v>29.4</v>
      </c>
      <c r="R473">
        <v>4.84</v>
      </c>
      <c r="S473">
        <v>5.82</v>
      </c>
      <c r="T473">
        <v>46.68</v>
      </c>
      <c r="U473">
        <v>0</v>
      </c>
      <c r="V473">
        <f t="shared" si="278"/>
        <v>1.9755102040816328</v>
      </c>
      <c r="W473">
        <f t="shared" si="279"/>
        <v>1.1908163265306124</v>
      </c>
      <c r="X473">
        <v>13.25</v>
      </c>
      <c r="Y473" s="3">
        <v>15.38</v>
      </c>
      <c r="Z473">
        <v>42.14</v>
      </c>
      <c r="AA473">
        <v>2.52</v>
      </c>
      <c r="AB473">
        <v>2.37</v>
      </c>
      <c r="AC473">
        <v>32.04</v>
      </c>
      <c r="AD473">
        <v>0</v>
      </c>
      <c r="AE473">
        <f t="shared" si="272"/>
        <v>0.71760797342192695</v>
      </c>
      <c r="AF473">
        <f t="shared" si="273"/>
        <v>0.57024205030849551</v>
      </c>
      <c r="AH473">
        <v>25.4</v>
      </c>
      <c r="AI473" s="3">
        <v>37</v>
      </c>
    </row>
    <row r="474" spans="1:38" x14ac:dyDescent="0.5">
      <c r="A474">
        <v>60</v>
      </c>
      <c r="B474" s="4">
        <v>150</v>
      </c>
      <c r="C474">
        <v>0.1</v>
      </c>
      <c r="D474">
        <v>50</v>
      </c>
      <c r="E474">
        <v>1000</v>
      </c>
      <c r="F474">
        <v>300</v>
      </c>
      <c r="G474" s="3">
        <f t="shared" si="277"/>
        <v>6</v>
      </c>
      <c r="N474">
        <v>86.3</v>
      </c>
      <c r="O474">
        <v>85.81</v>
      </c>
      <c r="P474" s="3">
        <v>9.64</v>
      </c>
      <c r="Q474">
        <v>53.03</v>
      </c>
      <c r="R474">
        <v>8.3699999999999992</v>
      </c>
      <c r="S474">
        <v>9.9499999999999993</v>
      </c>
      <c r="T474">
        <v>24.1</v>
      </c>
      <c r="U474">
        <v>0</v>
      </c>
      <c r="V474">
        <f t="shared" si="278"/>
        <v>1.894022251555723</v>
      </c>
      <c r="W474">
        <f t="shared" si="279"/>
        <v>0.34084480482745622</v>
      </c>
      <c r="X474">
        <v>4.55</v>
      </c>
      <c r="Y474" s="3">
        <v>23.82</v>
      </c>
      <c r="Z474">
        <v>54.29</v>
      </c>
      <c r="AA474">
        <v>8.59</v>
      </c>
      <c r="AB474">
        <v>8.9499999999999993</v>
      </c>
      <c r="AC474">
        <v>20.5</v>
      </c>
      <c r="AD474">
        <v>0</v>
      </c>
      <c r="AE474">
        <f t="shared" si="272"/>
        <v>1.8986922085098543</v>
      </c>
      <c r="AF474">
        <f t="shared" si="273"/>
        <v>0.28320132621108857</v>
      </c>
      <c r="AH474">
        <v>24.78</v>
      </c>
      <c r="AI474" s="3">
        <v>71</v>
      </c>
    </row>
    <row r="475" spans="1:38" x14ac:dyDescent="0.5">
      <c r="A475">
        <v>60</v>
      </c>
      <c r="B475" s="4">
        <v>180</v>
      </c>
      <c r="C475">
        <v>0.1</v>
      </c>
      <c r="D475">
        <v>50</v>
      </c>
      <c r="E475">
        <v>1000</v>
      </c>
      <c r="F475">
        <v>300</v>
      </c>
      <c r="G475" s="3">
        <f t="shared" ref="G475:G484" si="280">F475/D475</f>
        <v>6</v>
      </c>
      <c r="N475">
        <v>86.3</v>
      </c>
      <c r="O475">
        <v>85.81</v>
      </c>
      <c r="P475" s="3">
        <v>9.64</v>
      </c>
      <c r="Q475">
        <v>53.03</v>
      </c>
      <c r="R475">
        <v>8.3699999999999992</v>
      </c>
      <c r="S475">
        <v>9.9499999999999993</v>
      </c>
      <c r="T475">
        <v>24.1</v>
      </c>
      <c r="U475">
        <v>0</v>
      </c>
      <c r="V475">
        <f t="shared" ref="V475:V479" si="281">(R475/1)/(Q475/12)</f>
        <v>1.894022251555723</v>
      </c>
      <c r="W475">
        <f t="shared" ref="W475:W479" si="282">(T475/16)/(Q475/12)</f>
        <v>0.34084480482745622</v>
      </c>
      <c r="X475">
        <v>4.55</v>
      </c>
      <c r="Y475" s="3">
        <v>23.82</v>
      </c>
      <c r="Z475">
        <v>57.97</v>
      </c>
      <c r="AA475">
        <v>8.94</v>
      </c>
      <c r="AB475">
        <v>8.58</v>
      </c>
      <c r="AC475">
        <v>14.55</v>
      </c>
      <c r="AD475">
        <v>0</v>
      </c>
      <c r="AE475">
        <f t="shared" si="272"/>
        <v>1.8506123857167498</v>
      </c>
      <c r="AF475">
        <f t="shared" si="273"/>
        <v>0.18824391926858719</v>
      </c>
      <c r="AH475">
        <v>27.12</v>
      </c>
      <c r="AI475" s="3">
        <v>66</v>
      </c>
    </row>
    <row r="476" spans="1:38" x14ac:dyDescent="0.5">
      <c r="A476">
        <v>60</v>
      </c>
      <c r="B476" s="4">
        <v>210</v>
      </c>
      <c r="C476">
        <v>0.1</v>
      </c>
      <c r="D476">
        <v>50</v>
      </c>
      <c r="E476">
        <v>1000</v>
      </c>
      <c r="F476">
        <v>300</v>
      </c>
      <c r="G476" s="3">
        <f t="shared" si="280"/>
        <v>6</v>
      </c>
      <c r="N476">
        <v>86.3</v>
      </c>
      <c r="O476">
        <v>85.81</v>
      </c>
      <c r="P476" s="3">
        <v>9.64</v>
      </c>
      <c r="Q476">
        <v>53.03</v>
      </c>
      <c r="R476">
        <v>8.3699999999999992</v>
      </c>
      <c r="S476">
        <v>9.9499999999999993</v>
      </c>
      <c r="T476">
        <v>24.1</v>
      </c>
      <c r="U476">
        <v>0</v>
      </c>
      <c r="V476">
        <f t="shared" si="281"/>
        <v>1.894022251555723</v>
      </c>
      <c r="W476">
        <f t="shared" si="282"/>
        <v>0.34084480482745622</v>
      </c>
      <c r="X476">
        <v>4.55</v>
      </c>
      <c r="Y476" s="3">
        <v>23.82</v>
      </c>
      <c r="Z476">
        <v>63.54</v>
      </c>
      <c r="AA476">
        <v>8.93</v>
      </c>
      <c r="AB476">
        <v>8.64</v>
      </c>
      <c r="AC476">
        <v>10.63</v>
      </c>
      <c r="AD476">
        <v>0</v>
      </c>
      <c r="AE476">
        <f t="shared" si="272"/>
        <v>1.6864966949952784</v>
      </c>
      <c r="AF476">
        <f t="shared" si="273"/>
        <v>0.12547214353163363</v>
      </c>
      <c r="AH476">
        <v>29.82</v>
      </c>
      <c r="AI476" s="3">
        <v>66</v>
      </c>
    </row>
    <row r="477" spans="1:38" x14ac:dyDescent="0.5">
      <c r="A477">
        <v>60</v>
      </c>
      <c r="B477" s="4">
        <v>240</v>
      </c>
      <c r="C477">
        <v>0.1</v>
      </c>
      <c r="D477">
        <v>50</v>
      </c>
      <c r="E477">
        <v>1000</v>
      </c>
      <c r="F477">
        <v>300</v>
      </c>
      <c r="G477" s="3">
        <f t="shared" si="280"/>
        <v>6</v>
      </c>
      <c r="N477">
        <v>86.3</v>
      </c>
      <c r="O477">
        <v>85.81</v>
      </c>
      <c r="P477" s="3">
        <v>9.64</v>
      </c>
      <c r="Q477">
        <v>53.03</v>
      </c>
      <c r="R477">
        <v>8.3699999999999992</v>
      </c>
      <c r="S477">
        <v>9.9499999999999993</v>
      </c>
      <c r="T477">
        <v>24.1</v>
      </c>
      <c r="U477">
        <v>0</v>
      </c>
      <c r="V477">
        <f t="shared" si="281"/>
        <v>1.894022251555723</v>
      </c>
      <c r="W477">
        <f t="shared" si="282"/>
        <v>0.34084480482745622</v>
      </c>
      <c r="X477">
        <v>4.55</v>
      </c>
      <c r="Y477" s="3">
        <v>23.82</v>
      </c>
      <c r="Z477">
        <v>68.88</v>
      </c>
      <c r="AA477">
        <v>8.9600000000000009</v>
      </c>
      <c r="AB477">
        <v>7.66</v>
      </c>
      <c r="AC477">
        <v>5.83</v>
      </c>
      <c r="AD477">
        <v>0</v>
      </c>
      <c r="AE477">
        <f t="shared" si="272"/>
        <v>1.5609756097560978</v>
      </c>
      <c r="AF477">
        <f t="shared" si="273"/>
        <v>6.3479965156794438E-2</v>
      </c>
      <c r="AH477">
        <v>32.479999999999997</v>
      </c>
      <c r="AI477" s="3">
        <v>59</v>
      </c>
    </row>
    <row r="478" spans="1:38" x14ac:dyDescent="0.5">
      <c r="A478">
        <v>60</v>
      </c>
      <c r="B478" s="4">
        <v>270</v>
      </c>
      <c r="C478">
        <v>0.1</v>
      </c>
      <c r="D478">
        <v>50</v>
      </c>
      <c r="E478">
        <v>1000</v>
      </c>
      <c r="F478">
        <v>300</v>
      </c>
      <c r="G478" s="3">
        <f t="shared" si="280"/>
        <v>6</v>
      </c>
      <c r="N478">
        <v>86.3</v>
      </c>
      <c r="O478">
        <v>85.81</v>
      </c>
      <c r="P478" s="3">
        <v>9.64</v>
      </c>
      <c r="Q478">
        <v>53.03</v>
      </c>
      <c r="R478">
        <v>8.3699999999999992</v>
      </c>
      <c r="S478">
        <v>9.9499999999999993</v>
      </c>
      <c r="T478">
        <v>24.1</v>
      </c>
      <c r="U478">
        <v>0</v>
      </c>
      <c r="V478">
        <f t="shared" si="281"/>
        <v>1.894022251555723</v>
      </c>
      <c r="W478">
        <f t="shared" si="282"/>
        <v>0.34084480482745622</v>
      </c>
      <c r="X478">
        <v>4.55</v>
      </c>
      <c r="Y478" s="3">
        <v>23.82</v>
      </c>
      <c r="Z478">
        <v>71.63</v>
      </c>
      <c r="AA478">
        <v>9.41</v>
      </c>
      <c r="AB478">
        <v>6.99</v>
      </c>
      <c r="AC478">
        <v>1.45</v>
      </c>
      <c r="AD478">
        <v>0</v>
      </c>
      <c r="AE478">
        <f t="shared" si="272"/>
        <v>1.5764344548373588</v>
      </c>
      <c r="AF478">
        <f t="shared" si="273"/>
        <v>1.5182186234817815E-2</v>
      </c>
      <c r="AH478">
        <v>34.53</v>
      </c>
      <c r="AI478" s="3">
        <v>50</v>
      </c>
    </row>
    <row r="479" spans="1:38" x14ac:dyDescent="0.5">
      <c r="A479">
        <v>60</v>
      </c>
      <c r="B479" s="4">
        <v>150</v>
      </c>
      <c r="C479">
        <v>0.1</v>
      </c>
      <c r="D479">
        <v>50</v>
      </c>
      <c r="E479">
        <v>1000</v>
      </c>
      <c r="F479">
        <v>300</v>
      </c>
      <c r="G479" s="3">
        <f t="shared" si="280"/>
        <v>6</v>
      </c>
      <c r="N479">
        <v>90.7</v>
      </c>
      <c r="O479">
        <v>66.87</v>
      </c>
      <c r="P479" s="3">
        <v>7.07</v>
      </c>
      <c r="Q479">
        <v>38.549999999999997</v>
      </c>
      <c r="R479">
        <v>6.46</v>
      </c>
      <c r="S479">
        <v>5.82</v>
      </c>
      <c r="T479">
        <v>46.68</v>
      </c>
      <c r="U479">
        <v>0</v>
      </c>
      <c r="V479">
        <f t="shared" si="281"/>
        <v>2.0108949416342412</v>
      </c>
      <c r="W479">
        <f t="shared" si="282"/>
        <v>0.90817120622568093</v>
      </c>
      <c r="X479">
        <v>26.06</v>
      </c>
      <c r="Y479" s="3">
        <v>16.48</v>
      </c>
      <c r="Z479">
        <v>39.979999999999997</v>
      </c>
      <c r="AA479">
        <v>5.84</v>
      </c>
      <c r="AB479">
        <v>6.18</v>
      </c>
      <c r="AC479">
        <v>20.04</v>
      </c>
      <c r="AD479">
        <v>0.22</v>
      </c>
      <c r="AE479">
        <f t="shared" si="272"/>
        <v>1.7528764382191095</v>
      </c>
      <c r="AF479">
        <f t="shared" si="273"/>
        <v>0.37593796898449222</v>
      </c>
      <c r="AH479">
        <v>17.29</v>
      </c>
      <c r="AI479" s="3">
        <v>94</v>
      </c>
    </row>
    <row r="480" spans="1:38" x14ac:dyDescent="0.5">
      <c r="A480">
        <v>60</v>
      </c>
      <c r="B480" s="4">
        <v>180</v>
      </c>
      <c r="C480">
        <v>0.1</v>
      </c>
      <c r="D480">
        <v>50</v>
      </c>
      <c r="E480">
        <v>1000</v>
      </c>
      <c r="F480">
        <v>300</v>
      </c>
      <c r="G480" s="3">
        <f t="shared" si="280"/>
        <v>6</v>
      </c>
      <c r="N480">
        <v>90.7</v>
      </c>
      <c r="O480">
        <v>66.87</v>
      </c>
      <c r="P480" s="3">
        <v>7.07</v>
      </c>
      <c r="Q480">
        <v>38.549999999999997</v>
      </c>
      <c r="R480">
        <v>6.46</v>
      </c>
      <c r="S480">
        <v>5.82</v>
      </c>
      <c r="T480">
        <v>46.68</v>
      </c>
      <c r="U480">
        <v>0</v>
      </c>
      <c r="V480">
        <f t="shared" ref="V480:V484" si="283">(R480/1)/(Q480/12)</f>
        <v>2.0108949416342412</v>
      </c>
      <c r="W480">
        <f t="shared" ref="W480:W484" si="284">(T480/16)/(Q480/12)</f>
        <v>0.90817120622568093</v>
      </c>
      <c r="X480">
        <v>26.06</v>
      </c>
      <c r="Y480" s="3">
        <v>16.48</v>
      </c>
      <c r="Z480">
        <v>40.99</v>
      </c>
      <c r="AA480">
        <v>5.68</v>
      </c>
      <c r="AB480">
        <v>5.98</v>
      </c>
      <c r="AC480">
        <v>17.170000000000002</v>
      </c>
      <c r="AD480">
        <v>0.21</v>
      </c>
      <c r="AE480">
        <f t="shared" si="272"/>
        <v>1.6628445962429859</v>
      </c>
      <c r="AF480">
        <f t="shared" si="273"/>
        <v>0.31416199072944623</v>
      </c>
      <c r="AH480">
        <v>17.48</v>
      </c>
      <c r="AI480" s="3">
        <v>91</v>
      </c>
    </row>
    <row r="481" spans="1:38" x14ac:dyDescent="0.5">
      <c r="A481">
        <v>60</v>
      </c>
      <c r="B481" s="4">
        <v>210</v>
      </c>
      <c r="C481">
        <v>0.1</v>
      </c>
      <c r="D481">
        <v>50</v>
      </c>
      <c r="E481">
        <v>1000</v>
      </c>
      <c r="F481">
        <v>300</v>
      </c>
      <c r="G481" s="3">
        <f t="shared" si="280"/>
        <v>6</v>
      </c>
      <c r="N481">
        <v>90.7</v>
      </c>
      <c r="O481">
        <v>66.87</v>
      </c>
      <c r="P481" s="3">
        <v>7.07</v>
      </c>
      <c r="Q481">
        <v>38.549999999999997</v>
      </c>
      <c r="R481">
        <v>6.46</v>
      </c>
      <c r="S481">
        <v>5.82</v>
      </c>
      <c r="T481">
        <v>46.68</v>
      </c>
      <c r="U481">
        <v>0</v>
      </c>
      <c r="V481">
        <f t="shared" si="283"/>
        <v>2.0108949416342412</v>
      </c>
      <c r="W481">
        <f t="shared" si="284"/>
        <v>0.90817120622568093</v>
      </c>
      <c r="X481">
        <v>26.06</v>
      </c>
      <c r="Y481" s="3">
        <v>16.48</v>
      </c>
      <c r="Z481">
        <v>41.6</v>
      </c>
      <c r="AA481">
        <v>5.26</v>
      </c>
      <c r="AB481">
        <v>5.71</v>
      </c>
      <c r="AC481">
        <v>15.2</v>
      </c>
      <c r="AD481">
        <v>0.2</v>
      </c>
      <c r="AE481">
        <f t="shared" si="272"/>
        <v>1.5173076923076922</v>
      </c>
      <c r="AF481">
        <f t="shared" si="273"/>
        <v>0.27403846153846151</v>
      </c>
      <c r="AH481">
        <v>18.3</v>
      </c>
      <c r="AI481" s="3">
        <v>88</v>
      </c>
    </row>
    <row r="482" spans="1:38" x14ac:dyDescent="0.5">
      <c r="A482">
        <v>60</v>
      </c>
      <c r="B482" s="4">
        <v>240</v>
      </c>
      <c r="C482">
        <v>0.1</v>
      </c>
      <c r="D482">
        <v>50</v>
      </c>
      <c r="E482">
        <v>1000</v>
      </c>
      <c r="F482">
        <v>300</v>
      </c>
      <c r="G482" s="3">
        <f t="shared" si="280"/>
        <v>6</v>
      </c>
      <c r="N482">
        <v>90.7</v>
      </c>
      <c r="O482">
        <v>66.87</v>
      </c>
      <c r="P482" s="3">
        <v>7.07</v>
      </c>
      <c r="Q482">
        <v>38.549999999999997</v>
      </c>
      <c r="R482">
        <v>6.46</v>
      </c>
      <c r="S482">
        <v>5.82</v>
      </c>
      <c r="T482">
        <v>46.68</v>
      </c>
      <c r="U482">
        <v>0</v>
      </c>
      <c r="V482">
        <f t="shared" si="283"/>
        <v>2.0108949416342412</v>
      </c>
      <c r="W482">
        <f t="shared" si="284"/>
        <v>0.90817120622568093</v>
      </c>
      <c r="X482">
        <v>26.06</v>
      </c>
      <c r="Y482" s="3">
        <v>16.48</v>
      </c>
      <c r="Z482">
        <v>40.17</v>
      </c>
      <c r="AA482">
        <v>4.7699999999999996</v>
      </c>
      <c r="AB482">
        <v>5.14</v>
      </c>
      <c r="AC482">
        <v>12.3</v>
      </c>
      <c r="AD482">
        <v>0.19</v>
      </c>
      <c r="AE482">
        <f t="shared" si="272"/>
        <v>1.4249439880507839</v>
      </c>
      <c r="AF482">
        <f t="shared" si="273"/>
        <v>0.22964899178491413</v>
      </c>
      <c r="AH482">
        <v>17.16</v>
      </c>
      <c r="AI482" s="3">
        <v>67</v>
      </c>
    </row>
    <row r="483" spans="1:38" x14ac:dyDescent="0.5">
      <c r="A483">
        <v>60</v>
      </c>
      <c r="B483" s="4">
        <v>270</v>
      </c>
      <c r="C483">
        <v>0.1</v>
      </c>
      <c r="D483">
        <v>50</v>
      </c>
      <c r="E483">
        <v>1000</v>
      </c>
      <c r="F483">
        <v>300</v>
      </c>
      <c r="G483" s="3">
        <f t="shared" si="280"/>
        <v>6</v>
      </c>
      <c r="N483">
        <v>90.7</v>
      </c>
      <c r="O483">
        <v>66.87</v>
      </c>
      <c r="P483" s="3">
        <v>7.07</v>
      </c>
      <c r="Q483">
        <v>38.549999999999997</v>
      </c>
      <c r="R483">
        <v>6.46</v>
      </c>
      <c r="S483">
        <v>5.82</v>
      </c>
      <c r="T483">
        <v>46.68</v>
      </c>
      <c r="U483">
        <v>0</v>
      </c>
      <c r="V483">
        <f t="shared" si="283"/>
        <v>2.0108949416342412</v>
      </c>
      <c r="W483">
        <f t="shared" si="284"/>
        <v>0.90817120622568093</v>
      </c>
      <c r="X483">
        <v>26.06</v>
      </c>
      <c r="Y483" s="3">
        <v>16.48</v>
      </c>
      <c r="Z483">
        <v>38.78</v>
      </c>
      <c r="AA483">
        <v>4.22</v>
      </c>
      <c r="AB483">
        <v>4.1100000000000003</v>
      </c>
      <c r="AC483">
        <v>13.14</v>
      </c>
      <c r="AD483">
        <v>0.11</v>
      </c>
      <c r="AE483">
        <f t="shared" si="272"/>
        <v>1.3058277462609591</v>
      </c>
      <c r="AF483">
        <f t="shared" si="273"/>
        <v>0.25412583806085609</v>
      </c>
      <c r="AH483">
        <v>16.41</v>
      </c>
      <c r="AI483" s="3">
        <v>51</v>
      </c>
    </row>
    <row r="484" spans="1:38" x14ac:dyDescent="0.5">
      <c r="A484">
        <v>120</v>
      </c>
      <c r="B484" s="4">
        <v>250</v>
      </c>
      <c r="C484">
        <v>0.1</v>
      </c>
      <c r="D484">
        <v>35</v>
      </c>
      <c r="E484">
        <v>500</v>
      </c>
      <c r="F484">
        <v>350</v>
      </c>
      <c r="G484" s="3">
        <f t="shared" si="280"/>
        <v>10</v>
      </c>
      <c r="K484">
        <v>7.2</v>
      </c>
      <c r="L484">
        <v>9.4</v>
      </c>
      <c r="M484">
        <v>12.2</v>
      </c>
      <c r="O484">
        <v>65.7</v>
      </c>
      <c r="P484" s="3">
        <v>3.8</v>
      </c>
      <c r="Q484">
        <v>32.9</v>
      </c>
      <c r="R484">
        <v>3</v>
      </c>
      <c r="S484">
        <v>4</v>
      </c>
      <c r="T484">
        <v>29.4</v>
      </c>
      <c r="U484">
        <v>0.2</v>
      </c>
      <c r="V484">
        <f t="shared" si="283"/>
        <v>1.094224924012158</v>
      </c>
      <c r="W484">
        <f t="shared" si="284"/>
        <v>0.67021276595744672</v>
      </c>
      <c r="X484">
        <v>30.5</v>
      </c>
      <c r="Y484" s="3">
        <f>(0.338*Q484)+1.428*(R484-(T484/8))</f>
        <v>10.156300000000002</v>
      </c>
      <c r="Z484">
        <v>61.6</v>
      </c>
      <c r="AA484">
        <v>7.1</v>
      </c>
      <c r="AB484">
        <v>1.5</v>
      </c>
      <c r="AC484">
        <v>18.100000000000001</v>
      </c>
      <c r="AD484">
        <v>0.1</v>
      </c>
      <c r="AE484">
        <f t="shared" ref="AE484:AE519" si="285">(AA484/1)/(Z484/12)</f>
        <v>1.383116883116883</v>
      </c>
      <c r="AF484">
        <f t="shared" ref="AF484:AF519" si="286">(AC484/16)/(Z484/12)</f>
        <v>0.22037337662337661</v>
      </c>
      <c r="AG484" s="3">
        <v>11.6</v>
      </c>
      <c r="AH484">
        <v>27.93</v>
      </c>
      <c r="AI484" s="3">
        <v>33</v>
      </c>
      <c r="AJ484" s="2" t="s">
        <v>135</v>
      </c>
      <c r="AK484" t="s">
        <v>28</v>
      </c>
      <c r="AL484">
        <v>54</v>
      </c>
    </row>
    <row r="485" spans="1:38" x14ac:dyDescent="0.5">
      <c r="A485">
        <v>120</v>
      </c>
      <c r="B485" s="4">
        <v>250</v>
      </c>
      <c r="C485">
        <v>0.1</v>
      </c>
      <c r="D485">
        <v>35</v>
      </c>
      <c r="E485">
        <v>500</v>
      </c>
      <c r="F485">
        <v>350</v>
      </c>
      <c r="G485" s="3">
        <f t="shared" ref="G485:G488" si="287">F485/D485</f>
        <v>10</v>
      </c>
      <c r="K485">
        <v>7.2</v>
      </c>
      <c r="L485">
        <v>9.4</v>
      </c>
      <c r="M485">
        <v>12.2</v>
      </c>
      <c r="O485">
        <v>65.7</v>
      </c>
      <c r="P485" s="3">
        <v>3.8</v>
      </c>
      <c r="Q485">
        <v>32.9</v>
      </c>
      <c r="R485">
        <v>3</v>
      </c>
      <c r="S485">
        <v>4</v>
      </c>
      <c r="T485">
        <v>29.4</v>
      </c>
      <c r="U485">
        <v>0.2</v>
      </c>
      <c r="V485">
        <f t="shared" ref="V485:V490" si="288">(R485/1)/(Q485/12)</f>
        <v>1.094224924012158</v>
      </c>
      <c r="W485">
        <f t="shared" ref="W485:W490" si="289">(T485/16)/(Q485/12)</f>
        <v>0.67021276595744672</v>
      </c>
      <c r="X485">
        <v>30.5</v>
      </c>
      <c r="Y485" s="3">
        <f t="shared" ref="Y485:Y490" si="290">(0.338*Q485)+1.428*(R485-(T485/8))</f>
        <v>10.156300000000002</v>
      </c>
      <c r="Z485">
        <v>50.8</v>
      </c>
      <c r="AA485">
        <v>6.5</v>
      </c>
      <c r="AB485">
        <v>2.4</v>
      </c>
      <c r="AC485">
        <v>14.9</v>
      </c>
      <c r="AD485">
        <v>0.4</v>
      </c>
      <c r="AE485">
        <f t="shared" si="285"/>
        <v>1.5354330708661417</v>
      </c>
      <c r="AF485">
        <f t="shared" si="286"/>
        <v>0.21998031496062992</v>
      </c>
      <c r="AG485" s="3">
        <v>24.9</v>
      </c>
      <c r="AH485">
        <v>23.81</v>
      </c>
      <c r="AI485" s="3">
        <v>43</v>
      </c>
    </row>
    <row r="486" spans="1:38" x14ac:dyDescent="0.5">
      <c r="A486">
        <v>120</v>
      </c>
      <c r="B486" s="4">
        <v>250</v>
      </c>
      <c r="C486">
        <v>0.1</v>
      </c>
      <c r="D486">
        <v>35</v>
      </c>
      <c r="E486">
        <v>500</v>
      </c>
      <c r="F486">
        <v>350</v>
      </c>
      <c r="G486" s="3">
        <f t="shared" si="287"/>
        <v>10</v>
      </c>
      <c r="K486">
        <v>7.2</v>
      </c>
      <c r="L486">
        <v>9.4</v>
      </c>
      <c r="M486">
        <v>12.2</v>
      </c>
      <c r="O486">
        <v>65.7</v>
      </c>
      <c r="P486" s="3">
        <v>3.8</v>
      </c>
      <c r="Q486">
        <v>32.9</v>
      </c>
      <c r="R486">
        <v>3</v>
      </c>
      <c r="S486">
        <v>4</v>
      </c>
      <c r="T486">
        <v>29.4</v>
      </c>
      <c r="U486">
        <v>0.2</v>
      </c>
      <c r="V486">
        <f t="shared" si="288"/>
        <v>1.094224924012158</v>
      </c>
      <c r="W486">
        <f t="shared" si="289"/>
        <v>0.67021276595744672</v>
      </c>
      <c r="X486">
        <v>30.5</v>
      </c>
      <c r="Y486" s="3">
        <f t="shared" si="290"/>
        <v>10.156300000000002</v>
      </c>
      <c r="Z486">
        <v>53.7</v>
      </c>
      <c r="AA486">
        <v>6</v>
      </c>
      <c r="AB486">
        <v>2.4</v>
      </c>
      <c r="AC486">
        <v>14.8</v>
      </c>
      <c r="AD486">
        <v>0.3</v>
      </c>
      <c r="AE486">
        <f t="shared" si="285"/>
        <v>1.3407821229050279</v>
      </c>
      <c r="AF486">
        <f t="shared" si="286"/>
        <v>0.20670391061452512</v>
      </c>
      <c r="AG486" s="3">
        <v>22.8</v>
      </c>
      <c r="AH486">
        <v>24.22</v>
      </c>
      <c r="AI486" s="3">
        <v>41</v>
      </c>
    </row>
    <row r="487" spans="1:38" x14ac:dyDescent="0.5">
      <c r="A487">
        <v>120</v>
      </c>
      <c r="B487" s="4">
        <v>250</v>
      </c>
      <c r="C487">
        <v>0.1</v>
      </c>
      <c r="D487">
        <v>35</v>
      </c>
      <c r="E487">
        <v>500</v>
      </c>
      <c r="F487">
        <v>350</v>
      </c>
      <c r="G487" s="3">
        <f t="shared" si="287"/>
        <v>10</v>
      </c>
      <c r="K487">
        <v>7.2</v>
      </c>
      <c r="L487">
        <v>9.4</v>
      </c>
      <c r="M487">
        <v>12.2</v>
      </c>
      <c r="O487">
        <v>65.7</v>
      </c>
      <c r="P487" s="3">
        <v>3.8</v>
      </c>
      <c r="Q487">
        <v>32.9</v>
      </c>
      <c r="R487">
        <v>3</v>
      </c>
      <c r="S487">
        <v>4</v>
      </c>
      <c r="T487">
        <v>29.4</v>
      </c>
      <c r="U487">
        <v>0.2</v>
      </c>
      <c r="V487">
        <f t="shared" si="288"/>
        <v>1.094224924012158</v>
      </c>
      <c r="W487">
        <f t="shared" si="289"/>
        <v>0.67021276595744672</v>
      </c>
      <c r="X487">
        <v>30.5</v>
      </c>
      <c r="Y487" s="3">
        <f t="shared" si="290"/>
        <v>10.156300000000002</v>
      </c>
      <c r="Z487">
        <v>60.7</v>
      </c>
      <c r="AA487">
        <v>7</v>
      </c>
      <c r="AB487">
        <v>2.9</v>
      </c>
      <c r="AC487">
        <v>10.7</v>
      </c>
      <c r="AD487">
        <v>0.4</v>
      </c>
      <c r="AE487">
        <f t="shared" si="285"/>
        <v>1.3838550247116967</v>
      </c>
      <c r="AF487">
        <f t="shared" si="286"/>
        <v>0.13220757825370674</v>
      </c>
      <c r="AG487" s="3">
        <v>18.3</v>
      </c>
      <c r="AH487">
        <v>28.34</v>
      </c>
      <c r="AI487" s="3">
        <v>41</v>
      </c>
    </row>
    <row r="488" spans="1:38" x14ac:dyDescent="0.5">
      <c r="A488">
        <v>120</v>
      </c>
      <c r="B488" s="4">
        <v>250</v>
      </c>
      <c r="C488">
        <v>0.1</v>
      </c>
      <c r="D488">
        <v>35</v>
      </c>
      <c r="E488">
        <v>500</v>
      </c>
      <c r="F488">
        <v>350</v>
      </c>
      <c r="G488" s="3">
        <f t="shared" si="287"/>
        <v>10</v>
      </c>
      <c r="K488">
        <v>7.2</v>
      </c>
      <c r="L488">
        <v>9.4</v>
      </c>
      <c r="M488">
        <v>12.2</v>
      </c>
      <c r="O488">
        <v>65.7</v>
      </c>
      <c r="P488" s="3">
        <v>3.8</v>
      </c>
      <c r="Q488">
        <v>32.9</v>
      </c>
      <c r="R488">
        <v>3</v>
      </c>
      <c r="S488">
        <v>4</v>
      </c>
      <c r="T488">
        <v>29.4</v>
      </c>
      <c r="U488">
        <v>0.2</v>
      </c>
      <c r="V488">
        <f t="shared" si="288"/>
        <v>1.094224924012158</v>
      </c>
      <c r="W488">
        <f t="shared" si="289"/>
        <v>0.67021276595744672</v>
      </c>
      <c r="X488">
        <v>30.5</v>
      </c>
      <c r="Y488" s="3">
        <f t="shared" si="290"/>
        <v>10.156300000000002</v>
      </c>
      <c r="Z488">
        <v>53.3</v>
      </c>
      <c r="AA488">
        <v>6.1</v>
      </c>
      <c r="AB488">
        <v>2.7</v>
      </c>
      <c r="AC488">
        <v>15.6</v>
      </c>
      <c r="AD488">
        <v>0.3</v>
      </c>
      <c r="AE488">
        <f t="shared" si="285"/>
        <v>1.3733583489681052</v>
      </c>
      <c r="AF488">
        <f t="shared" si="286"/>
        <v>0.21951219512195122</v>
      </c>
      <c r="AG488" s="3">
        <v>22</v>
      </c>
      <c r="AH488">
        <v>24.09</v>
      </c>
      <c r="AI488" s="3">
        <v>39</v>
      </c>
    </row>
    <row r="489" spans="1:38" x14ac:dyDescent="0.5">
      <c r="A489">
        <v>120</v>
      </c>
      <c r="B489" s="4">
        <v>250</v>
      </c>
      <c r="C489">
        <v>0.1</v>
      </c>
      <c r="D489">
        <v>35</v>
      </c>
      <c r="E489">
        <v>500</v>
      </c>
      <c r="F489">
        <v>350</v>
      </c>
      <c r="G489" s="3">
        <f t="shared" ref="G489:G494" si="291">F489/D489</f>
        <v>10</v>
      </c>
      <c r="K489">
        <v>7.2</v>
      </c>
      <c r="L489">
        <v>9.4</v>
      </c>
      <c r="M489">
        <v>12.2</v>
      </c>
      <c r="O489">
        <v>65.7</v>
      </c>
      <c r="P489" s="3">
        <v>3.8</v>
      </c>
      <c r="Q489">
        <v>32.9</v>
      </c>
      <c r="R489">
        <v>3</v>
      </c>
      <c r="S489">
        <v>4</v>
      </c>
      <c r="T489">
        <v>29.4</v>
      </c>
      <c r="U489">
        <v>0.2</v>
      </c>
      <c r="V489">
        <f t="shared" si="288"/>
        <v>1.094224924012158</v>
      </c>
      <c r="W489">
        <f t="shared" si="289"/>
        <v>0.67021276595744672</v>
      </c>
      <c r="X489">
        <v>30.5</v>
      </c>
      <c r="Y489" s="3">
        <f t="shared" si="290"/>
        <v>10.156300000000002</v>
      </c>
      <c r="Z489">
        <v>53.1</v>
      </c>
      <c r="AA489">
        <v>6.7</v>
      </c>
      <c r="AB489">
        <v>2.7</v>
      </c>
      <c r="AC489">
        <v>14.1</v>
      </c>
      <c r="AD489">
        <v>0.4</v>
      </c>
      <c r="AE489">
        <f t="shared" si="285"/>
        <v>1.5141242937853108</v>
      </c>
      <c r="AF489">
        <f t="shared" si="286"/>
        <v>0.19915254237288135</v>
      </c>
      <c r="AG489" s="3">
        <v>23</v>
      </c>
      <c r="AH489">
        <v>24.93</v>
      </c>
      <c r="AI489" s="3">
        <v>39</v>
      </c>
    </row>
    <row r="490" spans="1:38" x14ac:dyDescent="0.5">
      <c r="A490">
        <v>120</v>
      </c>
      <c r="B490" s="4">
        <v>250</v>
      </c>
      <c r="C490">
        <v>0.1</v>
      </c>
      <c r="D490">
        <v>35</v>
      </c>
      <c r="E490">
        <v>500</v>
      </c>
      <c r="F490">
        <v>350</v>
      </c>
      <c r="G490" s="3">
        <f t="shared" si="291"/>
        <v>10</v>
      </c>
      <c r="K490">
        <v>21</v>
      </c>
      <c r="L490">
        <v>6.1</v>
      </c>
      <c r="M490">
        <v>30.2</v>
      </c>
      <c r="O490">
        <v>74.099999999999994</v>
      </c>
      <c r="P490" s="3">
        <v>13.3</v>
      </c>
      <c r="Q490">
        <v>39.4</v>
      </c>
      <c r="R490">
        <v>5.3</v>
      </c>
      <c r="S490">
        <v>1</v>
      </c>
      <c r="T490">
        <v>41.3</v>
      </c>
      <c r="U490">
        <v>0.5</v>
      </c>
      <c r="V490">
        <f t="shared" si="288"/>
        <v>1.6142131979695431</v>
      </c>
      <c r="W490">
        <f t="shared" si="289"/>
        <v>0.78616751269035534</v>
      </c>
      <c r="X490">
        <v>12.6</v>
      </c>
      <c r="Y490" s="3">
        <f t="shared" si="290"/>
        <v>13.51355</v>
      </c>
      <c r="Z490">
        <v>61.8</v>
      </c>
      <c r="AA490">
        <v>7.1</v>
      </c>
      <c r="AB490">
        <v>1.6</v>
      </c>
      <c r="AC490">
        <v>17.8</v>
      </c>
      <c r="AD490">
        <v>0.1</v>
      </c>
      <c r="AE490">
        <f t="shared" si="285"/>
        <v>1.3786407766990292</v>
      </c>
      <c r="AF490">
        <f t="shared" si="286"/>
        <v>0.2160194174757282</v>
      </c>
      <c r="AG490" s="3">
        <v>11.6</v>
      </c>
      <c r="AH490">
        <v>27.9</v>
      </c>
      <c r="AI490" s="3">
        <v>32</v>
      </c>
    </row>
    <row r="491" spans="1:38" x14ac:dyDescent="0.5">
      <c r="A491">
        <v>120</v>
      </c>
      <c r="B491" s="4">
        <v>250</v>
      </c>
      <c r="C491">
        <v>0.1</v>
      </c>
      <c r="D491">
        <v>35</v>
      </c>
      <c r="E491">
        <v>500</v>
      </c>
      <c r="F491">
        <v>350</v>
      </c>
      <c r="G491" s="3">
        <f t="shared" si="291"/>
        <v>10</v>
      </c>
      <c r="K491">
        <v>21</v>
      </c>
      <c r="L491">
        <v>6.1</v>
      </c>
      <c r="M491">
        <v>30.2</v>
      </c>
      <c r="O491">
        <v>74.099999999999994</v>
      </c>
      <c r="P491" s="3">
        <v>13.3</v>
      </c>
      <c r="Q491">
        <v>39.4</v>
      </c>
      <c r="R491">
        <v>5.3</v>
      </c>
      <c r="S491">
        <v>1</v>
      </c>
      <c r="T491">
        <v>41.3</v>
      </c>
      <c r="U491">
        <v>0.5</v>
      </c>
      <c r="V491">
        <f t="shared" ref="V491:V496" si="292">(R491/1)/(Q491/12)</f>
        <v>1.6142131979695431</v>
      </c>
      <c r="W491">
        <f t="shared" ref="W491:W496" si="293">(T491/16)/(Q491/12)</f>
        <v>0.78616751269035534</v>
      </c>
      <c r="X491">
        <v>12.6</v>
      </c>
      <c r="Y491" s="3">
        <f t="shared" ref="Y491:Y495" si="294">(0.338*Q491)+1.428*(R491-(T491/8))</f>
        <v>13.51355</v>
      </c>
      <c r="Z491">
        <v>51</v>
      </c>
      <c r="AA491">
        <v>5.4</v>
      </c>
      <c r="AB491">
        <v>1.8</v>
      </c>
      <c r="AC491">
        <v>21.7</v>
      </c>
      <c r="AD491">
        <v>0</v>
      </c>
      <c r="AE491">
        <f t="shared" si="285"/>
        <v>1.2705882352941178</v>
      </c>
      <c r="AF491">
        <f t="shared" si="286"/>
        <v>0.31911764705882351</v>
      </c>
      <c r="AG491" s="3">
        <v>20</v>
      </c>
      <c r="AH491">
        <v>21.83</v>
      </c>
      <c r="AI491" s="3">
        <v>54</v>
      </c>
    </row>
    <row r="492" spans="1:38" x14ac:dyDescent="0.5">
      <c r="A492">
        <v>120</v>
      </c>
      <c r="B492" s="4">
        <v>250</v>
      </c>
      <c r="C492">
        <v>0.1</v>
      </c>
      <c r="D492">
        <v>35</v>
      </c>
      <c r="E492">
        <v>500</v>
      </c>
      <c r="F492">
        <v>350</v>
      </c>
      <c r="G492" s="3">
        <f t="shared" si="291"/>
        <v>10</v>
      </c>
      <c r="K492">
        <v>21</v>
      </c>
      <c r="L492">
        <v>6.1</v>
      </c>
      <c r="M492">
        <v>30.2</v>
      </c>
      <c r="O492">
        <v>74.099999999999994</v>
      </c>
      <c r="P492" s="3">
        <v>13.3</v>
      </c>
      <c r="Q492">
        <v>39.4</v>
      </c>
      <c r="R492">
        <v>5.3</v>
      </c>
      <c r="S492">
        <v>1</v>
      </c>
      <c r="T492">
        <v>41.3</v>
      </c>
      <c r="U492">
        <v>0.5</v>
      </c>
      <c r="V492">
        <f t="shared" si="292"/>
        <v>1.6142131979695431</v>
      </c>
      <c r="W492">
        <f t="shared" si="293"/>
        <v>0.78616751269035534</v>
      </c>
      <c r="X492">
        <v>12.6</v>
      </c>
      <c r="Y492" s="3">
        <f t="shared" si="294"/>
        <v>13.51355</v>
      </c>
      <c r="Z492">
        <v>54.3</v>
      </c>
      <c r="AA492">
        <v>5.7</v>
      </c>
      <c r="AB492">
        <v>2.2999999999999998</v>
      </c>
      <c r="AC492">
        <v>18</v>
      </c>
      <c r="AD492">
        <v>0.2</v>
      </c>
      <c r="AE492">
        <f t="shared" si="285"/>
        <v>1.2596685082872929</v>
      </c>
      <c r="AF492">
        <f t="shared" si="286"/>
        <v>0.24861878453038677</v>
      </c>
      <c r="AG492" s="3">
        <v>19.600000000000001</v>
      </c>
      <c r="AH492">
        <v>23.75</v>
      </c>
      <c r="AI492" s="3">
        <v>49</v>
      </c>
    </row>
    <row r="493" spans="1:38" x14ac:dyDescent="0.5">
      <c r="A493">
        <v>120</v>
      </c>
      <c r="B493" s="4">
        <v>250</v>
      </c>
      <c r="C493">
        <v>0.1</v>
      </c>
      <c r="D493">
        <v>35</v>
      </c>
      <c r="E493">
        <v>500</v>
      </c>
      <c r="F493">
        <v>350</v>
      </c>
      <c r="G493" s="3">
        <f t="shared" si="291"/>
        <v>10</v>
      </c>
      <c r="K493">
        <v>21</v>
      </c>
      <c r="L493">
        <v>6.1</v>
      </c>
      <c r="M493">
        <v>30.2</v>
      </c>
      <c r="O493">
        <v>74.099999999999994</v>
      </c>
      <c r="P493" s="3">
        <v>13.3</v>
      </c>
      <c r="Q493">
        <v>39.4</v>
      </c>
      <c r="R493">
        <v>5.3</v>
      </c>
      <c r="S493">
        <v>1</v>
      </c>
      <c r="T493">
        <v>41.3</v>
      </c>
      <c r="U493">
        <v>0.5</v>
      </c>
      <c r="V493">
        <f t="shared" si="292"/>
        <v>1.6142131979695431</v>
      </c>
      <c r="W493">
        <f t="shared" si="293"/>
        <v>0.78616751269035534</v>
      </c>
      <c r="X493">
        <v>12.6</v>
      </c>
      <c r="Y493" s="3">
        <f>(0.338*Q493)+1.428*(R493-(T493/8))</f>
        <v>13.51355</v>
      </c>
      <c r="Z493">
        <v>56.4</v>
      </c>
      <c r="AA493">
        <v>6</v>
      </c>
      <c r="AB493">
        <v>2.8</v>
      </c>
      <c r="AC493">
        <v>17.3</v>
      </c>
      <c r="AD493">
        <v>0.2</v>
      </c>
      <c r="AE493">
        <f t="shared" si="285"/>
        <v>1.2765957446808509</v>
      </c>
      <c r="AF493">
        <f t="shared" si="286"/>
        <v>0.23005319148936171</v>
      </c>
      <c r="AG493" s="3">
        <v>17.399999999999999</v>
      </c>
      <c r="AH493">
        <v>24.93</v>
      </c>
      <c r="AI493" s="3">
        <v>42</v>
      </c>
    </row>
    <row r="494" spans="1:38" x14ac:dyDescent="0.5">
      <c r="A494">
        <v>120</v>
      </c>
      <c r="B494" s="4">
        <v>250</v>
      </c>
      <c r="C494">
        <v>0.1</v>
      </c>
      <c r="D494">
        <v>35</v>
      </c>
      <c r="E494">
        <v>500</v>
      </c>
      <c r="F494">
        <v>350</v>
      </c>
      <c r="G494" s="3">
        <f t="shared" si="291"/>
        <v>10</v>
      </c>
      <c r="K494">
        <v>21</v>
      </c>
      <c r="L494">
        <v>6.1</v>
      </c>
      <c r="M494">
        <v>30.2</v>
      </c>
      <c r="O494">
        <v>74.099999999999994</v>
      </c>
      <c r="P494" s="3">
        <v>13.3</v>
      </c>
      <c r="Q494">
        <v>39.4</v>
      </c>
      <c r="R494">
        <v>5.3</v>
      </c>
      <c r="S494">
        <v>1</v>
      </c>
      <c r="T494">
        <v>41.3</v>
      </c>
      <c r="U494">
        <v>0.5</v>
      </c>
      <c r="V494">
        <f t="shared" si="292"/>
        <v>1.6142131979695431</v>
      </c>
      <c r="W494">
        <f t="shared" si="293"/>
        <v>0.78616751269035534</v>
      </c>
      <c r="X494">
        <v>12.6</v>
      </c>
      <c r="Y494" s="3">
        <f t="shared" si="294"/>
        <v>13.51355</v>
      </c>
      <c r="Z494">
        <v>55.6</v>
      </c>
      <c r="AA494">
        <v>6</v>
      </c>
      <c r="AB494">
        <v>2.7</v>
      </c>
      <c r="AC494">
        <v>17</v>
      </c>
      <c r="AD494">
        <v>0.2</v>
      </c>
      <c r="AE494">
        <f t="shared" si="285"/>
        <v>1.2949640287769784</v>
      </c>
      <c r="AF494">
        <f t="shared" si="286"/>
        <v>0.22931654676258992</v>
      </c>
      <c r="AG494" s="3">
        <v>18.399999999999999</v>
      </c>
      <c r="AH494">
        <v>24.73</v>
      </c>
      <c r="AI494" s="3">
        <v>43</v>
      </c>
    </row>
    <row r="495" spans="1:38" x14ac:dyDescent="0.5">
      <c r="A495">
        <v>120</v>
      </c>
      <c r="B495" s="4">
        <v>250</v>
      </c>
      <c r="C495">
        <v>0.1</v>
      </c>
      <c r="D495">
        <v>35</v>
      </c>
      <c r="E495">
        <v>500</v>
      </c>
      <c r="F495">
        <v>350</v>
      </c>
      <c r="G495" s="3">
        <f t="shared" ref="G495:G496" si="295">F495/D495</f>
        <v>10</v>
      </c>
      <c r="K495">
        <v>21</v>
      </c>
      <c r="L495">
        <v>6.1</v>
      </c>
      <c r="M495">
        <v>30.2</v>
      </c>
      <c r="O495">
        <v>74.099999999999994</v>
      </c>
      <c r="P495" s="3">
        <v>13.3</v>
      </c>
      <c r="Q495">
        <v>39.4</v>
      </c>
      <c r="R495">
        <v>5.3</v>
      </c>
      <c r="S495">
        <v>1</v>
      </c>
      <c r="T495">
        <v>41.3</v>
      </c>
      <c r="U495">
        <v>0.5</v>
      </c>
      <c r="V495">
        <f t="shared" si="292"/>
        <v>1.6142131979695431</v>
      </c>
      <c r="W495">
        <f t="shared" si="293"/>
        <v>0.78616751269035534</v>
      </c>
      <c r="X495">
        <v>12.6</v>
      </c>
      <c r="Y495" s="3">
        <f t="shared" si="294"/>
        <v>13.51355</v>
      </c>
      <c r="Z495">
        <v>55</v>
      </c>
      <c r="AA495">
        <v>5.6</v>
      </c>
      <c r="AB495">
        <v>2.2999999999999998</v>
      </c>
      <c r="AC495">
        <v>18.3</v>
      </c>
      <c r="AD495">
        <v>0</v>
      </c>
      <c r="AE495">
        <f t="shared" si="285"/>
        <v>1.2218181818181819</v>
      </c>
      <c r="AF495">
        <f t="shared" si="286"/>
        <v>0.24954545454545457</v>
      </c>
      <c r="AG495" s="3">
        <v>18.7</v>
      </c>
      <c r="AH495">
        <v>23.87</v>
      </c>
      <c r="AI495" s="3">
        <v>41</v>
      </c>
    </row>
    <row r="496" spans="1:38" x14ac:dyDescent="0.5">
      <c r="A496">
        <v>180</v>
      </c>
      <c r="B496" s="4">
        <v>200</v>
      </c>
      <c r="C496">
        <v>0.1</v>
      </c>
      <c r="D496">
        <v>20</v>
      </c>
      <c r="E496">
        <v>250</v>
      </c>
      <c r="F496">
        <v>180</v>
      </c>
      <c r="G496" s="3">
        <f t="shared" si="295"/>
        <v>9</v>
      </c>
      <c r="N496">
        <v>10</v>
      </c>
      <c r="O496">
        <v>79.2</v>
      </c>
      <c r="P496" s="3">
        <v>10.199999999999999</v>
      </c>
      <c r="Q496">
        <v>50.5</v>
      </c>
      <c r="R496">
        <v>5.9</v>
      </c>
      <c r="S496">
        <v>0.3</v>
      </c>
      <c r="T496">
        <v>43.3</v>
      </c>
      <c r="U496">
        <v>0</v>
      </c>
      <c r="V496">
        <f t="shared" si="292"/>
        <v>1.4019801980198021</v>
      </c>
      <c r="W496">
        <f t="shared" si="293"/>
        <v>0.64306930693069309</v>
      </c>
      <c r="X496">
        <v>0.6</v>
      </c>
      <c r="Y496" s="3">
        <v>18.100000000000001</v>
      </c>
      <c r="Z496">
        <v>53.6</v>
      </c>
      <c r="AA496">
        <v>6.06</v>
      </c>
      <c r="AB496">
        <v>0.22</v>
      </c>
      <c r="AC496">
        <v>40.119999999999997</v>
      </c>
      <c r="AD496">
        <v>0</v>
      </c>
      <c r="AE496">
        <f t="shared" si="285"/>
        <v>1.3567164179104476</v>
      </c>
      <c r="AF496">
        <f t="shared" si="286"/>
        <v>0.56138059701492538</v>
      </c>
      <c r="AH496">
        <v>22.21</v>
      </c>
      <c r="AI496" s="3">
        <v>63</v>
      </c>
      <c r="AJ496" s="2" t="s">
        <v>136</v>
      </c>
      <c r="AK496" t="s">
        <v>137</v>
      </c>
      <c r="AL496">
        <v>55</v>
      </c>
    </row>
    <row r="497" spans="1:38" x14ac:dyDescent="0.5">
      <c r="A497">
        <v>1200</v>
      </c>
      <c r="B497" s="4">
        <v>200</v>
      </c>
      <c r="C497">
        <v>0.1</v>
      </c>
      <c r="D497">
        <v>20</v>
      </c>
      <c r="E497">
        <v>250</v>
      </c>
      <c r="F497">
        <v>180</v>
      </c>
      <c r="G497" s="3">
        <f t="shared" ref="G497:G500" si="296">F497/D497</f>
        <v>9</v>
      </c>
      <c r="N497">
        <v>10</v>
      </c>
      <c r="O497">
        <v>79.2</v>
      </c>
      <c r="P497" s="3">
        <v>10.199999999999999</v>
      </c>
      <c r="Q497">
        <v>50.5</v>
      </c>
      <c r="R497">
        <v>5.9</v>
      </c>
      <c r="S497">
        <v>0.3</v>
      </c>
      <c r="T497">
        <v>43.3</v>
      </c>
      <c r="U497">
        <v>0</v>
      </c>
      <c r="V497">
        <f t="shared" ref="V497:V500" si="297">(R497/1)/(Q497/12)</f>
        <v>1.4019801980198021</v>
      </c>
      <c r="W497">
        <f t="shared" ref="W497:W500" si="298">(T497/16)/(Q497/12)</f>
        <v>0.64306930693069309</v>
      </c>
      <c r="X497">
        <v>0.6</v>
      </c>
      <c r="Y497" s="3">
        <v>18.100000000000001</v>
      </c>
      <c r="Z497">
        <v>57.9</v>
      </c>
      <c r="AA497">
        <v>5.67</v>
      </c>
      <c r="AB497">
        <v>0.38</v>
      </c>
      <c r="AC497">
        <v>36.049999999999997</v>
      </c>
      <c r="AD497">
        <v>0</v>
      </c>
      <c r="AE497">
        <f t="shared" si="285"/>
        <v>1.1751295336787564</v>
      </c>
      <c r="AF497">
        <f t="shared" si="286"/>
        <v>0.46696891191709838</v>
      </c>
      <c r="AH497">
        <v>24.02</v>
      </c>
      <c r="AI497" s="3">
        <v>61</v>
      </c>
    </row>
    <row r="498" spans="1:38" x14ac:dyDescent="0.5">
      <c r="A498">
        <v>180</v>
      </c>
      <c r="B498" s="4">
        <v>240</v>
      </c>
      <c r="C498">
        <v>0.1</v>
      </c>
      <c r="D498">
        <v>20</v>
      </c>
      <c r="E498">
        <v>250</v>
      </c>
      <c r="F498">
        <v>180</v>
      </c>
      <c r="G498" s="3">
        <f t="shared" si="296"/>
        <v>9</v>
      </c>
      <c r="N498">
        <v>10</v>
      </c>
      <c r="O498">
        <v>79.2</v>
      </c>
      <c r="P498" s="3">
        <v>10.199999999999999</v>
      </c>
      <c r="Q498">
        <v>50.5</v>
      </c>
      <c r="R498">
        <v>5.9</v>
      </c>
      <c r="S498">
        <v>0.3</v>
      </c>
      <c r="T498">
        <v>43.3</v>
      </c>
      <c r="U498">
        <v>0</v>
      </c>
      <c r="V498">
        <f t="shared" si="297"/>
        <v>1.4019801980198021</v>
      </c>
      <c r="W498">
        <f t="shared" si="298"/>
        <v>0.64306930693069309</v>
      </c>
      <c r="X498">
        <v>0.6</v>
      </c>
      <c r="Y498" s="3">
        <v>18.100000000000001</v>
      </c>
      <c r="Z498">
        <v>54.2</v>
      </c>
      <c r="AA498">
        <v>5.99</v>
      </c>
      <c r="AB498">
        <v>0.32</v>
      </c>
      <c r="AC498">
        <v>39.49</v>
      </c>
      <c r="AD498">
        <v>0</v>
      </c>
      <c r="AE498">
        <f t="shared" si="285"/>
        <v>1.3261992619926199</v>
      </c>
      <c r="AF498">
        <f t="shared" si="286"/>
        <v>0.54644833948339488</v>
      </c>
      <c r="AH498">
        <v>23.43</v>
      </c>
      <c r="AI498" s="3">
        <v>62</v>
      </c>
    </row>
    <row r="499" spans="1:38" x14ac:dyDescent="0.5">
      <c r="A499">
        <v>1200</v>
      </c>
      <c r="B499" s="4">
        <v>240</v>
      </c>
      <c r="C499">
        <v>0.1</v>
      </c>
      <c r="D499">
        <v>20</v>
      </c>
      <c r="E499">
        <v>250</v>
      </c>
      <c r="F499">
        <v>180</v>
      </c>
      <c r="G499" s="3">
        <f t="shared" si="296"/>
        <v>9</v>
      </c>
      <c r="N499">
        <v>10</v>
      </c>
      <c r="O499">
        <v>79.2</v>
      </c>
      <c r="P499" s="3">
        <v>10.199999999999999</v>
      </c>
      <c r="Q499">
        <v>50.5</v>
      </c>
      <c r="R499">
        <v>5.9</v>
      </c>
      <c r="S499">
        <v>0.3</v>
      </c>
      <c r="T499">
        <v>43.3</v>
      </c>
      <c r="U499">
        <v>0</v>
      </c>
      <c r="V499">
        <f t="shared" si="297"/>
        <v>1.4019801980198021</v>
      </c>
      <c r="W499">
        <f t="shared" si="298"/>
        <v>0.64306930693069309</v>
      </c>
      <c r="X499">
        <v>0.6</v>
      </c>
      <c r="Y499" s="3">
        <v>18.100000000000001</v>
      </c>
      <c r="Z499">
        <v>67.5</v>
      </c>
      <c r="AA499">
        <v>5.15</v>
      </c>
      <c r="AB499">
        <v>0.54</v>
      </c>
      <c r="AC499">
        <v>26.81</v>
      </c>
      <c r="AD499">
        <v>0</v>
      </c>
      <c r="AE499">
        <f t="shared" si="285"/>
        <v>0.91555555555555557</v>
      </c>
      <c r="AF499">
        <f t="shared" si="286"/>
        <v>0.29788888888888887</v>
      </c>
      <c r="AH499">
        <v>28.18</v>
      </c>
      <c r="AI499" s="3">
        <v>44</v>
      </c>
    </row>
    <row r="500" spans="1:38" x14ac:dyDescent="0.5">
      <c r="A500">
        <v>30</v>
      </c>
      <c r="B500" s="4">
        <v>210</v>
      </c>
      <c r="C500">
        <v>0.1</v>
      </c>
      <c r="D500">
        <v>150</v>
      </c>
      <c r="E500">
        <v>4500</v>
      </c>
      <c r="F500">
        <v>750</v>
      </c>
      <c r="G500" s="3">
        <f t="shared" si="296"/>
        <v>5</v>
      </c>
      <c r="Q500">
        <v>42.4</v>
      </c>
      <c r="R500">
        <v>5.8</v>
      </c>
      <c r="S500">
        <v>1.2</v>
      </c>
      <c r="T500">
        <v>50.2</v>
      </c>
      <c r="U500">
        <v>0.4</v>
      </c>
      <c r="V500">
        <f t="shared" si="297"/>
        <v>1.6415094339622642</v>
      </c>
      <c r="W500">
        <f t="shared" si="298"/>
        <v>0.88797169811320764</v>
      </c>
      <c r="X500">
        <v>12.7</v>
      </c>
      <c r="Y500" s="3">
        <v>14.9</v>
      </c>
      <c r="Z500">
        <v>46.1</v>
      </c>
      <c r="AA500">
        <v>5.7</v>
      </c>
      <c r="AB500">
        <v>1.1000000000000001</v>
      </c>
      <c r="AC500">
        <v>46.7</v>
      </c>
      <c r="AD500">
        <v>0.4</v>
      </c>
      <c r="AE500">
        <f t="shared" si="285"/>
        <v>1.4837310195227766</v>
      </c>
      <c r="AF500">
        <f t="shared" si="286"/>
        <v>0.75976138828633411</v>
      </c>
      <c r="AG500" s="3">
        <v>12.7</v>
      </c>
      <c r="AH500">
        <v>16</v>
      </c>
      <c r="AI500" s="3">
        <v>93</v>
      </c>
      <c r="AJ500" s="2" t="s">
        <v>138</v>
      </c>
      <c r="AK500" t="s">
        <v>139</v>
      </c>
      <c r="AL500">
        <v>56</v>
      </c>
    </row>
    <row r="501" spans="1:38" x14ac:dyDescent="0.5">
      <c r="A501">
        <v>120</v>
      </c>
      <c r="B501" s="4">
        <v>210</v>
      </c>
      <c r="C501">
        <v>0.1</v>
      </c>
      <c r="D501">
        <v>150</v>
      </c>
      <c r="E501">
        <v>4500</v>
      </c>
      <c r="F501">
        <v>750</v>
      </c>
      <c r="G501" s="3">
        <f t="shared" ref="G501:G512" si="299">F501/D501</f>
        <v>5</v>
      </c>
      <c r="Q501">
        <v>42.4</v>
      </c>
      <c r="R501">
        <v>5.8</v>
      </c>
      <c r="S501">
        <v>1.2</v>
      </c>
      <c r="T501">
        <v>50.2</v>
      </c>
      <c r="U501">
        <v>0.4</v>
      </c>
      <c r="V501">
        <f t="shared" ref="V501:V506" si="300">(R501/1)/(Q501/12)</f>
        <v>1.6415094339622642</v>
      </c>
      <c r="W501">
        <f t="shared" ref="W501:W506" si="301">(T501/16)/(Q501/12)</f>
        <v>0.88797169811320764</v>
      </c>
      <c r="X501">
        <v>12.7</v>
      </c>
      <c r="Y501" s="3">
        <v>14.9</v>
      </c>
      <c r="Z501">
        <v>48.7</v>
      </c>
      <c r="AA501">
        <v>5.6</v>
      </c>
      <c r="AB501">
        <v>1.6</v>
      </c>
      <c r="AC501">
        <v>43.6</v>
      </c>
      <c r="AD501">
        <v>0.4</v>
      </c>
      <c r="AE501">
        <f t="shared" si="285"/>
        <v>1.3798767967145789</v>
      </c>
      <c r="AF501">
        <f t="shared" si="286"/>
        <v>0.67145790554414786</v>
      </c>
      <c r="AG501" s="3">
        <v>12.8</v>
      </c>
      <c r="AH501">
        <v>16</v>
      </c>
      <c r="AI501" s="3">
        <v>88.1</v>
      </c>
    </row>
    <row r="502" spans="1:38" x14ac:dyDescent="0.5">
      <c r="A502">
        <v>30</v>
      </c>
      <c r="B502" s="4">
        <v>230</v>
      </c>
      <c r="C502">
        <v>0.1</v>
      </c>
      <c r="D502">
        <v>150</v>
      </c>
      <c r="E502">
        <v>4500</v>
      </c>
      <c r="F502">
        <v>750</v>
      </c>
      <c r="G502" s="3">
        <f t="shared" si="299"/>
        <v>5</v>
      </c>
      <c r="Q502">
        <v>42.4</v>
      </c>
      <c r="R502">
        <v>5.8</v>
      </c>
      <c r="S502">
        <v>1.2</v>
      </c>
      <c r="T502">
        <v>50.2</v>
      </c>
      <c r="U502">
        <v>0.4</v>
      </c>
      <c r="V502">
        <f t="shared" si="300"/>
        <v>1.6415094339622642</v>
      </c>
      <c r="W502">
        <f t="shared" si="301"/>
        <v>0.88797169811320764</v>
      </c>
      <c r="X502">
        <v>12.7</v>
      </c>
      <c r="Y502" s="3">
        <v>14.9</v>
      </c>
      <c r="Z502">
        <v>49.2</v>
      </c>
      <c r="AA502">
        <v>5.7</v>
      </c>
      <c r="AB502">
        <v>1.5</v>
      </c>
      <c r="AC502">
        <v>43.3</v>
      </c>
      <c r="AD502">
        <v>0.4</v>
      </c>
      <c r="AE502">
        <f t="shared" si="285"/>
        <v>1.3902439024390243</v>
      </c>
      <c r="AF502">
        <f t="shared" si="286"/>
        <v>0.66006097560975596</v>
      </c>
      <c r="AG502" s="3">
        <v>13.8</v>
      </c>
      <c r="AH502">
        <v>16.7</v>
      </c>
      <c r="AI502" s="3">
        <v>87.4</v>
      </c>
    </row>
    <row r="503" spans="1:38" x14ac:dyDescent="0.5">
      <c r="A503">
        <v>120</v>
      </c>
      <c r="B503" s="4">
        <v>230</v>
      </c>
      <c r="C503">
        <v>0.1</v>
      </c>
      <c r="D503">
        <v>150</v>
      </c>
      <c r="E503">
        <v>4500</v>
      </c>
      <c r="F503">
        <v>750</v>
      </c>
      <c r="G503" s="3">
        <f t="shared" si="299"/>
        <v>5</v>
      </c>
      <c r="Q503">
        <v>42.4</v>
      </c>
      <c r="R503">
        <v>5.8</v>
      </c>
      <c r="S503">
        <v>1.2</v>
      </c>
      <c r="T503">
        <v>50.2</v>
      </c>
      <c r="U503">
        <v>0.4</v>
      </c>
      <c r="V503">
        <f t="shared" si="300"/>
        <v>1.6415094339622642</v>
      </c>
      <c r="W503">
        <f t="shared" si="301"/>
        <v>0.88797169811320764</v>
      </c>
      <c r="X503">
        <v>12.7</v>
      </c>
      <c r="Y503" s="3">
        <v>14.9</v>
      </c>
      <c r="Z503">
        <v>52.4</v>
      </c>
      <c r="AA503">
        <v>5.6</v>
      </c>
      <c r="AB503">
        <v>1.6</v>
      </c>
      <c r="AC503">
        <v>39.9</v>
      </c>
      <c r="AD503">
        <v>0.5</v>
      </c>
      <c r="AE503">
        <f t="shared" si="285"/>
        <v>1.2824427480916032</v>
      </c>
      <c r="AF503">
        <f t="shared" si="286"/>
        <v>0.57108778625954204</v>
      </c>
      <c r="AG503" s="3">
        <v>15.3</v>
      </c>
      <c r="AH503">
        <v>17.899999999999999</v>
      </c>
      <c r="AI503" s="3">
        <v>79.7</v>
      </c>
    </row>
    <row r="504" spans="1:38" x14ac:dyDescent="0.5">
      <c r="A504">
        <v>30</v>
      </c>
      <c r="B504" s="4">
        <v>250</v>
      </c>
      <c r="C504">
        <v>0.1</v>
      </c>
      <c r="D504">
        <v>150</v>
      </c>
      <c r="E504">
        <v>4500</v>
      </c>
      <c r="F504">
        <v>750</v>
      </c>
      <c r="G504" s="3">
        <f t="shared" si="299"/>
        <v>5</v>
      </c>
      <c r="Q504">
        <v>42.4</v>
      </c>
      <c r="R504">
        <v>5.8</v>
      </c>
      <c r="S504">
        <v>1.2</v>
      </c>
      <c r="T504">
        <v>50.2</v>
      </c>
      <c r="U504">
        <v>0.4</v>
      </c>
      <c r="V504">
        <f t="shared" si="300"/>
        <v>1.6415094339622642</v>
      </c>
      <c r="W504">
        <f t="shared" si="301"/>
        <v>0.88797169811320764</v>
      </c>
      <c r="X504">
        <v>12.7</v>
      </c>
      <c r="Y504" s="3">
        <v>14.9</v>
      </c>
      <c r="Z504">
        <v>52.4</v>
      </c>
      <c r="AA504">
        <v>5.4</v>
      </c>
      <c r="AB504">
        <v>1.5</v>
      </c>
      <c r="AC504">
        <v>40.200000000000003</v>
      </c>
      <c r="AD504">
        <v>0.5</v>
      </c>
      <c r="AE504">
        <f t="shared" si="285"/>
        <v>1.2366412213740461</v>
      </c>
      <c r="AF504">
        <f t="shared" si="286"/>
        <v>0.57538167938931306</v>
      </c>
      <c r="AG504" s="3">
        <v>15.5</v>
      </c>
      <c r="AH504">
        <v>20.100000000000001</v>
      </c>
      <c r="AI504" s="3">
        <v>73.5</v>
      </c>
    </row>
    <row r="505" spans="1:38" x14ac:dyDescent="0.5">
      <c r="A505">
        <v>120</v>
      </c>
      <c r="B505" s="4">
        <v>250</v>
      </c>
      <c r="C505">
        <v>0.1</v>
      </c>
      <c r="D505">
        <v>150</v>
      </c>
      <c r="E505">
        <v>4500</v>
      </c>
      <c r="F505">
        <v>750</v>
      </c>
      <c r="G505" s="3">
        <f t="shared" si="299"/>
        <v>5</v>
      </c>
      <c r="Q505">
        <v>42.4</v>
      </c>
      <c r="R505">
        <v>5.8</v>
      </c>
      <c r="S505">
        <v>1.2</v>
      </c>
      <c r="T505">
        <v>50.2</v>
      </c>
      <c r="U505">
        <v>0.4</v>
      </c>
      <c r="V505">
        <f t="shared" si="300"/>
        <v>1.6415094339622642</v>
      </c>
      <c r="W505">
        <f t="shared" si="301"/>
        <v>0.88797169811320764</v>
      </c>
      <c r="X505">
        <v>12.7</v>
      </c>
      <c r="Y505" s="3">
        <v>14.9</v>
      </c>
      <c r="Z505">
        <v>55.5</v>
      </c>
      <c r="AA505">
        <v>5.0999999999999996</v>
      </c>
      <c r="AB505">
        <v>1.6</v>
      </c>
      <c r="AC505">
        <v>37.299999999999997</v>
      </c>
      <c r="AD505">
        <v>0.5</v>
      </c>
      <c r="AE505">
        <f t="shared" si="285"/>
        <v>1.1027027027027025</v>
      </c>
      <c r="AF505">
        <f t="shared" si="286"/>
        <v>0.50405405405405401</v>
      </c>
      <c r="AG505" s="3">
        <v>19.7</v>
      </c>
      <c r="AH505">
        <v>20.399999999999999</v>
      </c>
      <c r="AI505" s="3">
        <v>51.6</v>
      </c>
    </row>
    <row r="506" spans="1:38" x14ac:dyDescent="0.5">
      <c r="A506">
        <v>30</v>
      </c>
      <c r="B506" s="4">
        <v>210</v>
      </c>
      <c r="C506">
        <v>0.1</v>
      </c>
      <c r="D506">
        <v>150</v>
      </c>
      <c r="E506">
        <v>4500</v>
      </c>
      <c r="F506">
        <v>750</v>
      </c>
      <c r="G506" s="3">
        <f t="shared" si="299"/>
        <v>5</v>
      </c>
      <c r="Q506">
        <v>42.6</v>
      </c>
      <c r="R506">
        <v>5.8</v>
      </c>
      <c r="S506">
        <v>1.7</v>
      </c>
      <c r="T506">
        <v>49.4</v>
      </c>
      <c r="U506">
        <v>0.5</v>
      </c>
      <c r="V506">
        <f t="shared" si="300"/>
        <v>1.6338028169014083</v>
      </c>
      <c r="W506">
        <f t="shared" si="301"/>
        <v>0.86971830985915488</v>
      </c>
      <c r="X506">
        <v>11.9</v>
      </c>
      <c r="Y506" s="3">
        <v>15</v>
      </c>
      <c r="Z506">
        <v>46.1</v>
      </c>
      <c r="AA506">
        <v>5.8</v>
      </c>
      <c r="AB506">
        <v>0.9</v>
      </c>
      <c r="AC506">
        <v>47</v>
      </c>
      <c r="AD506">
        <v>0.3</v>
      </c>
      <c r="AE506">
        <f t="shared" si="285"/>
        <v>1.5097613882863339</v>
      </c>
      <c r="AF506">
        <f t="shared" si="286"/>
        <v>0.76464208242950105</v>
      </c>
      <c r="AG506" s="3">
        <v>12</v>
      </c>
      <c r="AH506">
        <v>16.100000000000001</v>
      </c>
      <c r="AI506" s="3">
        <v>93.2</v>
      </c>
    </row>
    <row r="507" spans="1:38" x14ac:dyDescent="0.5">
      <c r="A507">
        <v>120</v>
      </c>
      <c r="B507" s="4">
        <v>210</v>
      </c>
      <c r="C507">
        <v>0.1</v>
      </c>
      <c r="D507">
        <v>150</v>
      </c>
      <c r="E507">
        <v>4500</v>
      </c>
      <c r="F507">
        <v>750</v>
      </c>
      <c r="G507" s="3">
        <f t="shared" si="299"/>
        <v>5</v>
      </c>
      <c r="Q507">
        <v>42.6</v>
      </c>
      <c r="R507">
        <v>5.8</v>
      </c>
      <c r="S507">
        <v>1.7</v>
      </c>
      <c r="T507">
        <v>49.4</v>
      </c>
      <c r="U507">
        <v>0.5</v>
      </c>
      <c r="V507">
        <f t="shared" ref="V507:V512" si="302">(R507/1)/(Q507/12)</f>
        <v>1.6338028169014083</v>
      </c>
      <c r="W507">
        <f t="shared" ref="W507:W512" si="303">(T507/16)/(Q507/12)</f>
        <v>0.86971830985915488</v>
      </c>
      <c r="X507">
        <v>11.9</v>
      </c>
      <c r="Y507" s="3">
        <v>15</v>
      </c>
      <c r="Z507">
        <v>47.6</v>
      </c>
      <c r="AA507">
        <v>5.7</v>
      </c>
      <c r="AB507">
        <v>1.2</v>
      </c>
      <c r="AC507">
        <v>45.2</v>
      </c>
      <c r="AD507">
        <v>0.3</v>
      </c>
      <c r="AE507">
        <f t="shared" si="285"/>
        <v>1.4369747899159664</v>
      </c>
      <c r="AF507">
        <f t="shared" si="286"/>
        <v>0.71218487394957986</v>
      </c>
      <c r="AG507" s="3">
        <v>12.5</v>
      </c>
      <c r="AH507">
        <v>16.600000000000001</v>
      </c>
      <c r="AI507" s="3">
        <v>85</v>
      </c>
    </row>
    <row r="508" spans="1:38" x14ac:dyDescent="0.5">
      <c r="A508">
        <v>30</v>
      </c>
      <c r="B508" s="4">
        <v>230</v>
      </c>
      <c r="C508">
        <v>0.1</v>
      </c>
      <c r="D508">
        <v>150</v>
      </c>
      <c r="E508">
        <v>4500</v>
      </c>
      <c r="F508">
        <v>750</v>
      </c>
      <c r="G508" s="3">
        <f t="shared" si="299"/>
        <v>5</v>
      </c>
      <c r="Q508">
        <v>42.6</v>
      </c>
      <c r="R508">
        <v>5.8</v>
      </c>
      <c r="S508">
        <v>1.7</v>
      </c>
      <c r="T508">
        <v>49.4</v>
      </c>
      <c r="U508">
        <v>0.5</v>
      </c>
      <c r="V508">
        <f t="shared" si="302"/>
        <v>1.6338028169014083</v>
      </c>
      <c r="W508">
        <f t="shared" si="303"/>
        <v>0.86971830985915488</v>
      </c>
      <c r="X508">
        <v>11.9</v>
      </c>
      <c r="Y508" s="3">
        <v>15</v>
      </c>
      <c r="Z508">
        <v>47.5</v>
      </c>
      <c r="AA508">
        <v>5.8</v>
      </c>
      <c r="AB508">
        <v>1.1000000000000001</v>
      </c>
      <c r="AC508">
        <v>45.4</v>
      </c>
      <c r="AD508">
        <v>0.3</v>
      </c>
      <c r="AE508">
        <f t="shared" si="285"/>
        <v>1.4652631578947368</v>
      </c>
      <c r="AF508">
        <f t="shared" si="286"/>
        <v>0.71684210526315784</v>
      </c>
      <c r="AG508" s="3">
        <v>13.2</v>
      </c>
      <c r="AH508">
        <v>16.5</v>
      </c>
      <c r="AI508" s="3">
        <v>86.3</v>
      </c>
    </row>
    <row r="509" spans="1:38" x14ac:dyDescent="0.5">
      <c r="A509">
        <v>120</v>
      </c>
      <c r="B509" s="4">
        <v>230</v>
      </c>
      <c r="C509">
        <v>0.1</v>
      </c>
      <c r="D509">
        <v>150</v>
      </c>
      <c r="E509">
        <v>4500</v>
      </c>
      <c r="F509">
        <v>750</v>
      </c>
      <c r="G509" s="3">
        <f t="shared" si="299"/>
        <v>5</v>
      </c>
      <c r="Q509">
        <v>42.6</v>
      </c>
      <c r="R509">
        <v>5.8</v>
      </c>
      <c r="S509">
        <v>1.7</v>
      </c>
      <c r="T509">
        <v>49.4</v>
      </c>
      <c r="U509">
        <v>0.5</v>
      </c>
      <c r="V509">
        <f t="shared" si="302"/>
        <v>1.6338028169014083</v>
      </c>
      <c r="W509">
        <f t="shared" si="303"/>
        <v>0.86971830985915488</v>
      </c>
      <c r="X509">
        <v>11.9</v>
      </c>
      <c r="Y509" s="3">
        <v>15</v>
      </c>
      <c r="Z509">
        <v>50.6</v>
      </c>
      <c r="AA509">
        <v>5.6</v>
      </c>
      <c r="AB509">
        <v>1.3</v>
      </c>
      <c r="AC509">
        <v>42.2</v>
      </c>
      <c r="AD509">
        <v>0.3</v>
      </c>
      <c r="AE509">
        <f t="shared" si="285"/>
        <v>1.3280632411067192</v>
      </c>
      <c r="AF509">
        <f t="shared" si="286"/>
        <v>0.62549407114624511</v>
      </c>
      <c r="AG509" s="3">
        <v>15.5</v>
      </c>
      <c r="AH509">
        <v>18.100000000000001</v>
      </c>
      <c r="AI509" s="3">
        <v>64</v>
      </c>
    </row>
    <row r="510" spans="1:38" x14ac:dyDescent="0.5">
      <c r="A510">
        <v>30</v>
      </c>
      <c r="B510" s="4">
        <v>250</v>
      </c>
      <c r="C510">
        <v>0.1</v>
      </c>
      <c r="D510">
        <v>150</v>
      </c>
      <c r="E510">
        <v>4500</v>
      </c>
      <c r="F510">
        <v>750</v>
      </c>
      <c r="G510" s="3">
        <f t="shared" si="299"/>
        <v>5</v>
      </c>
      <c r="Q510">
        <v>42.6</v>
      </c>
      <c r="R510">
        <v>5.8</v>
      </c>
      <c r="S510">
        <v>1.7</v>
      </c>
      <c r="T510">
        <v>49.4</v>
      </c>
      <c r="U510">
        <v>0.5</v>
      </c>
      <c r="V510">
        <f t="shared" si="302"/>
        <v>1.6338028169014083</v>
      </c>
      <c r="W510">
        <f t="shared" si="303"/>
        <v>0.86971830985915488</v>
      </c>
      <c r="X510">
        <v>11.9</v>
      </c>
      <c r="Y510" s="3">
        <v>15</v>
      </c>
      <c r="Z510">
        <v>53</v>
      </c>
      <c r="AA510">
        <v>5.6</v>
      </c>
      <c r="AB510">
        <v>1.5</v>
      </c>
      <c r="AC510">
        <v>39.6</v>
      </c>
      <c r="AD510">
        <v>0.4</v>
      </c>
      <c r="AE510">
        <f t="shared" si="285"/>
        <v>1.2679245283018867</v>
      </c>
      <c r="AF510">
        <f t="shared" si="286"/>
        <v>0.56037735849056602</v>
      </c>
      <c r="AG510" s="3">
        <v>16.100000000000001</v>
      </c>
      <c r="AH510">
        <v>18.8</v>
      </c>
      <c r="AI510" s="3">
        <v>66.900000000000006</v>
      </c>
    </row>
    <row r="511" spans="1:38" x14ac:dyDescent="0.5">
      <c r="A511">
        <v>120</v>
      </c>
      <c r="B511" s="4">
        <v>250</v>
      </c>
      <c r="C511">
        <v>0.1</v>
      </c>
      <c r="D511">
        <v>150</v>
      </c>
      <c r="E511">
        <v>4500</v>
      </c>
      <c r="F511">
        <v>750</v>
      </c>
      <c r="G511" s="3">
        <f t="shared" si="299"/>
        <v>5</v>
      </c>
      <c r="Q511">
        <v>42.6</v>
      </c>
      <c r="R511">
        <v>5.8</v>
      </c>
      <c r="S511">
        <v>1.7</v>
      </c>
      <c r="T511">
        <v>49.4</v>
      </c>
      <c r="U511">
        <v>0.5</v>
      </c>
      <c r="V511">
        <f t="shared" si="302"/>
        <v>1.6338028169014083</v>
      </c>
      <c r="W511">
        <f t="shared" si="303"/>
        <v>0.86971830985915488</v>
      </c>
      <c r="X511">
        <v>11.9</v>
      </c>
      <c r="Y511" s="3">
        <v>15</v>
      </c>
      <c r="Z511">
        <v>56.8</v>
      </c>
      <c r="AA511">
        <v>5.2</v>
      </c>
      <c r="AB511">
        <v>1.8</v>
      </c>
      <c r="AC511">
        <v>35.799999999999997</v>
      </c>
      <c r="AD511">
        <v>0.4</v>
      </c>
      <c r="AE511">
        <f t="shared" si="285"/>
        <v>1.0985915492957747</v>
      </c>
      <c r="AF511">
        <f t="shared" si="286"/>
        <v>0.47271126760563376</v>
      </c>
      <c r="AG511" s="3">
        <v>19.600000000000001</v>
      </c>
      <c r="AH511">
        <v>20.5</v>
      </c>
      <c r="AI511" s="3">
        <v>48.4</v>
      </c>
    </row>
    <row r="512" spans="1:38" x14ac:dyDescent="0.5">
      <c r="A512">
        <v>30</v>
      </c>
      <c r="B512" s="4">
        <v>210</v>
      </c>
      <c r="C512">
        <v>0.1</v>
      </c>
      <c r="D512">
        <v>20</v>
      </c>
      <c r="E512">
        <v>250</v>
      </c>
      <c r="F512">
        <v>150</v>
      </c>
      <c r="G512" s="3">
        <f t="shared" si="299"/>
        <v>7.5</v>
      </c>
      <c r="O512">
        <v>56.8</v>
      </c>
      <c r="P512" s="3">
        <v>14</v>
      </c>
      <c r="Q512">
        <v>40</v>
      </c>
      <c r="R512">
        <v>4.5999999999999996</v>
      </c>
      <c r="S512">
        <v>1.9</v>
      </c>
      <c r="T512">
        <v>24</v>
      </c>
      <c r="U512">
        <v>0.31</v>
      </c>
      <c r="V512">
        <f t="shared" si="302"/>
        <v>1.38</v>
      </c>
      <c r="W512">
        <f t="shared" si="303"/>
        <v>0.44999999999999996</v>
      </c>
      <c r="X512">
        <v>29.2</v>
      </c>
      <c r="Y512" s="3">
        <v>16.3</v>
      </c>
      <c r="Z512">
        <v>41.9</v>
      </c>
      <c r="AA512">
        <v>3.8</v>
      </c>
      <c r="AB512">
        <v>2.2999999999999998</v>
      </c>
      <c r="AC512">
        <v>22</v>
      </c>
      <c r="AD512">
        <v>0.28000000000000003</v>
      </c>
      <c r="AE512">
        <f t="shared" si="285"/>
        <v>1.0883054892601431</v>
      </c>
      <c r="AF512">
        <f t="shared" si="286"/>
        <v>0.3937947494033413</v>
      </c>
      <c r="AG512" s="3">
        <v>29.6</v>
      </c>
      <c r="AH512">
        <v>16.3</v>
      </c>
      <c r="AI512" s="3">
        <v>75.400000000000006</v>
      </c>
      <c r="AJ512" s="2" t="s">
        <v>140</v>
      </c>
      <c r="AK512" t="s">
        <v>141</v>
      </c>
      <c r="AL512">
        <v>57</v>
      </c>
    </row>
    <row r="513" spans="1:38" x14ac:dyDescent="0.5">
      <c r="A513">
        <v>60</v>
      </c>
      <c r="B513" s="4">
        <v>210</v>
      </c>
      <c r="C513">
        <v>0.1</v>
      </c>
      <c r="D513">
        <v>20</v>
      </c>
      <c r="E513">
        <v>250</v>
      </c>
      <c r="F513">
        <v>150</v>
      </c>
      <c r="G513" s="3">
        <f t="shared" ref="G513:G516" si="304">F513/D513</f>
        <v>7.5</v>
      </c>
      <c r="O513">
        <v>56.8</v>
      </c>
      <c r="P513" s="3">
        <v>14</v>
      </c>
      <c r="Q513">
        <v>40</v>
      </c>
      <c r="R513">
        <v>4.5999999999999996</v>
      </c>
      <c r="S513">
        <v>1.9</v>
      </c>
      <c r="T513">
        <v>24</v>
      </c>
      <c r="U513">
        <v>0.31</v>
      </c>
      <c r="V513">
        <f t="shared" ref="V513:V516" si="305">(R513/1)/(Q513/12)</f>
        <v>1.38</v>
      </c>
      <c r="W513">
        <f t="shared" ref="W513:W516" si="306">(T513/16)/(Q513/12)</f>
        <v>0.44999999999999996</v>
      </c>
      <c r="X513">
        <v>29.2</v>
      </c>
      <c r="Y513" s="3">
        <v>16.3</v>
      </c>
      <c r="Z513">
        <v>42.4</v>
      </c>
      <c r="AA513">
        <v>3.7</v>
      </c>
      <c r="AB513">
        <v>2.2999999999999998</v>
      </c>
      <c r="AC513">
        <v>21.1</v>
      </c>
      <c r="AD513">
        <v>0.26</v>
      </c>
      <c r="AE513">
        <f t="shared" si="285"/>
        <v>1.0471698113207548</v>
      </c>
      <c r="AF513">
        <f t="shared" si="286"/>
        <v>0.37323113207547176</v>
      </c>
      <c r="AG513" s="3">
        <v>30.2</v>
      </c>
      <c r="AH513">
        <v>16.3</v>
      </c>
      <c r="AI513" s="3">
        <v>75.599999999999994</v>
      </c>
    </row>
    <row r="514" spans="1:38" x14ac:dyDescent="0.5">
      <c r="A514">
        <v>180</v>
      </c>
      <c r="B514" s="4">
        <v>210</v>
      </c>
      <c r="C514">
        <v>0.1</v>
      </c>
      <c r="D514">
        <v>20</v>
      </c>
      <c r="E514">
        <v>250</v>
      </c>
      <c r="F514">
        <v>150</v>
      </c>
      <c r="G514" s="3">
        <f t="shared" si="304"/>
        <v>7.5</v>
      </c>
      <c r="O514">
        <v>56.8</v>
      </c>
      <c r="P514" s="3">
        <v>14</v>
      </c>
      <c r="Q514">
        <v>40</v>
      </c>
      <c r="R514">
        <v>4.5999999999999996</v>
      </c>
      <c r="S514">
        <v>1.9</v>
      </c>
      <c r="T514">
        <v>24</v>
      </c>
      <c r="U514">
        <v>0.31</v>
      </c>
      <c r="V514">
        <f t="shared" si="305"/>
        <v>1.38</v>
      </c>
      <c r="W514">
        <f t="shared" si="306"/>
        <v>0.44999999999999996</v>
      </c>
      <c r="X514">
        <v>29.2</v>
      </c>
      <c r="Y514" s="3">
        <v>16.3</v>
      </c>
      <c r="Z514">
        <v>42.3</v>
      </c>
      <c r="AA514">
        <v>3.5</v>
      </c>
      <c r="AB514">
        <v>2.4</v>
      </c>
      <c r="AC514">
        <v>20.399999999999999</v>
      </c>
      <c r="AD514">
        <v>0.27</v>
      </c>
      <c r="AE514">
        <f t="shared" si="285"/>
        <v>0.99290780141843971</v>
      </c>
      <c r="AF514">
        <f t="shared" si="286"/>
        <v>0.36170212765957444</v>
      </c>
      <c r="AG514" s="3">
        <v>31.2</v>
      </c>
      <c r="AH514">
        <v>16.100000000000001</v>
      </c>
      <c r="AI514" s="3">
        <v>73</v>
      </c>
    </row>
    <row r="515" spans="1:38" x14ac:dyDescent="0.5">
      <c r="A515">
        <v>300</v>
      </c>
      <c r="B515" s="4">
        <v>210</v>
      </c>
      <c r="C515">
        <v>0.1</v>
      </c>
      <c r="D515">
        <v>20</v>
      </c>
      <c r="E515">
        <v>250</v>
      </c>
      <c r="F515">
        <v>150</v>
      </c>
      <c r="G515" s="3">
        <f t="shared" si="304"/>
        <v>7.5</v>
      </c>
      <c r="O515">
        <v>56.8</v>
      </c>
      <c r="P515" s="3">
        <v>14</v>
      </c>
      <c r="Q515">
        <v>40</v>
      </c>
      <c r="R515">
        <v>4.5999999999999996</v>
      </c>
      <c r="S515">
        <v>1.9</v>
      </c>
      <c r="T515">
        <v>24</v>
      </c>
      <c r="U515">
        <v>0.31</v>
      </c>
      <c r="V515">
        <f t="shared" si="305"/>
        <v>1.38</v>
      </c>
      <c r="W515">
        <f t="shared" si="306"/>
        <v>0.44999999999999996</v>
      </c>
      <c r="X515">
        <v>29.2</v>
      </c>
      <c r="Y515" s="3">
        <v>16.3</v>
      </c>
      <c r="Z515">
        <v>42.2</v>
      </c>
      <c r="AA515">
        <v>3.4</v>
      </c>
      <c r="AB515">
        <v>2.4</v>
      </c>
      <c r="AC515">
        <v>19.8</v>
      </c>
      <c r="AD515">
        <v>0.26</v>
      </c>
      <c r="AE515">
        <f t="shared" si="285"/>
        <v>0.96682464454976291</v>
      </c>
      <c r="AF515">
        <f t="shared" si="286"/>
        <v>0.3518957345971564</v>
      </c>
      <c r="AG515" s="3">
        <v>32</v>
      </c>
      <c r="AH515">
        <v>16</v>
      </c>
      <c r="AI515" s="3">
        <v>70</v>
      </c>
    </row>
    <row r="516" spans="1:38" x14ac:dyDescent="0.5">
      <c r="A516">
        <v>30</v>
      </c>
      <c r="B516" s="4">
        <v>175</v>
      </c>
      <c r="C516">
        <v>0.1</v>
      </c>
      <c r="D516">
        <v>15</v>
      </c>
      <c r="E516">
        <v>100</v>
      </c>
      <c r="F516">
        <v>60</v>
      </c>
      <c r="G516" s="3">
        <f t="shared" si="304"/>
        <v>4</v>
      </c>
      <c r="O516">
        <v>72.599999999999994</v>
      </c>
      <c r="P516" s="3">
        <v>21.9</v>
      </c>
      <c r="Q516">
        <v>49.1</v>
      </c>
      <c r="R516">
        <v>6.3</v>
      </c>
      <c r="S516">
        <v>2.29</v>
      </c>
      <c r="T516">
        <v>42.31</v>
      </c>
      <c r="U516">
        <v>0</v>
      </c>
      <c r="V516">
        <f t="shared" si="305"/>
        <v>1.539714867617108</v>
      </c>
      <c r="W516">
        <f t="shared" si="306"/>
        <v>0.64628309572301423</v>
      </c>
      <c r="X516">
        <v>5.4</v>
      </c>
      <c r="Y516" s="3">
        <v>20.04</v>
      </c>
      <c r="Z516">
        <v>58.64</v>
      </c>
      <c r="AA516">
        <v>6.21</v>
      </c>
      <c r="AB516">
        <v>2.19</v>
      </c>
      <c r="AC516">
        <v>32.950000000000003</v>
      </c>
      <c r="AD516">
        <v>0</v>
      </c>
      <c r="AE516">
        <f t="shared" si="285"/>
        <v>1.2708049113233288</v>
      </c>
      <c r="AF516">
        <f t="shared" si="286"/>
        <v>0.42142735334242842</v>
      </c>
      <c r="AG516" s="3">
        <v>1.4</v>
      </c>
      <c r="AH516">
        <v>24.32</v>
      </c>
      <c r="AI516" s="3">
        <v>73.89</v>
      </c>
      <c r="AJ516" s="2" t="s">
        <v>142</v>
      </c>
      <c r="AK516" t="s">
        <v>143</v>
      </c>
      <c r="AL516">
        <v>58</v>
      </c>
    </row>
    <row r="517" spans="1:38" x14ac:dyDescent="0.5">
      <c r="A517">
        <v>30</v>
      </c>
      <c r="B517" s="4">
        <v>200</v>
      </c>
      <c r="C517">
        <v>0.1</v>
      </c>
      <c r="D517">
        <v>15</v>
      </c>
      <c r="E517">
        <v>100</v>
      </c>
      <c r="F517">
        <v>60</v>
      </c>
      <c r="G517" s="3">
        <f t="shared" ref="G517:G525" si="307">F517/D517</f>
        <v>4</v>
      </c>
      <c r="O517">
        <v>72.599999999999994</v>
      </c>
      <c r="P517" s="3">
        <v>21.9</v>
      </c>
      <c r="Q517">
        <v>49.1</v>
      </c>
      <c r="R517">
        <v>6.3</v>
      </c>
      <c r="S517">
        <v>2.29</v>
      </c>
      <c r="T517">
        <v>42.31</v>
      </c>
      <c r="U517">
        <v>0</v>
      </c>
      <c r="V517">
        <f t="shared" ref="V517:V525" si="308">(R517/1)/(Q517/12)</f>
        <v>1.539714867617108</v>
      </c>
      <c r="W517">
        <f t="shared" ref="W517:W525" si="309">(T517/16)/(Q517/12)</f>
        <v>0.64628309572301423</v>
      </c>
      <c r="X517">
        <v>5.4</v>
      </c>
      <c r="Y517" s="3">
        <v>20.04</v>
      </c>
      <c r="Z517">
        <v>60.16</v>
      </c>
      <c r="AA517">
        <v>6.11</v>
      </c>
      <c r="AB517">
        <v>1.72</v>
      </c>
      <c r="AC517">
        <v>32.01</v>
      </c>
      <c r="AD517">
        <v>0</v>
      </c>
      <c r="AE517">
        <f t="shared" si="285"/>
        <v>1.2187500000000002</v>
      </c>
      <c r="AF517">
        <f t="shared" si="286"/>
        <v>0.39906083776595747</v>
      </c>
      <c r="AG517" s="3">
        <v>1.1000000000000001</v>
      </c>
      <c r="AH517">
        <v>24.84</v>
      </c>
      <c r="AI517" s="3">
        <v>74.900000000000006</v>
      </c>
    </row>
    <row r="518" spans="1:38" x14ac:dyDescent="0.5">
      <c r="A518">
        <v>10</v>
      </c>
      <c r="B518" s="4">
        <v>225</v>
      </c>
      <c r="C518">
        <v>0.1</v>
      </c>
      <c r="D518">
        <v>15</v>
      </c>
      <c r="E518">
        <v>100</v>
      </c>
      <c r="F518">
        <v>60</v>
      </c>
      <c r="G518" s="3">
        <f t="shared" si="307"/>
        <v>4</v>
      </c>
      <c r="O518">
        <v>72.599999999999994</v>
      </c>
      <c r="P518" s="3">
        <v>21.9</v>
      </c>
      <c r="Q518">
        <v>49.1</v>
      </c>
      <c r="R518">
        <v>6.3</v>
      </c>
      <c r="S518">
        <v>2.29</v>
      </c>
      <c r="T518">
        <v>42.31</v>
      </c>
      <c r="U518">
        <v>0</v>
      </c>
      <c r="V518">
        <f t="shared" si="308"/>
        <v>1.539714867617108</v>
      </c>
      <c r="W518">
        <f t="shared" si="309"/>
        <v>0.64628309572301423</v>
      </c>
      <c r="X518">
        <v>5.4</v>
      </c>
      <c r="Y518" s="3">
        <v>20.04</v>
      </c>
      <c r="Z518">
        <v>61.39</v>
      </c>
      <c r="AA518">
        <v>6.4</v>
      </c>
      <c r="AB518">
        <v>1.72</v>
      </c>
      <c r="AC518">
        <v>30.49</v>
      </c>
      <c r="AD518">
        <v>0</v>
      </c>
      <c r="AE518">
        <f t="shared" si="285"/>
        <v>1.2510180811207037</v>
      </c>
      <c r="AF518">
        <f t="shared" si="286"/>
        <v>0.37249552044306888</v>
      </c>
      <c r="AG518" s="3">
        <v>1.9</v>
      </c>
      <c r="AH518">
        <v>25.75</v>
      </c>
      <c r="AI518" s="3">
        <v>77.400000000000006</v>
      </c>
    </row>
    <row r="519" spans="1:38" x14ac:dyDescent="0.5">
      <c r="A519">
        <v>30</v>
      </c>
      <c r="B519" s="4">
        <v>225</v>
      </c>
      <c r="C519">
        <v>0.1</v>
      </c>
      <c r="D519">
        <v>15</v>
      </c>
      <c r="E519">
        <v>100</v>
      </c>
      <c r="F519">
        <v>60</v>
      </c>
      <c r="G519" s="3">
        <f t="shared" si="307"/>
        <v>4</v>
      </c>
      <c r="O519">
        <v>72.599999999999994</v>
      </c>
      <c r="P519" s="3">
        <v>21.9</v>
      </c>
      <c r="Q519">
        <v>49.1</v>
      </c>
      <c r="R519">
        <v>6.3</v>
      </c>
      <c r="S519">
        <v>2.29</v>
      </c>
      <c r="T519">
        <v>42.31</v>
      </c>
      <c r="U519">
        <v>0</v>
      </c>
      <c r="V519">
        <f t="shared" si="308"/>
        <v>1.539714867617108</v>
      </c>
      <c r="W519">
        <f t="shared" si="309"/>
        <v>0.64628309572301423</v>
      </c>
      <c r="X519">
        <v>5.4</v>
      </c>
      <c r="Y519" s="3">
        <v>20.04</v>
      </c>
      <c r="Z519">
        <v>61.87</v>
      </c>
      <c r="AA519">
        <v>6.14</v>
      </c>
      <c r="AB519">
        <v>1.79</v>
      </c>
      <c r="AC519">
        <v>30.2</v>
      </c>
      <c r="AD519">
        <v>0</v>
      </c>
      <c r="AE519">
        <f t="shared" si="285"/>
        <v>1.190884111847422</v>
      </c>
      <c r="AF519">
        <f t="shared" si="286"/>
        <v>0.3660901891061904</v>
      </c>
      <c r="AG519" s="3">
        <v>1.7</v>
      </c>
      <c r="AH519">
        <v>25.65</v>
      </c>
      <c r="AI519" s="3">
        <v>75.349999999999994</v>
      </c>
    </row>
    <row r="520" spans="1:38" x14ac:dyDescent="0.5">
      <c r="A520">
        <v>60</v>
      </c>
      <c r="B520" s="4">
        <v>225</v>
      </c>
      <c r="C520">
        <v>0.1</v>
      </c>
      <c r="D520">
        <v>15</v>
      </c>
      <c r="E520">
        <v>100</v>
      </c>
      <c r="F520">
        <v>60</v>
      </c>
      <c r="G520" s="3">
        <f t="shared" si="307"/>
        <v>4</v>
      </c>
      <c r="O520">
        <v>72.599999999999994</v>
      </c>
      <c r="P520" s="3">
        <v>21.9</v>
      </c>
      <c r="Q520">
        <v>49.1</v>
      </c>
      <c r="R520">
        <v>6.3</v>
      </c>
      <c r="S520">
        <v>2.29</v>
      </c>
      <c r="T520">
        <v>42.31</v>
      </c>
      <c r="U520">
        <v>0</v>
      </c>
      <c r="V520">
        <f t="shared" si="308"/>
        <v>1.539714867617108</v>
      </c>
      <c r="W520">
        <f t="shared" si="309"/>
        <v>0.64628309572301423</v>
      </c>
      <c r="X520">
        <v>5.4</v>
      </c>
      <c r="Y520" s="3">
        <v>20.04</v>
      </c>
      <c r="Z520">
        <v>63.05</v>
      </c>
      <c r="AA520">
        <v>6.31</v>
      </c>
      <c r="AB520">
        <v>1.87</v>
      </c>
      <c r="AC520">
        <v>28.77</v>
      </c>
      <c r="AD520">
        <v>0</v>
      </c>
      <c r="AE520">
        <f t="shared" ref="AE520:AE569" si="310">(AA520/1)/(Z520/12)</f>
        <v>1.2009516256938937</v>
      </c>
      <c r="AF520">
        <f t="shared" ref="AF520:AF570" si="311">(AC520/16)/(Z520/12)</f>
        <v>0.3422283901665345</v>
      </c>
      <c r="AG520" s="3">
        <v>2.1</v>
      </c>
      <c r="AH520">
        <v>26.4</v>
      </c>
      <c r="AI520" s="3">
        <v>76.430000000000007</v>
      </c>
    </row>
    <row r="521" spans="1:38" x14ac:dyDescent="0.5">
      <c r="A521">
        <v>30</v>
      </c>
      <c r="B521" s="4">
        <v>250</v>
      </c>
      <c r="C521">
        <v>0.1</v>
      </c>
      <c r="D521">
        <v>15</v>
      </c>
      <c r="E521">
        <v>100</v>
      </c>
      <c r="F521">
        <v>60</v>
      </c>
      <c r="G521" s="3">
        <f t="shared" si="307"/>
        <v>4</v>
      </c>
      <c r="O521">
        <v>72.599999999999994</v>
      </c>
      <c r="P521" s="3">
        <v>21.9</v>
      </c>
      <c r="Q521">
        <v>49.1</v>
      </c>
      <c r="R521">
        <v>6.3</v>
      </c>
      <c r="S521">
        <v>2.29</v>
      </c>
      <c r="T521">
        <v>42.31</v>
      </c>
      <c r="U521">
        <v>0</v>
      </c>
      <c r="V521">
        <f t="shared" si="308"/>
        <v>1.539714867617108</v>
      </c>
      <c r="W521">
        <f t="shared" si="309"/>
        <v>0.64628309572301423</v>
      </c>
      <c r="X521">
        <v>5.4</v>
      </c>
      <c r="Y521" s="3">
        <v>20.04</v>
      </c>
      <c r="Z521">
        <v>65.89</v>
      </c>
      <c r="AA521">
        <v>5.8</v>
      </c>
      <c r="AB521">
        <v>2.17</v>
      </c>
      <c r="AC521">
        <v>26.13</v>
      </c>
      <c r="AD521">
        <v>0</v>
      </c>
      <c r="AE521">
        <f t="shared" si="310"/>
        <v>1.0563059644862649</v>
      </c>
      <c r="AF521">
        <f t="shared" si="311"/>
        <v>0.2974275307330399</v>
      </c>
      <c r="AG521" s="3">
        <v>3.4</v>
      </c>
      <c r="AH521">
        <v>27.03</v>
      </c>
      <c r="AI521" s="3">
        <v>68.930000000000007</v>
      </c>
    </row>
    <row r="522" spans="1:38" x14ac:dyDescent="0.5">
      <c r="A522">
        <v>30</v>
      </c>
      <c r="B522" s="4">
        <v>275</v>
      </c>
      <c r="C522">
        <v>0.1</v>
      </c>
      <c r="D522">
        <v>15</v>
      </c>
      <c r="E522">
        <v>100</v>
      </c>
      <c r="F522">
        <v>60</v>
      </c>
      <c r="G522" s="3">
        <f t="shared" si="307"/>
        <v>4</v>
      </c>
      <c r="O522">
        <v>72.599999999999994</v>
      </c>
      <c r="P522" s="3">
        <v>21.9</v>
      </c>
      <c r="Q522">
        <v>49.1</v>
      </c>
      <c r="R522">
        <v>6.3</v>
      </c>
      <c r="S522">
        <v>2.29</v>
      </c>
      <c r="T522">
        <v>42.31</v>
      </c>
      <c r="U522">
        <v>0</v>
      </c>
      <c r="V522">
        <f t="shared" si="308"/>
        <v>1.539714867617108</v>
      </c>
      <c r="W522">
        <f t="shared" si="309"/>
        <v>0.64628309572301423</v>
      </c>
      <c r="X522">
        <v>5.4</v>
      </c>
      <c r="Y522" s="3">
        <v>20.04</v>
      </c>
      <c r="Z522">
        <v>68.319999999999993</v>
      </c>
      <c r="AA522">
        <v>5.92</v>
      </c>
      <c r="AB522">
        <v>2.3199999999999998</v>
      </c>
      <c r="AC522">
        <v>23.45</v>
      </c>
      <c r="AD522">
        <v>0</v>
      </c>
      <c r="AE522">
        <f t="shared" si="310"/>
        <v>1.0398126463700235</v>
      </c>
      <c r="AF522">
        <f t="shared" si="311"/>
        <v>0.25742827868852464</v>
      </c>
      <c r="AG522" s="3">
        <v>2.7</v>
      </c>
      <c r="AH522">
        <v>28.31</v>
      </c>
      <c r="AI522" s="3">
        <v>66.03</v>
      </c>
    </row>
    <row r="523" spans="1:38" x14ac:dyDescent="0.5">
      <c r="A523">
        <v>30</v>
      </c>
      <c r="B523" s="4">
        <v>250</v>
      </c>
      <c r="C523">
        <v>0.1</v>
      </c>
      <c r="D523">
        <v>15</v>
      </c>
      <c r="E523">
        <v>100</v>
      </c>
      <c r="F523">
        <v>60</v>
      </c>
      <c r="G523" s="3">
        <f t="shared" si="307"/>
        <v>4</v>
      </c>
      <c r="O523">
        <v>72.599999999999994</v>
      </c>
      <c r="P523" s="3">
        <v>21.9</v>
      </c>
      <c r="Q523">
        <v>49.1</v>
      </c>
      <c r="R523">
        <v>6.3</v>
      </c>
      <c r="S523">
        <v>2.29</v>
      </c>
      <c r="T523">
        <v>42.31</v>
      </c>
      <c r="U523">
        <v>0</v>
      </c>
      <c r="V523">
        <f t="shared" si="308"/>
        <v>1.539714867617108</v>
      </c>
      <c r="W523">
        <f t="shared" si="309"/>
        <v>0.64628309572301423</v>
      </c>
      <c r="X523">
        <v>5.4</v>
      </c>
      <c r="Y523" s="3">
        <v>20.04</v>
      </c>
      <c r="Z523">
        <v>55.92</v>
      </c>
      <c r="AA523">
        <v>6.35</v>
      </c>
      <c r="AB523">
        <v>2.2000000000000002</v>
      </c>
      <c r="AC523">
        <v>35.5</v>
      </c>
      <c r="AD523">
        <v>0</v>
      </c>
      <c r="AE523">
        <f t="shared" si="310"/>
        <v>1.3626609442060085</v>
      </c>
      <c r="AF523">
        <f t="shared" si="311"/>
        <v>0.47612660944206009</v>
      </c>
      <c r="AG523" s="3">
        <v>8.1999999999999993</v>
      </c>
      <c r="AH523">
        <v>23.12</v>
      </c>
      <c r="AI523" s="3">
        <v>89.81</v>
      </c>
    </row>
    <row r="524" spans="1:38" x14ac:dyDescent="0.5">
      <c r="A524">
        <v>30</v>
      </c>
      <c r="B524" s="4">
        <v>300</v>
      </c>
      <c r="C524">
        <v>0.1</v>
      </c>
      <c r="D524">
        <v>15</v>
      </c>
      <c r="E524">
        <v>100</v>
      </c>
      <c r="F524">
        <v>60</v>
      </c>
      <c r="G524" s="3">
        <f t="shared" si="307"/>
        <v>4</v>
      </c>
      <c r="O524">
        <v>72.599999999999994</v>
      </c>
      <c r="P524" s="3">
        <v>21.9</v>
      </c>
      <c r="Q524">
        <v>49.1</v>
      </c>
      <c r="R524">
        <v>6.3</v>
      </c>
      <c r="S524">
        <v>2.29</v>
      </c>
      <c r="T524">
        <v>42.31</v>
      </c>
      <c r="U524">
        <v>0</v>
      </c>
      <c r="V524">
        <f t="shared" si="308"/>
        <v>1.539714867617108</v>
      </c>
      <c r="W524">
        <f t="shared" si="309"/>
        <v>0.64628309572301423</v>
      </c>
      <c r="X524">
        <v>5.4</v>
      </c>
      <c r="Y524" s="3">
        <v>20.04</v>
      </c>
      <c r="Z524">
        <v>62.9</v>
      </c>
      <c r="AA524">
        <v>5.41</v>
      </c>
      <c r="AB524">
        <v>2.65</v>
      </c>
      <c r="AC524">
        <v>29.04</v>
      </c>
      <c r="AD524">
        <v>0</v>
      </c>
      <c r="AE524">
        <f t="shared" si="310"/>
        <v>1.0321144674085851</v>
      </c>
      <c r="AF524">
        <f t="shared" si="311"/>
        <v>0.34626391096979336</v>
      </c>
      <c r="AG524" s="3">
        <v>10.5</v>
      </c>
      <c r="AH524">
        <v>25.29</v>
      </c>
      <c r="AI524" s="3">
        <v>74.11</v>
      </c>
    </row>
    <row r="525" spans="1:38" x14ac:dyDescent="0.5">
      <c r="A525">
        <v>30</v>
      </c>
      <c r="B525" s="4">
        <v>180</v>
      </c>
      <c r="C525">
        <v>0.1</v>
      </c>
      <c r="D525">
        <v>15</v>
      </c>
      <c r="E525">
        <v>250</v>
      </c>
      <c r="F525">
        <v>150</v>
      </c>
      <c r="G525" s="3">
        <f t="shared" si="307"/>
        <v>10</v>
      </c>
      <c r="O525">
        <v>77.099999999999994</v>
      </c>
      <c r="P525" s="3">
        <v>17.2</v>
      </c>
      <c r="Q525">
        <v>46.6</v>
      </c>
      <c r="R525">
        <v>5.8</v>
      </c>
      <c r="S525">
        <v>1.1000000000000001</v>
      </c>
      <c r="T525">
        <v>40.700000000000003</v>
      </c>
      <c r="U525">
        <v>0.08</v>
      </c>
      <c r="V525">
        <f t="shared" si="308"/>
        <v>1.4935622317596566</v>
      </c>
      <c r="W525">
        <f t="shared" si="309"/>
        <v>0.65504291845493567</v>
      </c>
      <c r="X525">
        <v>5.6</v>
      </c>
      <c r="Y525" s="3">
        <v>18.8</v>
      </c>
      <c r="Z525">
        <v>51.2</v>
      </c>
      <c r="AA525">
        <v>5.8</v>
      </c>
      <c r="AB525">
        <v>1.7</v>
      </c>
      <c r="AC525">
        <v>36.799999999999997</v>
      </c>
      <c r="AD525">
        <v>0.06</v>
      </c>
      <c r="AE525">
        <f t="shared" si="310"/>
        <v>1.359375</v>
      </c>
      <c r="AF525">
        <f t="shared" si="311"/>
        <v>0.5390625</v>
      </c>
      <c r="AG525" s="3">
        <v>4.5</v>
      </c>
      <c r="AH525">
        <v>20.7</v>
      </c>
      <c r="AI525" s="3">
        <v>70</v>
      </c>
      <c r="AJ525" s="2" t="s">
        <v>144</v>
      </c>
      <c r="AK525" t="s">
        <v>145</v>
      </c>
      <c r="AL525">
        <v>59</v>
      </c>
    </row>
    <row r="526" spans="1:38" x14ac:dyDescent="0.5">
      <c r="A526">
        <v>30</v>
      </c>
      <c r="B526" s="4">
        <v>200</v>
      </c>
      <c r="C526">
        <v>0.1</v>
      </c>
      <c r="D526">
        <v>15</v>
      </c>
      <c r="E526">
        <v>250</v>
      </c>
      <c r="F526">
        <v>150</v>
      </c>
      <c r="G526" s="3">
        <f t="shared" ref="G526:G528" si="312">F526/D526</f>
        <v>10</v>
      </c>
      <c r="O526">
        <v>77.099999999999994</v>
      </c>
      <c r="P526" s="3">
        <v>17.2</v>
      </c>
      <c r="Q526">
        <v>46.6</v>
      </c>
      <c r="R526">
        <v>5.8</v>
      </c>
      <c r="S526">
        <v>1.1000000000000001</v>
      </c>
      <c r="T526">
        <v>40.700000000000003</v>
      </c>
      <c r="U526">
        <v>0.08</v>
      </c>
      <c r="V526">
        <f t="shared" ref="V526:V528" si="313">(R526/1)/(Q526/12)</f>
        <v>1.4935622317596566</v>
      </c>
      <c r="W526">
        <f t="shared" ref="W526:W528" si="314">(T526/16)/(Q526/12)</f>
        <v>0.65504291845493567</v>
      </c>
      <c r="X526">
        <v>5.6</v>
      </c>
      <c r="Y526" s="3">
        <v>18.8</v>
      </c>
      <c r="Z526">
        <v>54.4</v>
      </c>
      <c r="AA526">
        <v>5.6</v>
      </c>
      <c r="AB526">
        <v>1.8</v>
      </c>
      <c r="AC526">
        <v>33.5</v>
      </c>
      <c r="AD526">
        <v>0.06</v>
      </c>
      <c r="AE526">
        <f t="shared" si="310"/>
        <v>1.2352941176470589</v>
      </c>
      <c r="AF526">
        <f t="shared" si="311"/>
        <v>0.46185661764705882</v>
      </c>
      <c r="AG526" s="3">
        <v>4.5999999999999996</v>
      </c>
      <c r="AH526">
        <v>22</v>
      </c>
      <c r="AI526" s="3">
        <v>67.7</v>
      </c>
    </row>
    <row r="527" spans="1:38" x14ac:dyDescent="0.5">
      <c r="A527">
        <v>30</v>
      </c>
      <c r="B527" s="4">
        <v>220</v>
      </c>
      <c r="C527">
        <v>0.1</v>
      </c>
      <c r="D527">
        <v>15</v>
      </c>
      <c r="E527">
        <v>250</v>
      </c>
      <c r="F527">
        <v>150</v>
      </c>
      <c r="G527" s="3">
        <f t="shared" si="312"/>
        <v>10</v>
      </c>
      <c r="O527">
        <v>77.099999999999994</v>
      </c>
      <c r="P527" s="3">
        <v>17.2</v>
      </c>
      <c r="Q527">
        <v>46.6</v>
      </c>
      <c r="R527">
        <v>5.8</v>
      </c>
      <c r="S527">
        <v>1.1000000000000001</v>
      </c>
      <c r="T527">
        <v>40.700000000000003</v>
      </c>
      <c r="U527">
        <v>0.08</v>
      </c>
      <c r="V527">
        <f t="shared" si="313"/>
        <v>1.4935622317596566</v>
      </c>
      <c r="W527">
        <f t="shared" si="314"/>
        <v>0.65504291845493567</v>
      </c>
      <c r="X527">
        <v>5.6</v>
      </c>
      <c r="Y527" s="3">
        <v>18.8</v>
      </c>
      <c r="Z527">
        <v>56.4</v>
      </c>
      <c r="AA527">
        <v>5.6</v>
      </c>
      <c r="AB527">
        <v>1.9</v>
      </c>
      <c r="AC527">
        <v>31.4</v>
      </c>
      <c r="AD527">
        <v>0.06</v>
      </c>
      <c r="AE527">
        <f t="shared" si="310"/>
        <v>1.1914893617021276</v>
      </c>
      <c r="AF527">
        <f t="shared" si="311"/>
        <v>0.41755319148936165</v>
      </c>
      <c r="AG527" s="3">
        <v>4.7</v>
      </c>
      <c r="AH527">
        <v>22.9</v>
      </c>
      <c r="AI527" s="3">
        <v>60.7</v>
      </c>
    </row>
    <row r="528" spans="1:38" x14ac:dyDescent="0.5">
      <c r="A528">
        <v>225</v>
      </c>
      <c r="B528" s="4">
        <v>10</v>
      </c>
      <c r="C528">
        <v>0.1</v>
      </c>
      <c r="D528">
        <v>15</v>
      </c>
      <c r="E528">
        <v>100</v>
      </c>
      <c r="F528">
        <v>75</v>
      </c>
      <c r="G528" s="3">
        <f t="shared" si="312"/>
        <v>5</v>
      </c>
      <c r="K528">
        <v>29.8</v>
      </c>
      <c r="L528">
        <v>35.700000000000003</v>
      </c>
      <c r="M528">
        <v>21.9</v>
      </c>
      <c r="O528">
        <v>72.599999999999994</v>
      </c>
      <c r="Q528">
        <v>52.76</v>
      </c>
      <c r="R528">
        <v>5.56</v>
      </c>
      <c r="S528">
        <v>1.89</v>
      </c>
      <c r="T528">
        <v>34.28</v>
      </c>
      <c r="U528">
        <v>0.11</v>
      </c>
      <c r="V528">
        <f t="shared" si="313"/>
        <v>1.2645943896891585</v>
      </c>
      <c r="W528">
        <f t="shared" si="314"/>
        <v>0.4873009855951479</v>
      </c>
      <c r="X528">
        <v>5.4</v>
      </c>
      <c r="Y528" s="3">
        <v>21.3</v>
      </c>
      <c r="Z528">
        <v>61.61</v>
      </c>
      <c r="AA528">
        <v>5.86</v>
      </c>
      <c r="AB528">
        <v>1.8</v>
      </c>
      <c r="AC528">
        <v>27.68</v>
      </c>
      <c r="AD528">
        <v>0.12</v>
      </c>
      <c r="AE528">
        <f t="shared" si="310"/>
        <v>1.1413731537088136</v>
      </c>
      <c r="AF528">
        <f t="shared" si="311"/>
        <v>0.33695828599253369</v>
      </c>
      <c r="AG528" s="3">
        <v>2.93</v>
      </c>
      <c r="AH528">
        <v>25.47</v>
      </c>
      <c r="AI528" s="3">
        <v>76.55</v>
      </c>
      <c r="AJ528" s="2" t="s">
        <v>146</v>
      </c>
      <c r="AK528" t="s">
        <v>143</v>
      </c>
      <c r="AL528">
        <v>60</v>
      </c>
    </row>
    <row r="529" spans="1:38" x14ac:dyDescent="0.5">
      <c r="A529">
        <v>225</v>
      </c>
      <c r="B529" s="4">
        <v>10</v>
      </c>
      <c r="C529">
        <v>0.1</v>
      </c>
      <c r="D529">
        <v>15</v>
      </c>
      <c r="E529">
        <v>100</v>
      </c>
      <c r="F529">
        <v>60</v>
      </c>
      <c r="G529" s="3">
        <f t="shared" ref="G529:G532" si="315">F529/D529</f>
        <v>4</v>
      </c>
      <c r="K529">
        <v>29.8</v>
      </c>
      <c r="L529">
        <v>35.700000000000003</v>
      </c>
      <c r="M529">
        <v>21.9</v>
      </c>
      <c r="O529">
        <v>72.599999999999994</v>
      </c>
      <c r="Q529">
        <v>52.76</v>
      </c>
      <c r="R529">
        <v>5.56</v>
      </c>
      <c r="S529">
        <v>1.89</v>
      </c>
      <c r="T529">
        <v>34.28</v>
      </c>
      <c r="U529">
        <v>0.11</v>
      </c>
      <c r="V529">
        <f t="shared" ref="V529:V532" si="316">(R529/1)/(Q529/12)</f>
        <v>1.2645943896891585</v>
      </c>
      <c r="W529">
        <f t="shared" ref="W529:W532" si="317">(T529/16)/(Q529/12)</f>
        <v>0.4873009855951479</v>
      </c>
      <c r="X529">
        <v>5.4</v>
      </c>
      <c r="Y529" s="3">
        <v>21.3</v>
      </c>
      <c r="Z529">
        <v>61.89</v>
      </c>
      <c r="AA529">
        <v>6.09</v>
      </c>
      <c r="AB529">
        <v>2.12</v>
      </c>
      <c r="AC529">
        <v>27.44</v>
      </c>
      <c r="AD529">
        <v>0.09</v>
      </c>
      <c r="AE529">
        <f t="shared" si="310"/>
        <v>1.1808046534173533</v>
      </c>
      <c r="AF529">
        <f t="shared" si="311"/>
        <v>0.33252544837615128</v>
      </c>
      <c r="AG529" s="3">
        <v>2.37</v>
      </c>
      <c r="AH529">
        <v>25.87</v>
      </c>
      <c r="AI529" s="3">
        <v>83.97</v>
      </c>
    </row>
    <row r="530" spans="1:38" x14ac:dyDescent="0.5">
      <c r="A530">
        <v>225</v>
      </c>
      <c r="B530" s="4">
        <v>15</v>
      </c>
      <c r="C530">
        <v>0.1</v>
      </c>
      <c r="D530">
        <v>15</v>
      </c>
      <c r="E530">
        <v>100</v>
      </c>
      <c r="F530">
        <v>60</v>
      </c>
      <c r="G530" s="3">
        <f t="shared" si="315"/>
        <v>4</v>
      </c>
      <c r="K530">
        <v>29.8</v>
      </c>
      <c r="L530">
        <v>35.700000000000003</v>
      </c>
      <c r="M530">
        <v>21.9</v>
      </c>
      <c r="O530">
        <v>72.599999999999994</v>
      </c>
      <c r="Q530">
        <v>52.76</v>
      </c>
      <c r="R530">
        <v>5.56</v>
      </c>
      <c r="S530">
        <v>1.89</v>
      </c>
      <c r="T530">
        <v>34.28</v>
      </c>
      <c r="U530">
        <v>0.11</v>
      </c>
      <c r="V530">
        <f t="shared" si="316"/>
        <v>1.2645943896891585</v>
      </c>
      <c r="W530">
        <f t="shared" si="317"/>
        <v>0.4873009855951479</v>
      </c>
      <c r="X530">
        <v>5.4</v>
      </c>
      <c r="Y530" s="3">
        <v>21.3</v>
      </c>
      <c r="Z530">
        <v>61.3</v>
      </c>
      <c r="AA530">
        <v>5.82</v>
      </c>
      <c r="AB530">
        <v>2.0099999999999998</v>
      </c>
      <c r="AC530">
        <v>26.8</v>
      </c>
      <c r="AD530">
        <v>0.09</v>
      </c>
      <c r="AE530">
        <f t="shared" si="310"/>
        <v>1.1393148450244699</v>
      </c>
      <c r="AF530">
        <f t="shared" si="311"/>
        <v>0.32789559543230018</v>
      </c>
      <c r="AG530" s="3">
        <v>3.98</v>
      </c>
      <c r="AH530">
        <v>25.38</v>
      </c>
      <c r="AI530" s="3">
        <v>89.55</v>
      </c>
    </row>
    <row r="531" spans="1:38" x14ac:dyDescent="0.5">
      <c r="A531">
        <v>225</v>
      </c>
      <c r="B531" s="4">
        <v>30</v>
      </c>
      <c r="C531">
        <v>0.1</v>
      </c>
      <c r="D531">
        <v>15</v>
      </c>
      <c r="E531">
        <v>100</v>
      </c>
      <c r="F531">
        <v>60</v>
      </c>
      <c r="G531" s="3">
        <f t="shared" si="315"/>
        <v>4</v>
      </c>
      <c r="K531">
        <v>29.8</v>
      </c>
      <c r="L531">
        <v>35.700000000000003</v>
      </c>
      <c r="M531">
        <v>21.9</v>
      </c>
      <c r="O531">
        <v>72.599999999999994</v>
      </c>
      <c r="Q531">
        <v>52.76</v>
      </c>
      <c r="R531">
        <v>5.56</v>
      </c>
      <c r="S531">
        <v>1.89</v>
      </c>
      <c r="T531">
        <v>34.28</v>
      </c>
      <c r="U531">
        <v>0.11</v>
      </c>
      <c r="V531">
        <f t="shared" si="316"/>
        <v>1.2645943896891585</v>
      </c>
      <c r="W531">
        <f t="shared" si="317"/>
        <v>0.4873009855951479</v>
      </c>
      <c r="X531">
        <v>5.4</v>
      </c>
      <c r="Y531" s="3">
        <v>21.3</v>
      </c>
      <c r="Z531">
        <v>61.28</v>
      </c>
      <c r="AA531">
        <v>5.89</v>
      </c>
      <c r="AB531">
        <v>2.2000000000000002</v>
      </c>
      <c r="AC531">
        <v>26.78</v>
      </c>
      <c r="AD531">
        <v>0.1</v>
      </c>
      <c r="AE531">
        <f t="shared" si="310"/>
        <v>1.1533942558746737</v>
      </c>
      <c r="AF531">
        <f t="shared" si="311"/>
        <v>0.32775783289817234</v>
      </c>
      <c r="AG531" s="3">
        <v>3.75</v>
      </c>
      <c r="AH531">
        <v>25.46</v>
      </c>
      <c r="AI531" s="3">
        <v>88.32</v>
      </c>
    </row>
    <row r="532" spans="1:38" x14ac:dyDescent="0.5">
      <c r="A532">
        <v>225</v>
      </c>
      <c r="B532" s="4">
        <v>10</v>
      </c>
      <c r="C532">
        <v>0.1</v>
      </c>
      <c r="D532">
        <v>15</v>
      </c>
      <c r="E532">
        <v>100</v>
      </c>
      <c r="F532">
        <v>75</v>
      </c>
      <c r="G532" s="3">
        <f t="shared" si="315"/>
        <v>5</v>
      </c>
      <c r="K532">
        <v>14.3</v>
      </c>
      <c r="L532">
        <v>6.3</v>
      </c>
      <c r="M532">
        <v>3.3</v>
      </c>
      <c r="O532">
        <v>41</v>
      </c>
      <c r="Q532">
        <v>42.75</v>
      </c>
      <c r="R532">
        <v>5.88</v>
      </c>
      <c r="S532">
        <v>1.98</v>
      </c>
      <c r="T532">
        <v>43.21</v>
      </c>
      <c r="U532">
        <v>0.88</v>
      </c>
      <c r="V532">
        <f t="shared" si="316"/>
        <v>1.6505263157894736</v>
      </c>
      <c r="W532">
        <f t="shared" si="317"/>
        <v>0.75807017543859656</v>
      </c>
      <c r="X532">
        <v>5.3</v>
      </c>
      <c r="Y532" s="3">
        <v>17.3</v>
      </c>
      <c r="Z532">
        <v>56.59</v>
      </c>
      <c r="AA532">
        <v>5.42</v>
      </c>
      <c r="AB532">
        <v>2.44</v>
      </c>
      <c r="AC532">
        <v>29.29</v>
      </c>
      <c r="AD532">
        <v>0.76</v>
      </c>
      <c r="AE532">
        <f t="shared" si="310"/>
        <v>1.1493196677858279</v>
      </c>
      <c r="AF532">
        <f t="shared" si="311"/>
        <v>0.38818695882664783</v>
      </c>
      <c r="AG532" s="3">
        <v>5.5</v>
      </c>
      <c r="AH532">
        <v>24</v>
      </c>
      <c r="AI532" s="3">
        <v>68.61</v>
      </c>
    </row>
    <row r="533" spans="1:38" x14ac:dyDescent="0.5">
      <c r="A533">
        <v>225</v>
      </c>
      <c r="B533" s="4">
        <v>10</v>
      </c>
      <c r="C533">
        <v>0.1</v>
      </c>
      <c r="D533">
        <v>15</v>
      </c>
      <c r="E533">
        <v>100</v>
      </c>
      <c r="F533">
        <v>60</v>
      </c>
      <c r="G533" s="3">
        <f t="shared" ref="G533:G540" si="318">F533/D533</f>
        <v>4</v>
      </c>
      <c r="K533">
        <v>14.3</v>
      </c>
      <c r="L533">
        <v>6.3</v>
      </c>
      <c r="M533">
        <v>3.3</v>
      </c>
      <c r="O533">
        <v>41</v>
      </c>
      <c r="Q533">
        <v>42.75</v>
      </c>
      <c r="R533">
        <v>5.88</v>
      </c>
      <c r="S533">
        <v>1.98</v>
      </c>
      <c r="T533">
        <v>43.21</v>
      </c>
      <c r="U533">
        <v>0.88</v>
      </c>
      <c r="V533">
        <f t="shared" ref="V533:V536" si="319">(R533/1)/(Q533/12)</f>
        <v>1.6505263157894736</v>
      </c>
      <c r="W533">
        <f t="shared" ref="W533:W536" si="320">(T533/16)/(Q533/12)</f>
        <v>0.75807017543859656</v>
      </c>
      <c r="X533">
        <v>5.3</v>
      </c>
      <c r="Y533" s="3">
        <v>17.3</v>
      </c>
      <c r="Z533">
        <v>56.76</v>
      </c>
      <c r="AA533">
        <v>5.16</v>
      </c>
      <c r="AB533">
        <v>2.65</v>
      </c>
      <c r="AC533">
        <v>28.43</v>
      </c>
      <c r="AD533">
        <v>0.78</v>
      </c>
      <c r="AE533">
        <f t="shared" si="310"/>
        <v>1.0909090909090911</v>
      </c>
      <c r="AF533">
        <f t="shared" si="311"/>
        <v>0.37566067653276958</v>
      </c>
      <c r="AG533" s="3">
        <v>6.22</v>
      </c>
      <c r="AH533">
        <v>23.69</v>
      </c>
      <c r="AI533" s="3">
        <v>73.599999999999994</v>
      </c>
    </row>
    <row r="534" spans="1:38" x14ac:dyDescent="0.5">
      <c r="A534">
        <v>225</v>
      </c>
      <c r="B534" s="4">
        <v>15</v>
      </c>
      <c r="C534">
        <v>0.1</v>
      </c>
      <c r="D534">
        <v>15</v>
      </c>
      <c r="E534">
        <v>100</v>
      </c>
      <c r="F534">
        <v>60</v>
      </c>
      <c r="G534" s="3">
        <f t="shared" si="318"/>
        <v>4</v>
      </c>
      <c r="K534">
        <v>14.3</v>
      </c>
      <c r="L534">
        <v>6.3</v>
      </c>
      <c r="M534">
        <v>3.3</v>
      </c>
      <c r="O534">
        <v>41</v>
      </c>
      <c r="Q534">
        <v>42.75</v>
      </c>
      <c r="R534">
        <v>5.88</v>
      </c>
      <c r="S534">
        <v>1.98</v>
      </c>
      <c r="T534">
        <v>43.21</v>
      </c>
      <c r="U534">
        <v>0.88</v>
      </c>
      <c r="V534">
        <f t="shared" si="319"/>
        <v>1.6505263157894736</v>
      </c>
      <c r="W534">
        <f t="shared" si="320"/>
        <v>0.75807017543859656</v>
      </c>
      <c r="X534">
        <v>5.3</v>
      </c>
      <c r="Y534" s="3">
        <v>17.3</v>
      </c>
      <c r="Z534">
        <v>56.22</v>
      </c>
      <c r="AA534">
        <v>5.4</v>
      </c>
      <c r="AB534">
        <v>2.74</v>
      </c>
      <c r="AC534">
        <v>28.31</v>
      </c>
      <c r="AD534">
        <v>0.65</v>
      </c>
      <c r="AE534">
        <f t="shared" si="310"/>
        <v>1.1526147278548562</v>
      </c>
      <c r="AF534">
        <f t="shared" si="311"/>
        <v>0.37766808964781218</v>
      </c>
      <c r="AG534" s="3">
        <v>6.68</v>
      </c>
      <c r="AH534">
        <v>23.29</v>
      </c>
      <c r="AI534" s="3">
        <v>75.86</v>
      </c>
    </row>
    <row r="535" spans="1:38" x14ac:dyDescent="0.5">
      <c r="A535">
        <v>225</v>
      </c>
      <c r="B535" s="4">
        <v>30</v>
      </c>
      <c r="C535">
        <v>0.1</v>
      </c>
      <c r="D535">
        <v>15</v>
      </c>
      <c r="E535">
        <v>100</v>
      </c>
      <c r="F535">
        <v>60</v>
      </c>
      <c r="G535" s="3">
        <f t="shared" si="318"/>
        <v>4</v>
      </c>
      <c r="K535">
        <v>14.3</v>
      </c>
      <c r="L535">
        <v>6.3</v>
      </c>
      <c r="M535">
        <v>3.3</v>
      </c>
      <c r="O535">
        <v>41</v>
      </c>
      <c r="Q535">
        <v>42.75</v>
      </c>
      <c r="R535">
        <v>5.88</v>
      </c>
      <c r="S535">
        <v>1.98</v>
      </c>
      <c r="T535">
        <v>43.21</v>
      </c>
      <c r="U535">
        <v>0.88</v>
      </c>
      <c r="V535">
        <f t="shared" si="319"/>
        <v>1.6505263157894736</v>
      </c>
      <c r="W535">
        <f t="shared" si="320"/>
        <v>0.75807017543859656</v>
      </c>
      <c r="X535">
        <v>5.3</v>
      </c>
      <c r="Y535" s="3">
        <v>17.3</v>
      </c>
      <c r="Z535">
        <v>58.31</v>
      </c>
      <c r="AA535">
        <v>5.14</v>
      </c>
      <c r="AB535">
        <v>2.8</v>
      </c>
      <c r="AC535">
        <v>26.07</v>
      </c>
      <c r="AD535">
        <v>0.62</v>
      </c>
      <c r="AE535">
        <f t="shared" si="310"/>
        <v>1.0577945463899845</v>
      </c>
      <c r="AF535">
        <f t="shared" si="311"/>
        <v>0.3353198422226033</v>
      </c>
      <c r="AG535" s="3">
        <v>7.06</v>
      </c>
      <c r="AH535">
        <v>23.23</v>
      </c>
      <c r="AI535" s="3">
        <v>78.260000000000005</v>
      </c>
    </row>
    <row r="536" spans="1:38" x14ac:dyDescent="0.5">
      <c r="A536">
        <v>225</v>
      </c>
      <c r="B536" s="4">
        <v>10</v>
      </c>
      <c r="C536">
        <v>0.1</v>
      </c>
      <c r="D536">
        <v>15</v>
      </c>
      <c r="E536">
        <v>100</v>
      </c>
      <c r="F536">
        <v>75</v>
      </c>
      <c r="G536" s="3">
        <f t="shared" si="318"/>
        <v>5</v>
      </c>
      <c r="H536">
        <v>25.95</v>
      </c>
      <c r="O536">
        <v>60.2</v>
      </c>
      <c r="Q536">
        <v>40.880000000000003</v>
      </c>
      <c r="R536">
        <v>5.47</v>
      </c>
      <c r="S536">
        <v>4.3899999999999997</v>
      </c>
      <c r="T536">
        <v>38.54</v>
      </c>
      <c r="U536">
        <v>0.2</v>
      </c>
      <c r="V536">
        <f t="shared" si="319"/>
        <v>1.6056751467710371</v>
      </c>
      <c r="W536">
        <f t="shared" si="320"/>
        <v>0.70706947162426614</v>
      </c>
      <c r="X536">
        <v>10.5</v>
      </c>
      <c r="Y536" s="3">
        <v>16.5</v>
      </c>
      <c r="Z536">
        <v>51.75</v>
      </c>
      <c r="AA536">
        <v>5.36</v>
      </c>
      <c r="AB536">
        <v>3.94</v>
      </c>
      <c r="AC536">
        <v>27.55</v>
      </c>
      <c r="AD536">
        <v>0.08</v>
      </c>
      <c r="AE536">
        <f t="shared" si="310"/>
        <v>1.2428985507246377</v>
      </c>
      <c r="AF536">
        <f t="shared" si="311"/>
        <v>0.39927536231884059</v>
      </c>
      <c r="AG536" s="3">
        <v>11.32</v>
      </c>
      <c r="AH536">
        <v>21.24</v>
      </c>
      <c r="AI536" s="3">
        <v>68.41</v>
      </c>
    </row>
    <row r="537" spans="1:38" x14ac:dyDescent="0.5">
      <c r="A537">
        <v>225</v>
      </c>
      <c r="B537" s="4">
        <v>10</v>
      </c>
      <c r="C537">
        <v>0.1</v>
      </c>
      <c r="D537">
        <v>15</v>
      </c>
      <c r="E537">
        <v>100</v>
      </c>
      <c r="F537">
        <v>60</v>
      </c>
      <c r="G537" s="3">
        <f t="shared" si="318"/>
        <v>4</v>
      </c>
      <c r="H537">
        <v>25.95</v>
      </c>
      <c r="O537">
        <v>60.2</v>
      </c>
      <c r="Q537">
        <v>40.880000000000003</v>
      </c>
      <c r="R537">
        <v>5.47</v>
      </c>
      <c r="S537">
        <v>4.3899999999999997</v>
      </c>
      <c r="T537">
        <v>38.54</v>
      </c>
      <c r="U537">
        <v>0.2</v>
      </c>
      <c r="V537">
        <f t="shared" ref="V537:V540" si="321">(R537/1)/(Q537/12)</f>
        <v>1.6056751467710371</v>
      </c>
      <c r="W537">
        <f t="shared" ref="W537:W540" si="322">(T537/16)/(Q537/12)</f>
        <v>0.70706947162426614</v>
      </c>
      <c r="X537">
        <v>10.5</v>
      </c>
      <c r="Y537" s="3">
        <v>16.5</v>
      </c>
      <c r="Z537">
        <v>50.96</v>
      </c>
      <c r="AA537">
        <v>5.26</v>
      </c>
      <c r="AB537">
        <v>4.1900000000000004</v>
      </c>
      <c r="AC537">
        <v>27.86</v>
      </c>
      <c r="AD537">
        <v>0.05</v>
      </c>
      <c r="AE537">
        <f t="shared" si="310"/>
        <v>1.2386185243328098</v>
      </c>
      <c r="AF537">
        <f t="shared" si="311"/>
        <v>0.41002747252747246</v>
      </c>
      <c r="AG537" s="3">
        <v>11.68</v>
      </c>
      <c r="AH537">
        <v>20.8</v>
      </c>
      <c r="AI537" s="3">
        <v>73.94</v>
      </c>
    </row>
    <row r="538" spans="1:38" x14ac:dyDescent="0.5">
      <c r="A538">
        <v>225</v>
      </c>
      <c r="B538" s="4">
        <v>15</v>
      </c>
      <c r="C538">
        <v>0.1</v>
      </c>
      <c r="D538">
        <v>15</v>
      </c>
      <c r="E538">
        <v>100</v>
      </c>
      <c r="F538">
        <v>60</v>
      </c>
      <c r="G538" s="3">
        <f t="shared" si="318"/>
        <v>4</v>
      </c>
      <c r="H538">
        <v>25.95</v>
      </c>
      <c r="O538">
        <v>60.2</v>
      </c>
      <c r="Q538">
        <v>40.880000000000003</v>
      </c>
      <c r="R538">
        <v>5.47</v>
      </c>
      <c r="S538">
        <v>4.3899999999999997</v>
      </c>
      <c r="T538">
        <v>38.54</v>
      </c>
      <c r="U538">
        <v>0.2</v>
      </c>
      <c r="V538">
        <f t="shared" si="321"/>
        <v>1.6056751467710371</v>
      </c>
      <c r="W538">
        <f t="shared" si="322"/>
        <v>0.70706947162426614</v>
      </c>
      <c r="X538">
        <v>10.5</v>
      </c>
      <c r="Y538" s="3">
        <v>16.5</v>
      </c>
      <c r="Z538">
        <v>50.11</v>
      </c>
      <c r="AA538">
        <v>5.38</v>
      </c>
      <c r="AB538">
        <v>4.5</v>
      </c>
      <c r="AC538">
        <v>28.1</v>
      </c>
      <c r="AD538">
        <v>0.18</v>
      </c>
      <c r="AE538">
        <f t="shared" si="310"/>
        <v>1.2883655956894831</v>
      </c>
      <c r="AF538">
        <f t="shared" si="311"/>
        <v>0.42057473558172026</v>
      </c>
      <c r="AG538" s="3">
        <v>11.73</v>
      </c>
      <c r="AH538">
        <v>20.63</v>
      </c>
      <c r="AI538" s="3">
        <v>74.319999999999993</v>
      </c>
    </row>
    <row r="539" spans="1:38" x14ac:dyDescent="0.5">
      <c r="A539">
        <v>225</v>
      </c>
      <c r="B539" s="4">
        <v>30</v>
      </c>
      <c r="C539">
        <v>0.1</v>
      </c>
      <c r="D539">
        <v>15</v>
      </c>
      <c r="E539">
        <v>100</v>
      </c>
      <c r="F539">
        <v>60</v>
      </c>
      <c r="G539" s="3">
        <f t="shared" si="318"/>
        <v>4</v>
      </c>
      <c r="H539">
        <v>25.95</v>
      </c>
      <c r="O539">
        <v>60.2</v>
      </c>
      <c r="Q539">
        <v>40.880000000000003</v>
      </c>
      <c r="R539">
        <v>5.47</v>
      </c>
      <c r="S539">
        <v>4.3899999999999997</v>
      </c>
      <c r="T539">
        <v>38.54</v>
      </c>
      <c r="U539">
        <v>0.2</v>
      </c>
      <c r="V539">
        <f t="shared" si="321"/>
        <v>1.6056751467710371</v>
      </c>
      <c r="W539">
        <f t="shared" si="322"/>
        <v>0.70706947162426614</v>
      </c>
      <c r="X539">
        <v>10.5</v>
      </c>
      <c r="Y539" s="3">
        <v>16.5</v>
      </c>
      <c r="Z539">
        <v>49.96</v>
      </c>
      <c r="AA539">
        <v>5.22</v>
      </c>
      <c r="AB539">
        <v>4.45</v>
      </c>
      <c r="AC539">
        <v>28.64</v>
      </c>
      <c r="AD539">
        <v>7.0000000000000007E-2</v>
      </c>
      <c r="AE539">
        <f t="shared" si="310"/>
        <v>1.2538030424339472</v>
      </c>
      <c r="AF539">
        <f t="shared" si="311"/>
        <v>0.42994395516413136</v>
      </c>
      <c r="AG539" s="3">
        <v>11.66</v>
      </c>
      <c r="AH539">
        <v>20.329999999999998</v>
      </c>
      <c r="AI539" s="3">
        <v>76.81</v>
      </c>
    </row>
    <row r="540" spans="1:38" x14ac:dyDescent="0.5">
      <c r="A540">
        <v>60</v>
      </c>
      <c r="B540" s="4">
        <v>120</v>
      </c>
      <c r="C540">
        <v>0.1</v>
      </c>
      <c r="D540">
        <v>80</v>
      </c>
      <c r="E540">
        <v>1000</v>
      </c>
      <c r="F540">
        <v>800</v>
      </c>
      <c r="G540" s="3">
        <f t="shared" si="318"/>
        <v>10</v>
      </c>
      <c r="O540">
        <v>36.85</v>
      </c>
      <c r="P540" s="3">
        <v>2.25</v>
      </c>
      <c r="Q540">
        <v>20.72</v>
      </c>
      <c r="R540">
        <v>2.78</v>
      </c>
      <c r="S540">
        <v>2.96</v>
      </c>
      <c r="T540">
        <v>11.45</v>
      </c>
      <c r="U540">
        <v>1.19</v>
      </c>
      <c r="V540">
        <f t="shared" si="321"/>
        <v>1.6100386100386099</v>
      </c>
      <c r="W540">
        <f t="shared" si="322"/>
        <v>0.41445463320463322</v>
      </c>
      <c r="X540">
        <v>60.9</v>
      </c>
      <c r="Y540" s="3">
        <f>(0.338*Q540)+1.428*(R540-(T540/8))</f>
        <v>8.9293750000000003</v>
      </c>
      <c r="Z540">
        <v>18.190000000000001</v>
      </c>
      <c r="AA540">
        <v>2.57</v>
      </c>
      <c r="AB540">
        <v>2.5299999999999998</v>
      </c>
      <c r="AC540">
        <v>8.77</v>
      </c>
      <c r="AD540">
        <v>0.92</v>
      </c>
      <c r="AE540">
        <f t="shared" si="310"/>
        <v>1.6954370533260033</v>
      </c>
      <c r="AF540">
        <f t="shared" si="311"/>
        <v>0.36159978009895544</v>
      </c>
      <c r="AG540" s="3">
        <v>67.02</v>
      </c>
      <c r="AH540">
        <f>(0.338*Z540)+1.428*(AA540-(AC540/8))</f>
        <v>8.2527350000000013</v>
      </c>
      <c r="AI540" s="3">
        <v>89.22</v>
      </c>
      <c r="AJ540" s="2" t="s">
        <v>147</v>
      </c>
      <c r="AK540" t="s">
        <v>67</v>
      </c>
      <c r="AL540">
        <v>61</v>
      </c>
    </row>
    <row r="541" spans="1:38" x14ac:dyDescent="0.5">
      <c r="A541">
        <v>60</v>
      </c>
      <c r="B541" s="4">
        <v>150</v>
      </c>
      <c r="C541">
        <v>0.1</v>
      </c>
      <c r="D541">
        <v>80</v>
      </c>
      <c r="E541">
        <v>1000</v>
      </c>
      <c r="F541">
        <v>800</v>
      </c>
      <c r="G541" s="3">
        <f t="shared" ref="G541:G545" si="323">F541/D541</f>
        <v>10</v>
      </c>
      <c r="O541">
        <v>36.85</v>
      </c>
      <c r="P541" s="3">
        <v>2.25</v>
      </c>
      <c r="Q541">
        <v>20.72</v>
      </c>
      <c r="R541">
        <v>2.78</v>
      </c>
      <c r="S541">
        <v>2.96</v>
      </c>
      <c r="T541">
        <v>11.45</v>
      </c>
      <c r="U541">
        <v>1.19</v>
      </c>
      <c r="V541">
        <f t="shared" ref="V541:V543" si="324">(R541/1)/(Q541/12)</f>
        <v>1.6100386100386099</v>
      </c>
      <c r="W541">
        <f t="shared" ref="W541:W543" si="325">(T541/16)/(Q541/12)</f>
        <v>0.41445463320463322</v>
      </c>
      <c r="X541">
        <v>60.9</v>
      </c>
      <c r="Y541" s="3">
        <f t="shared" ref="Y541:Y543" si="326">(0.338*Q541)+1.428*(R541-(T541/8))</f>
        <v>8.9293750000000003</v>
      </c>
      <c r="Z541">
        <v>16.27</v>
      </c>
      <c r="AA541">
        <v>2.2799999999999998</v>
      </c>
      <c r="AB541">
        <v>2.0499999999999998</v>
      </c>
      <c r="AC541">
        <v>7.81</v>
      </c>
      <c r="AD541">
        <v>0.82</v>
      </c>
      <c r="AE541">
        <f t="shared" si="310"/>
        <v>1.6816226183159189</v>
      </c>
      <c r="AF541">
        <f t="shared" si="311"/>
        <v>0.36001843884449908</v>
      </c>
      <c r="AG541" s="3">
        <v>70.760000000000005</v>
      </c>
      <c r="AH541">
        <f t="shared" ref="AH541:AH566" si="327">(0.338*Z541)+1.428*(AA541-(AC541/8))</f>
        <v>7.3610150000000001</v>
      </c>
      <c r="AI541" s="3">
        <v>84.11</v>
      </c>
    </row>
    <row r="542" spans="1:38" x14ac:dyDescent="0.5">
      <c r="A542">
        <v>60</v>
      </c>
      <c r="B542" s="4">
        <v>180</v>
      </c>
      <c r="C542">
        <v>0.1</v>
      </c>
      <c r="D542">
        <v>80</v>
      </c>
      <c r="E542">
        <v>1000</v>
      </c>
      <c r="F542">
        <v>800</v>
      </c>
      <c r="G542" s="3">
        <f t="shared" si="323"/>
        <v>10</v>
      </c>
      <c r="O542">
        <v>36.85</v>
      </c>
      <c r="P542" s="3">
        <v>2.25</v>
      </c>
      <c r="Q542">
        <v>20.72</v>
      </c>
      <c r="R542">
        <v>2.78</v>
      </c>
      <c r="S542">
        <v>2.96</v>
      </c>
      <c r="T542">
        <v>11.45</v>
      </c>
      <c r="U542">
        <v>1.19</v>
      </c>
      <c r="V542">
        <f t="shared" si="324"/>
        <v>1.6100386100386099</v>
      </c>
      <c r="W542">
        <f t="shared" si="325"/>
        <v>0.41445463320463322</v>
      </c>
      <c r="X542">
        <v>60.9</v>
      </c>
      <c r="Y542" s="3">
        <f t="shared" si="326"/>
        <v>8.9293750000000003</v>
      </c>
      <c r="Z542">
        <v>13.91</v>
      </c>
      <c r="AA542">
        <v>1.92</v>
      </c>
      <c r="AB542">
        <v>1.41</v>
      </c>
      <c r="AC542">
        <v>6.68</v>
      </c>
      <c r="AD542">
        <v>0.8</v>
      </c>
      <c r="AE542">
        <f t="shared" si="310"/>
        <v>1.6563623292595255</v>
      </c>
      <c r="AF542">
        <f t="shared" si="311"/>
        <v>0.36017253774263119</v>
      </c>
      <c r="AG542" s="3">
        <v>75.28</v>
      </c>
      <c r="AH542">
        <f t="shared" si="327"/>
        <v>6.250960000000001</v>
      </c>
      <c r="AI542" s="3">
        <v>78.61</v>
      </c>
    </row>
    <row r="543" spans="1:38" x14ac:dyDescent="0.5">
      <c r="A543">
        <v>60</v>
      </c>
      <c r="B543" s="4">
        <v>210</v>
      </c>
      <c r="C543">
        <v>0.1</v>
      </c>
      <c r="D543">
        <v>80</v>
      </c>
      <c r="E543">
        <v>1000</v>
      </c>
      <c r="F543">
        <v>800</v>
      </c>
      <c r="G543" s="3">
        <f t="shared" si="323"/>
        <v>10</v>
      </c>
      <c r="O543">
        <v>36.85</v>
      </c>
      <c r="P543" s="3">
        <v>2.25</v>
      </c>
      <c r="Q543">
        <v>20.72</v>
      </c>
      <c r="R543">
        <v>2.78</v>
      </c>
      <c r="S543">
        <v>2.96</v>
      </c>
      <c r="T543">
        <v>11.45</v>
      </c>
      <c r="U543">
        <v>1.19</v>
      </c>
      <c r="V543">
        <f t="shared" si="324"/>
        <v>1.6100386100386099</v>
      </c>
      <c r="W543">
        <f t="shared" si="325"/>
        <v>0.41445463320463322</v>
      </c>
      <c r="X543">
        <v>60.9</v>
      </c>
      <c r="Y543" s="3">
        <f t="shared" si="326"/>
        <v>8.9293750000000003</v>
      </c>
      <c r="Z543">
        <v>13.18</v>
      </c>
      <c r="AA543">
        <v>1.65</v>
      </c>
      <c r="AB543">
        <v>1.1499999999999999</v>
      </c>
      <c r="AC543">
        <v>6.62</v>
      </c>
      <c r="AD543">
        <v>0.76</v>
      </c>
      <c r="AE543">
        <f t="shared" si="310"/>
        <v>1.5022761760242791</v>
      </c>
      <c r="AF543">
        <f t="shared" si="311"/>
        <v>0.37670713201820938</v>
      </c>
      <c r="AG543" s="3">
        <v>76.3</v>
      </c>
      <c r="AH543">
        <f t="shared" si="327"/>
        <v>5.6293699999999998</v>
      </c>
      <c r="AI543" s="3">
        <v>77.5</v>
      </c>
    </row>
    <row r="544" spans="1:38" x14ac:dyDescent="0.5">
      <c r="A544">
        <v>60</v>
      </c>
      <c r="B544" s="4">
        <v>240</v>
      </c>
      <c r="C544">
        <v>0.1</v>
      </c>
      <c r="D544">
        <v>80</v>
      </c>
      <c r="E544">
        <v>1000</v>
      </c>
      <c r="F544">
        <v>800</v>
      </c>
      <c r="G544" s="3">
        <f t="shared" si="323"/>
        <v>10</v>
      </c>
      <c r="O544">
        <v>36.85</v>
      </c>
      <c r="P544" s="3">
        <v>2.25</v>
      </c>
      <c r="Q544">
        <v>20.72</v>
      </c>
      <c r="R544">
        <v>2.78</v>
      </c>
      <c r="S544">
        <v>2.96</v>
      </c>
      <c r="T544">
        <v>11.45</v>
      </c>
      <c r="U544">
        <v>1.19</v>
      </c>
      <c r="V544">
        <f t="shared" ref="V544:V547" si="328">(R544/1)/(Q544/12)</f>
        <v>1.6100386100386099</v>
      </c>
      <c r="W544">
        <f t="shared" ref="W544:W547" si="329">(T544/16)/(Q544/12)</f>
        <v>0.41445463320463322</v>
      </c>
      <c r="X544">
        <v>60.9</v>
      </c>
      <c r="Y544" s="3">
        <f t="shared" ref="Y544:Y547" si="330">(0.338*Q544)+1.428*(R544-(T544/8))</f>
        <v>8.9293750000000003</v>
      </c>
      <c r="Z544">
        <v>12.77</v>
      </c>
      <c r="AA544">
        <v>1.56</v>
      </c>
      <c r="AB544">
        <v>1</v>
      </c>
      <c r="AC544">
        <v>5.93</v>
      </c>
      <c r="AD544">
        <v>0.68</v>
      </c>
      <c r="AE544">
        <f t="shared" si="310"/>
        <v>1.465935787000783</v>
      </c>
      <c r="AF544">
        <f t="shared" si="311"/>
        <v>0.3482772122161315</v>
      </c>
      <c r="AG544" s="3">
        <v>78.06</v>
      </c>
      <c r="AH544">
        <f t="shared" si="327"/>
        <v>5.4854349999999998</v>
      </c>
      <c r="AI544" s="3">
        <v>75.95</v>
      </c>
    </row>
    <row r="545" spans="1:38" x14ac:dyDescent="0.5">
      <c r="A545">
        <v>60</v>
      </c>
      <c r="B545" s="4">
        <v>220</v>
      </c>
      <c r="C545">
        <v>0.1</v>
      </c>
      <c r="D545">
        <v>12</v>
      </c>
      <c r="E545">
        <v>250</v>
      </c>
      <c r="F545">
        <v>90</v>
      </c>
      <c r="G545" s="3">
        <f t="shared" si="323"/>
        <v>7.5</v>
      </c>
      <c r="O545">
        <v>71.53</v>
      </c>
      <c r="P545" s="3">
        <v>7.56</v>
      </c>
      <c r="Q545">
        <v>39.72</v>
      </c>
      <c r="R545">
        <v>5.91</v>
      </c>
      <c r="S545">
        <v>7.15</v>
      </c>
      <c r="T545">
        <v>25.35</v>
      </c>
      <c r="U545">
        <v>0</v>
      </c>
      <c r="V545">
        <f t="shared" si="328"/>
        <v>1.785498489425982</v>
      </c>
      <c r="W545">
        <f t="shared" si="329"/>
        <v>0.47866314199395771</v>
      </c>
      <c r="X545">
        <v>20.91</v>
      </c>
      <c r="Y545" s="3">
        <f t="shared" si="330"/>
        <v>17.339865</v>
      </c>
      <c r="Z545">
        <v>40.42</v>
      </c>
      <c r="AA545">
        <v>4.6500000000000004</v>
      </c>
      <c r="AB545">
        <v>3.88</v>
      </c>
      <c r="AC545">
        <v>41.73</v>
      </c>
      <c r="AD545">
        <v>0</v>
      </c>
      <c r="AE545">
        <f t="shared" si="310"/>
        <v>1.3805047006432458</v>
      </c>
      <c r="AF545">
        <f t="shared" si="311"/>
        <v>0.7743072736269172</v>
      </c>
      <c r="AG545" s="3">
        <v>38.549999999999997</v>
      </c>
      <c r="AH545">
        <f t="shared" si="327"/>
        <v>12.853355000000004</v>
      </c>
      <c r="AI545" s="3">
        <v>39.78</v>
      </c>
      <c r="AJ545" s="2" t="s">
        <v>148</v>
      </c>
      <c r="AK545" t="s">
        <v>149</v>
      </c>
      <c r="AL545">
        <v>62</v>
      </c>
    </row>
    <row r="546" spans="1:38" x14ac:dyDescent="0.5">
      <c r="A546">
        <v>60</v>
      </c>
      <c r="B546" s="4">
        <v>220</v>
      </c>
      <c r="C546">
        <v>0.1</v>
      </c>
      <c r="D546">
        <v>12</v>
      </c>
      <c r="E546">
        <v>250</v>
      </c>
      <c r="F546">
        <v>90</v>
      </c>
      <c r="G546" s="3">
        <f t="shared" ref="G546:G547" si="331">F546/D546</f>
        <v>7.5</v>
      </c>
      <c r="O546">
        <v>86.28</v>
      </c>
      <c r="P546" s="3">
        <v>13.33</v>
      </c>
      <c r="Q546">
        <v>49.06</v>
      </c>
      <c r="R546">
        <v>6.17</v>
      </c>
      <c r="S546">
        <v>0.02</v>
      </c>
      <c r="T546">
        <v>41.73</v>
      </c>
      <c r="U546">
        <v>0</v>
      </c>
      <c r="V546">
        <f t="shared" si="328"/>
        <v>1.5091724419078678</v>
      </c>
      <c r="W546">
        <f t="shared" si="329"/>
        <v>0.63794333469221354</v>
      </c>
      <c r="X546">
        <v>0.39</v>
      </c>
      <c r="Y546" s="3">
        <f t="shared" si="330"/>
        <v>17.944235000000003</v>
      </c>
      <c r="Z546">
        <v>56.2</v>
      </c>
      <c r="AA546">
        <v>5.81</v>
      </c>
      <c r="AB546">
        <v>0.08</v>
      </c>
      <c r="AC546">
        <v>36.86</v>
      </c>
      <c r="AD546">
        <v>0</v>
      </c>
      <c r="AE546">
        <f t="shared" si="310"/>
        <v>1.2405693950177934</v>
      </c>
      <c r="AF546">
        <f t="shared" si="311"/>
        <v>0.49190391459074728</v>
      </c>
      <c r="AG546" s="3">
        <v>0.11</v>
      </c>
      <c r="AH546">
        <f t="shared" si="327"/>
        <v>20.712770000000003</v>
      </c>
      <c r="AI546" s="3">
        <v>67.42</v>
      </c>
    </row>
    <row r="547" spans="1:38" x14ac:dyDescent="0.5">
      <c r="A547">
        <v>120</v>
      </c>
      <c r="B547" s="4">
        <v>180</v>
      </c>
      <c r="C547">
        <v>0.1</v>
      </c>
      <c r="D547">
        <v>20</v>
      </c>
      <c r="E547">
        <v>500</v>
      </c>
      <c r="F547">
        <v>200</v>
      </c>
      <c r="G547" s="3">
        <f t="shared" si="331"/>
        <v>10</v>
      </c>
      <c r="Q547">
        <v>38.700000000000003</v>
      </c>
      <c r="R547">
        <v>1.64</v>
      </c>
      <c r="S547">
        <v>2.48</v>
      </c>
      <c r="T547">
        <v>23.8</v>
      </c>
      <c r="U547">
        <v>0</v>
      </c>
      <c r="V547">
        <f t="shared" si="328"/>
        <v>0.50852713178294573</v>
      </c>
      <c r="W547">
        <f t="shared" si="329"/>
        <v>0.46124031007751937</v>
      </c>
      <c r="X547">
        <v>33.299999999999997</v>
      </c>
      <c r="Y547" s="3">
        <f t="shared" si="330"/>
        <v>11.174220000000002</v>
      </c>
      <c r="Z547">
        <v>38.299999999999997</v>
      </c>
      <c r="AA547">
        <v>2.77</v>
      </c>
      <c r="AB547">
        <v>2.41</v>
      </c>
      <c r="AC547">
        <v>19.7</v>
      </c>
      <c r="AD547">
        <v>0</v>
      </c>
      <c r="AE547">
        <f t="shared" si="310"/>
        <v>0.86788511749347264</v>
      </c>
      <c r="AF547">
        <f t="shared" si="311"/>
        <v>0.38577023498694518</v>
      </c>
      <c r="AG547" s="3">
        <v>36.799999999999997</v>
      </c>
      <c r="AH547">
        <f t="shared" si="327"/>
        <v>13.384509999999999</v>
      </c>
      <c r="AI547" s="3">
        <v>81.8</v>
      </c>
      <c r="AJ547" s="2" t="s">
        <v>150</v>
      </c>
      <c r="AK547" t="s">
        <v>67</v>
      </c>
      <c r="AL547">
        <v>63</v>
      </c>
    </row>
    <row r="548" spans="1:38" x14ac:dyDescent="0.5">
      <c r="A548">
        <v>360</v>
      </c>
      <c r="B548" s="4">
        <v>180</v>
      </c>
      <c r="C548">
        <v>0.1</v>
      </c>
      <c r="D548">
        <v>20</v>
      </c>
      <c r="E548">
        <v>500</v>
      </c>
      <c r="F548">
        <v>200</v>
      </c>
      <c r="G548" s="3">
        <f t="shared" ref="G548:G559" si="332">F548/D548</f>
        <v>10</v>
      </c>
      <c r="Q548">
        <v>38.700000000000003</v>
      </c>
      <c r="R548">
        <v>1.64</v>
      </c>
      <c r="S548">
        <v>2.48</v>
      </c>
      <c r="T548">
        <v>23.8</v>
      </c>
      <c r="U548">
        <v>0</v>
      </c>
      <c r="V548">
        <f t="shared" ref="V548:V559" si="333">(R548/1)/(Q548/12)</f>
        <v>0.50852713178294573</v>
      </c>
      <c r="W548">
        <f t="shared" ref="W548:W559" si="334">(T548/16)/(Q548/12)</f>
        <v>0.46124031007751937</v>
      </c>
      <c r="X548">
        <v>33.299999999999997</v>
      </c>
      <c r="Y548" s="3">
        <f t="shared" ref="Y548:Y559" si="335">(0.338*Q548)+1.428*(R548-(T548/8))</f>
        <v>11.174220000000002</v>
      </c>
      <c r="Z548">
        <v>38.5</v>
      </c>
      <c r="AA548">
        <v>2.96</v>
      </c>
      <c r="AB548">
        <v>1.94</v>
      </c>
      <c r="AC548">
        <v>18.399999999999999</v>
      </c>
      <c r="AD548">
        <v>0</v>
      </c>
      <c r="AE548">
        <f t="shared" si="310"/>
        <v>0.92259740259740253</v>
      </c>
      <c r="AF548">
        <f t="shared" si="311"/>
        <v>0.35844155844155839</v>
      </c>
      <c r="AG548" s="3">
        <v>38.200000000000003</v>
      </c>
      <c r="AH548">
        <f t="shared" si="327"/>
        <v>13.955480000000001</v>
      </c>
      <c r="AI548" s="3">
        <v>76.900000000000006</v>
      </c>
    </row>
    <row r="549" spans="1:38" x14ac:dyDescent="0.5">
      <c r="A549">
        <v>600</v>
      </c>
      <c r="B549" s="4">
        <v>180</v>
      </c>
      <c r="C549">
        <v>0.1</v>
      </c>
      <c r="D549">
        <v>20</v>
      </c>
      <c r="E549">
        <v>500</v>
      </c>
      <c r="F549">
        <v>200</v>
      </c>
      <c r="G549" s="3">
        <f t="shared" si="332"/>
        <v>10</v>
      </c>
      <c r="Q549">
        <v>38.700000000000003</v>
      </c>
      <c r="R549">
        <v>1.64</v>
      </c>
      <c r="S549">
        <v>2.48</v>
      </c>
      <c r="T549">
        <v>23.8</v>
      </c>
      <c r="U549">
        <v>0</v>
      </c>
      <c r="V549">
        <f t="shared" si="333"/>
        <v>0.50852713178294573</v>
      </c>
      <c r="W549">
        <f t="shared" si="334"/>
        <v>0.46124031007751937</v>
      </c>
      <c r="X549">
        <v>33.299999999999997</v>
      </c>
      <c r="Y549" s="3">
        <f t="shared" si="335"/>
        <v>11.174220000000002</v>
      </c>
      <c r="Z549">
        <v>37.4</v>
      </c>
      <c r="AA549">
        <v>2.82</v>
      </c>
      <c r="AB549">
        <v>1.5</v>
      </c>
      <c r="AC549">
        <v>19.7</v>
      </c>
      <c r="AD549">
        <v>0</v>
      </c>
      <c r="AE549">
        <f t="shared" si="310"/>
        <v>0.90481283422459891</v>
      </c>
      <c r="AF549">
        <f t="shared" si="311"/>
        <v>0.39505347593582885</v>
      </c>
      <c r="AG549" s="3">
        <v>38.299999999999997</v>
      </c>
      <c r="AH549">
        <f t="shared" si="327"/>
        <v>13.15171</v>
      </c>
      <c r="AI549" s="3">
        <v>75.599999999999994</v>
      </c>
    </row>
    <row r="550" spans="1:38" x14ac:dyDescent="0.5">
      <c r="A550">
        <v>900</v>
      </c>
      <c r="B550" s="4">
        <v>180</v>
      </c>
      <c r="C550">
        <v>0.1</v>
      </c>
      <c r="D550">
        <v>20</v>
      </c>
      <c r="E550">
        <v>500</v>
      </c>
      <c r="F550">
        <v>200</v>
      </c>
      <c r="G550" s="3">
        <f t="shared" si="332"/>
        <v>10</v>
      </c>
      <c r="Q550">
        <v>38.700000000000003</v>
      </c>
      <c r="R550">
        <v>1.64</v>
      </c>
      <c r="S550">
        <v>2.48</v>
      </c>
      <c r="T550">
        <v>23.8</v>
      </c>
      <c r="U550">
        <v>0</v>
      </c>
      <c r="V550">
        <f t="shared" si="333"/>
        <v>0.50852713178294573</v>
      </c>
      <c r="W550">
        <f t="shared" si="334"/>
        <v>0.46124031007751937</v>
      </c>
      <c r="X550">
        <v>33.299999999999997</v>
      </c>
      <c r="Y550" s="3">
        <f t="shared" si="335"/>
        <v>11.174220000000002</v>
      </c>
      <c r="Z550">
        <v>37</v>
      </c>
      <c r="AA550">
        <v>2.63</v>
      </c>
      <c r="AB550">
        <v>1.35</v>
      </c>
      <c r="AC550">
        <v>20.6</v>
      </c>
      <c r="AD550">
        <v>0</v>
      </c>
      <c r="AE550">
        <f t="shared" si="310"/>
        <v>0.85297297297297292</v>
      </c>
      <c r="AF550">
        <f t="shared" si="311"/>
        <v>0.41756756756756758</v>
      </c>
      <c r="AG550" s="3">
        <v>38.4</v>
      </c>
      <c r="AH550">
        <f t="shared" si="327"/>
        <v>12.584540000000001</v>
      </c>
      <c r="AI550" s="3">
        <v>74.400000000000006</v>
      </c>
    </row>
    <row r="551" spans="1:38" x14ac:dyDescent="0.5">
      <c r="A551">
        <v>120</v>
      </c>
      <c r="B551" s="4">
        <v>240</v>
      </c>
      <c r="C551">
        <v>0.1</v>
      </c>
      <c r="D551">
        <v>20</v>
      </c>
      <c r="E551">
        <v>500</v>
      </c>
      <c r="F551">
        <v>200</v>
      </c>
      <c r="G551" s="3">
        <f t="shared" si="332"/>
        <v>10</v>
      </c>
      <c r="Q551">
        <v>38.700000000000003</v>
      </c>
      <c r="R551">
        <v>1.64</v>
      </c>
      <c r="S551">
        <v>2.48</v>
      </c>
      <c r="T551">
        <v>23.8</v>
      </c>
      <c r="U551">
        <v>0</v>
      </c>
      <c r="V551">
        <f t="shared" si="333"/>
        <v>0.50852713178294573</v>
      </c>
      <c r="W551">
        <f t="shared" si="334"/>
        <v>0.46124031007751937</v>
      </c>
      <c r="X551">
        <v>33.299999999999997</v>
      </c>
      <c r="Y551" s="3">
        <f t="shared" si="335"/>
        <v>11.174220000000002</v>
      </c>
      <c r="Z551">
        <v>42.6</v>
      </c>
      <c r="AA551">
        <v>2.08</v>
      </c>
      <c r="AB551">
        <v>1.69</v>
      </c>
      <c r="AC551">
        <v>16.600000000000001</v>
      </c>
      <c r="AD551">
        <v>0</v>
      </c>
      <c r="AE551">
        <f t="shared" si="310"/>
        <v>0.58591549295774648</v>
      </c>
      <c r="AF551">
        <f t="shared" si="311"/>
        <v>0.29225352112676056</v>
      </c>
      <c r="AG551" s="3">
        <v>42.6</v>
      </c>
      <c r="AH551">
        <f t="shared" si="327"/>
        <v>14.405940000000001</v>
      </c>
      <c r="AI551" s="3">
        <v>73.099999999999994</v>
      </c>
    </row>
    <row r="552" spans="1:38" x14ac:dyDescent="0.5">
      <c r="A552">
        <v>360</v>
      </c>
      <c r="B552" s="4">
        <v>240</v>
      </c>
      <c r="C552">
        <v>0.1</v>
      </c>
      <c r="D552">
        <v>20</v>
      </c>
      <c r="E552">
        <v>500</v>
      </c>
      <c r="F552">
        <v>200</v>
      </c>
      <c r="G552" s="3">
        <f t="shared" si="332"/>
        <v>10</v>
      </c>
      <c r="Q552">
        <v>38.700000000000003</v>
      </c>
      <c r="R552">
        <v>1.64</v>
      </c>
      <c r="S552">
        <v>2.48</v>
      </c>
      <c r="T552">
        <v>23.8</v>
      </c>
      <c r="U552">
        <v>0</v>
      </c>
      <c r="V552">
        <f t="shared" si="333"/>
        <v>0.50852713178294573</v>
      </c>
      <c r="W552">
        <f t="shared" si="334"/>
        <v>0.46124031007751937</v>
      </c>
      <c r="X552">
        <v>33.299999999999997</v>
      </c>
      <c r="Y552" s="3">
        <f t="shared" si="335"/>
        <v>11.174220000000002</v>
      </c>
      <c r="Z552">
        <v>43.7</v>
      </c>
      <c r="AA552">
        <v>2.12</v>
      </c>
      <c r="AB552">
        <v>1.74</v>
      </c>
      <c r="AC552">
        <v>14.2</v>
      </c>
      <c r="AD552">
        <v>0</v>
      </c>
      <c r="AE552">
        <f t="shared" si="310"/>
        <v>0.5821510297482837</v>
      </c>
      <c r="AF552">
        <f t="shared" si="311"/>
        <v>0.24370709382151026</v>
      </c>
      <c r="AG552" s="3">
        <v>43.7</v>
      </c>
      <c r="AH552">
        <f t="shared" si="327"/>
        <v>15.263260000000002</v>
      </c>
      <c r="AI552" s="3">
        <v>71.900000000000006</v>
      </c>
    </row>
    <row r="553" spans="1:38" x14ac:dyDescent="0.5">
      <c r="A553">
        <v>600</v>
      </c>
      <c r="B553" s="4">
        <v>240</v>
      </c>
      <c r="C553">
        <v>0.1</v>
      </c>
      <c r="D553">
        <v>20</v>
      </c>
      <c r="E553">
        <v>500</v>
      </c>
      <c r="F553">
        <v>200</v>
      </c>
      <c r="G553" s="3">
        <f t="shared" si="332"/>
        <v>10</v>
      </c>
      <c r="Q553">
        <v>38.700000000000003</v>
      </c>
      <c r="R553">
        <v>1.64</v>
      </c>
      <c r="S553">
        <v>2.48</v>
      </c>
      <c r="T553">
        <v>23.8</v>
      </c>
      <c r="U553">
        <v>0</v>
      </c>
      <c r="V553">
        <f t="shared" si="333"/>
        <v>0.50852713178294573</v>
      </c>
      <c r="W553">
        <f t="shared" si="334"/>
        <v>0.46124031007751937</v>
      </c>
      <c r="X553">
        <v>33.299999999999997</v>
      </c>
      <c r="Y553" s="3">
        <f t="shared" si="335"/>
        <v>11.174220000000002</v>
      </c>
      <c r="Z553">
        <v>46.1</v>
      </c>
      <c r="AA553">
        <v>2.25</v>
      </c>
      <c r="AB553">
        <v>1.65</v>
      </c>
      <c r="AC553">
        <v>12.6</v>
      </c>
      <c r="AD553">
        <v>0</v>
      </c>
      <c r="AE553">
        <f t="shared" si="310"/>
        <v>0.58568329718004342</v>
      </c>
      <c r="AF553">
        <f t="shared" si="311"/>
        <v>0.20498915401301518</v>
      </c>
      <c r="AG553" s="3">
        <v>46.1</v>
      </c>
      <c r="AH553">
        <f t="shared" si="327"/>
        <v>16.5457</v>
      </c>
      <c r="AI553" s="3">
        <v>69.7</v>
      </c>
    </row>
    <row r="554" spans="1:38" x14ac:dyDescent="0.5">
      <c r="A554">
        <v>900</v>
      </c>
      <c r="B554" s="4">
        <v>240</v>
      </c>
      <c r="C554">
        <v>0.1</v>
      </c>
      <c r="D554">
        <v>20</v>
      </c>
      <c r="E554">
        <v>500</v>
      </c>
      <c r="F554">
        <v>200</v>
      </c>
      <c r="G554" s="3">
        <f t="shared" si="332"/>
        <v>10</v>
      </c>
      <c r="Q554">
        <v>38.700000000000003</v>
      </c>
      <c r="R554">
        <v>1.64</v>
      </c>
      <c r="S554">
        <v>2.48</v>
      </c>
      <c r="T554">
        <v>23.8</v>
      </c>
      <c r="U554">
        <v>0</v>
      </c>
      <c r="V554">
        <f t="shared" si="333"/>
        <v>0.50852713178294573</v>
      </c>
      <c r="W554">
        <f t="shared" si="334"/>
        <v>0.46124031007751937</v>
      </c>
      <c r="X554">
        <v>33.299999999999997</v>
      </c>
      <c r="Y554" s="3">
        <f t="shared" si="335"/>
        <v>11.174220000000002</v>
      </c>
      <c r="Z554">
        <v>45.9</v>
      </c>
      <c r="AA554">
        <v>1.87</v>
      </c>
      <c r="AB554">
        <v>1.48</v>
      </c>
      <c r="AC554">
        <v>12.1</v>
      </c>
      <c r="AD554">
        <v>0</v>
      </c>
      <c r="AE554">
        <f t="shared" si="310"/>
        <v>0.48888888888888893</v>
      </c>
      <c r="AF554">
        <f t="shared" si="311"/>
        <v>0.19771241830065361</v>
      </c>
      <c r="AG554" s="3">
        <v>45.9</v>
      </c>
      <c r="AH554">
        <f t="shared" si="327"/>
        <v>16.024710000000002</v>
      </c>
      <c r="AI554" s="3">
        <v>68.7</v>
      </c>
    </row>
    <row r="555" spans="1:38" x14ac:dyDescent="0.5">
      <c r="A555">
        <v>120</v>
      </c>
      <c r="B555" s="4">
        <v>300</v>
      </c>
      <c r="C555">
        <v>0.1</v>
      </c>
      <c r="D555">
        <v>20</v>
      </c>
      <c r="E555">
        <v>500</v>
      </c>
      <c r="F555">
        <v>200</v>
      </c>
      <c r="G555" s="3">
        <f t="shared" si="332"/>
        <v>10</v>
      </c>
      <c r="Q555">
        <v>38.700000000000003</v>
      </c>
      <c r="R555">
        <v>1.64</v>
      </c>
      <c r="S555">
        <v>2.48</v>
      </c>
      <c r="T555">
        <v>23.8</v>
      </c>
      <c r="U555">
        <v>0</v>
      </c>
      <c r="V555">
        <f t="shared" si="333"/>
        <v>0.50852713178294573</v>
      </c>
      <c r="W555">
        <f t="shared" si="334"/>
        <v>0.46124031007751937</v>
      </c>
      <c r="X555">
        <v>33.299999999999997</v>
      </c>
      <c r="Y555" s="3">
        <f t="shared" si="335"/>
        <v>11.174220000000002</v>
      </c>
      <c r="Z555">
        <v>47.9</v>
      </c>
      <c r="AA555">
        <v>2.08</v>
      </c>
      <c r="AB555">
        <v>1.47</v>
      </c>
      <c r="AC555">
        <v>9.09</v>
      </c>
      <c r="AD555">
        <v>0</v>
      </c>
      <c r="AE555">
        <f t="shared" si="310"/>
        <v>0.52108559498956164</v>
      </c>
      <c r="AF555">
        <f t="shared" si="311"/>
        <v>0.14232776617954071</v>
      </c>
      <c r="AG555" s="3">
        <v>47.9</v>
      </c>
      <c r="AH555">
        <f t="shared" si="327"/>
        <v>17.537875</v>
      </c>
      <c r="AI555" s="3">
        <v>68.099999999999994</v>
      </c>
    </row>
    <row r="556" spans="1:38" x14ac:dyDescent="0.5">
      <c r="A556">
        <v>360</v>
      </c>
      <c r="B556" s="4">
        <v>300</v>
      </c>
      <c r="C556">
        <v>0.1</v>
      </c>
      <c r="D556">
        <v>20</v>
      </c>
      <c r="E556">
        <v>500</v>
      </c>
      <c r="F556">
        <v>200</v>
      </c>
      <c r="G556" s="3">
        <f t="shared" si="332"/>
        <v>10</v>
      </c>
      <c r="Q556">
        <v>38.700000000000003</v>
      </c>
      <c r="R556">
        <v>1.64</v>
      </c>
      <c r="S556">
        <v>2.48</v>
      </c>
      <c r="T556">
        <v>23.8</v>
      </c>
      <c r="U556">
        <v>0</v>
      </c>
      <c r="V556">
        <f t="shared" si="333"/>
        <v>0.50852713178294573</v>
      </c>
      <c r="W556">
        <f t="shared" si="334"/>
        <v>0.46124031007751937</v>
      </c>
      <c r="X556">
        <v>33.299999999999997</v>
      </c>
      <c r="Y556" s="3">
        <f t="shared" si="335"/>
        <v>11.174220000000002</v>
      </c>
      <c r="Z556">
        <v>48</v>
      </c>
      <c r="AA556">
        <v>1.78</v>
      </c>
      <c r="AB556">
        <v>1.32</v>
      </c>
      <c r="AC556">
        <v>9.25</v>
      </c>
      <c r="AD556">
        <v>0</v>
      </c>
      <c r="AE556">
        <f>(AA556/1)/(Z556/12)</f>
        <v>0.44500000000000001</v>
      </c>
      <c r="AF556">
        <f t="shared" si="311"/>
        <v>0.14453125</v>
      </c>
      <c r="AG556" s="3">
        <v>48</v>
      </c>
      <c r="AH556">
        <f t="shared" si="327"/>
        <v>17.114715</v>
      </c>
      <c r="AI556" s="3">
        <v>67.099999999999994</v>
      </c>
    </row>
    <row r="557" spans="1:38" x14ac:dyDescent="0.5">
      <c r="A557">
        <v>600</v>
      </c>
      <c r="B557" s="4">
        <v>300</v>
      </c>
      <c r="C557">
        <v>0.1</v>
      </c>
      <c r="D557">
        <v>20</v>
      </c>
      <c r="E557">
        <v>500</v>
      </c>
      <c r="F557">
        <v>200</v>
      </c>
      <c r="G557" s="3">
        <f t="shared" si="332"/>
        <v>10</v>
      </c>
      <c r="Q557">
        <v>38.700000000000003</v>
      </c>
      <c r="R557">
        <v>1.64</v>
      </c>
      <c r="S557">
        <v>2.48</v>
      </c>
      <c r="T557">
        <v>23.8</v>
      </c>
      <c r="U557">
        <v>0</v>
      </c>
      <c r="V557">
        <f t="shared" si="333"/>
        <v>0.50852713178294573</v>
      </c>
      <c r="W557">
        <f t="shared" si="334"/>
        <v>0.46124031007751937</v>
      </c>
      <c r="X557">
        <v>33.299999999999997</v>
      </c>
      <c r="Y557" s="3">
        <f t="shared" si="335"/>
        <v>11.174220000000002</v>
      </c>
      <c r="Z557">
        <v>50</v>
      </c>
      <c r="AA557">
        <v>1.26</v>
      </c>
      <c r="AB557">
        <v>0.91</v>
      </c>
      <c r="AC557">
        <v>7.69</v>
      </c>
      <c r="AD557">
        <v>0</v>
      </c>
      <c r="AE557">
        <f t="shared" si="310"/>
        <v>0.3024</v>
      </c>
      <c r="AF557">
        <f t="shared" si="311"/>
        <v>0.11534999999999999</v>
      </c>
      <c r="AG557" s="3">
        <v>50</v>
      </c>
      <c r="AH557">
        <f t="shared" si="327"/>
        <v>17.326615</v>
      </c>
      <c r="AI557" s="3">
        <v>66.900000000000006</v>
      </c>
    </row>
    <row r="558" spans="1:38" x14ac:dyDescent="0.5">
      <c r="A558">
        <v>900</v>
      </c>
      <c r="B558" s="4">
        <v>300</v>
      </c>
      <c r="C558">
        <v>0.1</v>
      </c>
      <c r="D558">
        <v>20</v>
      </c>
      <c r="E558">
        <v>500</v>
      </c>
      <c r="F558">
        <v>200</v>
      </c>
      <c r="G558" s="3">
        <f t="shared" si="332"/>
        <v>10</v>
      </c>
      <c r="Q558">
        <v>38.700000000000003</v>
      </c>
      <c r="R558">
        <v>1.64</v>
      </c>
      <c r="S558">
        <v>2.48</v>
      </c>
      <c r="T558">
        <v>23.8</v>
      </c>
      <c r="U558">
        <v>0</v>
      </c>
      <c r="V558">
        <f t="shared" si="333"/>
        <v>0.50852713178294573</v>
      </c>
      <c r="W558">
        <f t="shared" si="334"/>
        <v>0.46124031007751937</v>
      </c>
      <c r="X558">
        <v>33.299999999999997</v>
      </c>
      <c r="Y558" s="3">
        <f t="shared" si="335"/>
        <v>11.174220000000002</v>
      </c>
      <c r="Z558">
        <v>52</v>
      </c>
      <c r="AA558">
        <v>1.69</v>
      </c>
      <c r="AB558">
        <v>1.84</v>
      </c>
      <c r="AC558">
        <v>8.2200000000000006</v>
      </c>
      <c r="AD558">
        <v>0</v>
      </c>
      <c r="AE558">
        <f t="shared" si="310"/>
        <v>0.39</v>
      </c>
      <c r="AF558">
        <f t="shared" si="311"/>
        <v>0.11855769230769232</v>
      </c>
      <c r="AG558" s="3">
        <v>52</v>
      </c>
      <c r="AH558">
        <f t="shared" si="327"/>
        <v>18.52205</v>
      </c>
      <c r="AI558" s="3">
        <v>65.900000000000006</v>
      </c>
    </row>
    <row r="559" spans="1:38" x14ac:dyDescent="0.5">
      <c r="A559">
        <v>240</v>
      </c>
      <c r="B559" s="4">
        <v>180</v>
      </c>
      <c r="C559">
        <v>0.1</v>
      </c>
      <c r="D559">
        <v>7</v>
      </c>
      <c r="E559">
        <v>100</v>
      </c>
      <c r="F559">
        <v>50</v>
      </c>
      <c r="G559" s="3">
        <f t="shared" si="332"/>
        <v>7.1428571428571432</v>
      </c>
      <c r="O559">
        <v>79.34</v>
      </c>
      <c r="P559" s="3">
        <v>17.149999999999999</v>
      </c>
      <c r="Q559">
        <v>45.12</v>
      </c>
      <c r="R559">
        <v>5.77</v>
      </c>
      <c r="S559">
        <v>0.41</v>
      </c>
      <c r="T559">
        <v>45.19</v>
      </c>
      <c r="U559">
        <v>0</v>
      </c>
      <c r="V559">
        <f t="shared" si="333"/>
        <v>1.5345744680851063</v>
      </c>
      <c r="W559">
        <f t="shared" si="334"/>
        <v>0.75116356382978722</v>
      </c>
      <c r="X559">
        <v>3.51</v>
      </c>
      <c r="Y559" s="3">
        <f t="shared" si="335"/>
        <v>15.423705</v>
      </c>
      <c r="Z559">
        <v>48.05</v>
      </c>
      <c r="AA559">
        <v>5.34</v>
      </c>
      <c r="AB559">
        <v>0.36</v>
      </c>
      <c r="AC559">
        <v>43.85</v>
      </c>
      <c r="AD559">
        <v>0</v>
      </c>
      <c r="AE559">
        <f t="shared" si="310"/>
        <v>1.3336108220603538</v>
      </c>
      <c r="AF559">
        <f t="shared" si="311"/>
        <v>0.6844432882414152</v>
      </c>
      <c r="AG559" s="3">
        <v>2.4</v>
      </c>
      <c r="AH559">
        <f t="shared" si="327"/>
        <v>16.039194999999999</v>
      </c>
      <c r="AI559" s="3">
        <v>67.900000000000006</v>
      </c>
      <c r="AJ559" s="2" t="s">
        <v>151</v>
      </c>
      <c r="AK559" t="s">
        <v>152</v>
      </c>
      <c r="AL559">
        <v>64</v>
      </c>
    </row>
    <row r="560" spans="1:38" x14ac:dyDescent="0.5">
      <c r="A560">
        <v>240</v>
      </c>
      <c r="B560" s="4">
        <v>200</v>
      </c>
      <c r="C560">
        <v>0.1</v>
      </c>
      <c r="D560">
        <v>7</v>
      </c>
      <c r="E560">
        <v>100</v>
      </c>
      <c r="F560">
        <v>50</v>
      </c>
      <c r="G560" s="3">
        <f t="shared" ref="G560:G568" si="336">F560/D560</f>
        <v>7.1428571428571432</v>
      </c>
      <c r="O560">
        <v>79.34</v>
      </c>
      <c r="P560" s="3">
        <v>17.149999999999999</v>
      </c>
      <c r="Q560">
        <v>45.12</v>
      </c>
      <c r="R560">
        <v>5.77</v>
      </c>
      <c r="S560">
        <v>0.41</v>
      </c>
      <c r="T560">
        <v>45.19</v>
      </c>
      <c r="U560">
        <v>0</v>
      </c>
      <c r="V560">
        <f t="shared" ref="V560:V568" si="337">(R560/1)/(Q560/12)</f>
        <v>1.5345744680851063</v>
      </c>
      <c r="W560">
        <f t="shared" ref="W560:W568" si="338">(T560/16)/(Q560/12)</f>
        <v>0.75116356382978722</v>
      </c>
      <c r="X560">
        <v>3.51</v>
      </c>
      <c r="Y560" s="3">
        <f t="shared" ref="Y560:Y568" si="339">(0.338*Q560)+1.428*(R560-(T560/8))</f>
        <v>15.423705</v>
      </c>
      <c r="Z560">
        <v>50.1</v>
      </c>
      <c r="AA560">
        <v>5.26</v>
      </c>
      <c r="AB560">
        <v>0.39</v>
      </c>
      <c r="AC560">
        <v>41.87</v>
      </c>
      <c r="AD560">
        <v>0</v>
      </c>
      <c r="AE560">
        <f t="shared" si="310"/>
        <v>1.2598802395209581</v>
      </c>
      <c r="AF560">
        <f t="shared" si="311"/>
        <v>0.62679640718562868</v>
      </c>
      <c r="AG560" s="3">
        <v>2.38</v>
      </c>
      <c r="AH560">
        <f t="shared" si="327"/>
        <v>16.971285000000002</v>
      </c>
      <c r="AI560" s="3">
        <v>62.24</v>
      </c>
    </row>
    <row r="561" spans="1:38" x14ac:dyDescent="0.5">
      <c r="A561">
        <v>60</v>
      </c>
      <c r="B561" s="4">
        <v>220</v>
      </c>
      <c r="C561">
        <v>0.1</v>
      </c>
      <c r="D561">
        <v>7</v>
      </c>
      <c r="E561">
        <v>100</v>
      </c>
      <c r="F561">
        <v>50</v>
      </c>
      <c r="G561" s="3">
        <f t="shared" si="336"/>
        <v>7.1428571428571432</v>
      </c>
      <c r="O561">
        <v>79.34</v>
      </c>
      <c r="P561" s="3">
        <v>17.149999999999999</v>
      </c>
      <c r="Q561">
        <v>45.12</v>
      </c>
      <c r="R561">
        <v>5.77</v>
      </c>
      <c r="S561">
        <v>0.41</v>
      </c>
      <c r="T561">
        <v>45.19</v>
      </c>
      <c r="U561">
        <v>0</v>
      </c>
      <c r="V561">
        <f t="shared" si="337"/>
        <v>1.5345744680851063</v>
      </c>
      <c r="W561">
        <f t="shared" si="338"/>
        <v>0.75116356382978722</v>
      </c>
      <c r="X561">
        <v>3.51</v>
      </c>
      <c r="Y561" s="3">
        <f t="shared" si="339"/>
        <v>15.423705</v>
      </c>
      <c r="Z561">
        <v>55.62</v>
      </c>
      <c r="AA561">
        <v>5.27</v>
      </c>
      <c r="AB561">
        <v>0.37</v>
      </c>
      <c r="AC561">
        <v>36.229999999999997</v>
      </c>
      <c r="AD561">
        <v>0</v>
      </c>
      <c r="AE561">
        <f t="shared" si="310"/>
        <v>1.1370010787486515</v>
      </c>
      <c r="AF561">
        <f t="shared" si="311"/>
        <v>0.48853829557713052</v>
      </c>
      <c r="AG561" s="3">
        <v>2.5099999999999998</v>
      </c>
      <c r="AH561">
        <f t="shared" si="327"/>
        <v>19.858065</v>
      </c>
      <c r="AI561" s="3">
        <v>58.59</v>
      </c>
    </row>
    <row r="562" spans="1:38" x14ac:dyDescent="0.5">
      <c r="A562">
        <v>120</v>
      </c>
      <c r="B562" s="4">
        <v>220</v>
      </c>
      <c r="C562">
        <v>0.1</v>
      </c>
      <c r="D562">
        <v>7</v>
      </c>
      <c r="E562">
        <v>100</v>
      </c>
      <c r="F562">
        <v>50</v>
      </c>
      <c r="G562" s="3">
        <f t="shared" si="336"/>
        <v>7.1428571428571432</v>
      </c>
      <c r="O562">
        <v>79.34</v>
      </c>
      <c r="P562" s="3">
        <v>17.149999999999999</v>
      </c>
      <c r="Q562">
        <v>45.12</v>
      </c>
      <c r="R562">
        <v>5.77</v>
      </c>
      <c r="S562">
        <v>0.41</v>
      </c>
      <c r="T562">
        <v>45.19</v>
      </c>
      <c r="U562">
        <v>0</v>
      </c>
      <c r="V562">
        <f t="shared" si="337"/>
        <v>1.5345744680851063</v>
      </c>
      <c r="W562">
        <f t="shared" si="338"/>
        <v>0.75116356382978722</v>
      </c>
      <c r="X562">
        <v>3.51</v>
      </c>
      <c r="Y562" s="3">
        <f t="shared" si="339"/>
        <v>15.423705</v>
      </c>
      <c r="Z562">
        <v>61.21</v>
      </c>
      <c r="AA562">
        <v>5.22</v>
      </c>
      <c r="AB562">
        <v>0.38</v>
      </c>
      <c r="AC562">
        <v>30.61</v>
      </c>
      <c r="AD562">
        <v>0</v>
      </c>
      <c r="AE562">
        <f t="shared" si="310"/>
        <v>1.0233621957196537</v>
      </c>
      <c r="AF562">
        <f t="shared" si="311"/>
        <v>0.37506126449926486</v>
      </c>
      <c r="AG562" s="3">
        <v>2.58</v>
      </c>
      <c r="AH562">
        <f t="shared" si="327"/>
        <v>22.679255000000001</v>
      </c>
      <c r="AI562" s="3">
        <v>56.26</v>
      </c>
    </row>
    <row r="563" spans="1:38" x14ac:dyDescent="0.5">
      <c r="A563">
        <v>240</v>
      </c>
      <c r="B563" s="4">
        <v>220</v>
      </c>
      <c r="C563">
        <v>0.1</v>
      </c>
      <c r="D563">
        <v>7</v>
      </c>
      <c r="E563">
        <v>100</v>
      </c>
      <c r="F563">
        <v>50</v>
      </c>
      <c r="G563" s="3">
        <f t="shared" si="336"/>
        <v>7.1428571428571432</v>
      </c>
      <c r="O563">
        <v>79.34</v>
      </c>
      <c r="P563" s="3">
        <v>17.149999999999999</v>
      </c>
      <c r="Q563">
        <v>45.12</v>
      </c>
      <c r="R563">
        <v>5.77</v>
      </c>
      <c r="S563">
        <v>0.41</v>
      </c>
      <c r="T563">
        <v>45.19</v>
      </c>
      <c r="U563">
        <v>0</v>
      </c>
      <c r="V563">
        <f t="shared" si="337"/>
        <v>1.5345744680851063</v>
      </c>
      <c r="W563">
        <f t="shared" si="338"/>
        <v>0.75116356382978722</v>
      </c>
      <c r="X563">
        <v>3.51</v>
      </c>
      <c r="Y563" s="3">
        <f t="shared" si="339"/>
        <v>15.423705</v>
      </c>
      <c r="Z563">
        <v>62.64</v>
      </c>
      <c r="AA563">
        <v>5.21</v>
      </c>
      <c r="AB563">
        <v>0.41</v>
      </c>
      <c r="AC563">
        <v>28.95</v>
      </c>
      <c r="AD563">
        <v>0</v>
      </c>
      <c r="AE563">
        <f t="shared" si="310"/>
        <v>0.99808429118773956</v>
      </c>
      <c r="AF563">
        <f t="shared" si="311"/>
        <v>0.34662356321839083</v>
      </c>
      <c r="AG563" s="3">
        <v>2.79</v>
      </c>
      <c r="AH563">
        <f t="shared" si="327"/>
        <v>23.444625000000002</v>
      </c>
      <c r="AI563" s="3">
        <v>51.22</v>
      </c>
    </row>
    <row r="564" spans="1:38" x14ac:dyDescent="0.5">
      <c r="A564">
        <v>720</v>
      </c>
      <c r="B564" s="4">
        <v>220</v>
      </c>
      <c r="C564">
        <v>0.1</v>
      </c>
      <c r="D564">
        <v>7</v>
      </c>
      <c r="E564">
        <v>100</v>
      </c>
      <c r="F564">
        <v>50</v>
      </c>
      <c r="G564" s="3">
        <f t="shared" si="336"/>
        <v>7.1428571428571432</v>
      </c>
      <c r="O564">
        <v>79.34</v>
      </c>
      <c r="P564" s="3">
        <v>17.149999999999999</v>
      </c>
      <c r="Q564">
        <v>45.12</v>
      </c>
      <c r="R564">
        <v>5.77</v>
      </c>
      <c r="S564">
        <v>0.41</v>
      </c>
      <c r="T564">
        <v>45.19</v>
      </c>
      <c r="U564">
        <v>0</v>
      </c>
      <c r="V564">
        <f t="shared" si="337"/>
        <v>1.5345744680851063</v>
      </c>
      <c r="W564">
        <f t="shared" si="338"/>
        <v>0.75116356382978722</v>
      </c>
      <c r="X564">
        <v>3.51</v>
      </c>
      <c r="Y564" s="3">
        <f t="shared" si="339"/>
        <v>15.423705</v>
      </c>
      <c r="Z564">
        <v>67.36</v>
      </c>
      <c r="AA564">
        <v>5.01</v>
      </c>
      <c r="AB564">
        <v>0.4</v>
      </c>
      <c r="AC564">
        <v>24.26</v>
      </c>
      <c r="AD564">
        <v>0</v>
      </c>
      <c r="AE564">
        <f t="shared" si="310"/>
        <v>0.89251781472684077</v>
      </c>
      <c r="AF564">
        <f t="shared" si="311"/>
        <v>0.27011579572446559</v>
      </c>
      <c r="AG564" s="3">
        <v>2.97</v>
      </c>
      <c r="AH564">
        <f t="shared" si="327"/>
        <v>25.591550000000002</v>
      </c>
      <c r="AI564" s="3">
        <v>49.78</v>
      </c>
    </row>
    <row r="565" spans="1:38" x14ac:dyDescent="0.5">
      <c r="A565">
        <v>1440</v>
      </c>
      <c r="B565" s="4">
        <v>220</v>
      </c>
      <c r="C565">
        <v>0.1</v>
      </c>
      <c r="D565">
        <v>7</v>
      </c>
      <c r="E565">
        <v>100</v>
      </c>
      <c r="F565">
        <v>50</v>
      </c>
      <c r="G565" s="3">
        <f t="shared" si="336"/>
        <v>7.1428571428571432</v>
      </c>
      <c r="O565">
        <v>79.34</v>
      </c>
      <c r="P565" s="3">
        <v>17.149999999999999</v>
      </c>
      <c r="Q565">
        <v>45.12</v>
      </c>
      <c r="R565">
        <v>5.77</v>
      </c>
      <c r="S565">
        <v>0.41</v>
      </c>
      <c r="T565">
        <v>45.19</v>
      </c>
      <c r="U565">
        <v>0</v>
      </c>
      <c r="V565">
        <f t="shared" si="337"/>
        <v>1.5345744680851063</v>
      </c>
      <c r="W565">
        <f t="shared" si="338"/>
        <v>0.75116356382978722</v>
      </c>
      <c r="X565">
        <v>3.51</v>
      </c>
      <c r="Y565" s="3">
        <f t="shared" si="339"/>
        <v>15.423705</v>
      </c>
      <c r="Z565">
        <v>68.45</v>
      </c>
      <c r="AA565">
        <v>4.93</v>
      </c>
      <c r="AB565">
        <v>0.38</v>
      </c>
      <c r="AC565">
        <v>22.88</v>
      </c>
      <c r="AD565">
        <v>0</v>
      </c>
      <c r="AE565">
        <f t="shared" si="310"/>
        <v>0.86428049671292906</v>
      </c>
      <c r="AF565">
        <f t="shared" si="311"/>
        <v>0.25069393718042365</v>
      </c>
      <c r="AG565" s="3">
        <v>3.36</v>
      </c>
      <c r="AH565">
        <f t="shared" si="327"/>
        <v>26.092060000000004</v>
      </c>
      <c r="AI565" s="3">
        <v>48.75</v>
      </c>
    </row>
    <row r="566" spans="1:38" x14ac:dyDescent="0.5">
      <c r="A566">
        <v>240</v>
      </c>
      <c r="B566" s="4">
        <v>240</v>
      </c>
      <c r="C566">
        <v>0.1</v>
      </c>
      <c r="D566">
        <v>7</v>
      </c>
      <c r="E566">
        <v>100</v>
      </c>
      <c r="F566">
        <v>50</v>
      </c>
      <c r="G566" s="3">
        <f t="shared" si="336"/>
        <v>7.1428571428571432</v>
      </c>
      <c r="O566">
        <v>79.34</v>
      </c>
      <c r="P566" s="3">
        <v>17.149999999999999</v>
      </c>
      <c r="Q566">
        <v>45.12</v>
      </c>
      <c r="R566">
        <v>5.77</v>
      </c>
      <c r="S566">
        <v>0.41</v>
      </c>
      <c r="T566">
        <v>45.19</v>
      </c>
      <c r="U566">
        <v>0</v>
      </c>
      <c r="V566">
        <f t="shared" si="337"/>
        <v>1.5345744680851063</v>
      </c>
      <c r="W566">
        <f t="shared" si="338"/>
        <v>0.75116356382978722</v>
      </c>
      <c r="X566">
        <v>3.51</v>
      </c>
      <c r="Y566" s="3">
        <f t="shared" si="339"/>
        <v>15.423705</v>
      </c>
      <c r="Z566">
        <v>65.27</v>
      </c>
      <c r="AA566">
        <v>4.92</v>
      </c>
      <c r="AB566">
        <v>0.35</v>
      </c>
      <c r="AC566">
        <v>26.47</v>
      </c>
      <c r="AD566">
        <v>0</v>
      </c>
      <c r="AE566">
        <f t="shared" si="310"/>
        <v>0.90455032940095004</v>
      </c>
      <c r="AF566">
        <f t="shared" si="311"/>
        <v>0.30415964455339362</v>
      </c>
      <c r="AG566" s="3">
        <v>2.99</v>
      </c>
      <c r="AH566">
        <f t="shared" si="327"/>
        <v>24.362124999999999</v>
      </c>
      <c r="AI566" s="3">
        <v>46.23</v>
      </c>
    </row>
    <row r="567" spans="1:38" x14ac:dyDescent="0.5">
      <c r="A567">
        <v>240</v>
      </c>
      <c r="B567" s="4">
        <v>260</v>
      </c>
      <c r="C567">
        <v>0.1</v>
      </c>
      <c r="D567">
        <v>7</v>
      </c>
      <c r="E567">
        <v>100</v>
      </c>
      <c r="F567">
        <v>50</v>
      </c>
      <c r="G567" s="3">
        <f t="shared" si="336"/>
        <v>7.1428571428571432</v>
      </c>
      <c r="O567">
        <v>79.34</v>
      </c>
      <c r="P567" s="3">
        <v>17.149999999999999</v>
      </c>
      <c r="Q567">
        <v>45.12</v>
      </c>
      <c r="R567">
        <v>5.77</v>
      </c>
      <c r="S567">
        <v>0.41</v>
      </c>
      <c r="T567">
        <v>45.19</v>
      </c>
      <c r="U567">
        <v>0</v>
      </c>
      <c r="V567">
        <f t="shared" si="337"/>
        <v>1.5345744680851063</v>
      </c>
      <c r="W567">
        <f t="shared" si="338"/>
        <v>0.75116356382978722</v>
      </c>
      <c r="X567">
        <v>3.51</v>
      </c>
      <c r="Y567" s="3">
        <f t="shared" si="339"/>
        <v>15.423705</v>
      </c>
      <c r="Z567">
        <v>73.16</v>
      </c>
      <c r="AA567">
        <v>4.95</v>
      </c>
      <c r="AB567">
        <v>0.3</v>
      </c>
      <c r="AC567">
        <v>18.52</v>
      </c>
      <c r="AD567">
        <v>0</v>
      </c>
      <c r="AE567">
        <f t="shared" si="310"/>
        <v>0.81191908146528158</v>
      </c>
      <c r="AF567">
        <f t="shared" si="311"/>
        <v>0.18985784581738654</v>
      </c>
      <c r="AG567" s="3">
        <v>3.07</v>
      </c>
      <c r="AH567">
        <f>(0.338*Z567)+1.428*(AA567-(AC567/8))</f>
        <v>28.490860000000001</v>
      </c>
      <c r="AI567" s="3">
        <v>44.17</v>
      </c>
    </row>
    <row r="568" spans="1:38" x14ac:dyDescent="0.5">
      <c r="A568">
        <v>30</v>
      </c>
      <c r="B568" s="4">
        <v>180</v>
      </c>
      <c r="C568">
        <v>0.1</v>
      </c>
      <c r="D568">
        <v>4</v>
      </c>
      <c r="E568">
        <v>250</v>
      </c>
      <c r="F568">
        <v>80</v>
      </c>
      <c r="G568" s="3">
        <f t="shared" si="336"/>
        <v>20</v>
      </c>
      <c r="O568">
        <v>46.57</v>
      </c>
      <c r="P568" s="3">
        <v>7.22</v>
      </c>
      <c r="Q568">
        <v>25.74</v>
      </c>
      <c r="R568">
        <v>3.99</v>
      </c>
      <c r="S568">
        <v>4.29</v>
      </c>
      <c r="T568">
        <v>18.73</v>
      </c>
      <c r="U568">
        <v>0.68</v>
      </c>
      <c r="V568">
        <f t="shared" si="337"/>
        <v>1.8601398601398602</v>
      </c>
      <c r="W568">
        <f t="shared" si="338"/>
        <v>0.54574592074592077</v>
      </c>
      <c r="X568">
        <v>46.57</v>
      </c>
      <c r="Y568" s="3">
        <f t="shared" si="339"/>
        <v>11.054535</v>
      </c>
      <c r="Z568">
        <v>18.670000000000002</v>
      </c>
      <c r="AA568">
        <v>3.2</v>
      </c>
      <c r="AB568">
        <v>2.06</v>
      </c>
      <c r="AC568">
        <v>12.88</v>
      </c>
      <c r="AD568">
        <v>0</v>
      </c>
      <c r="AE568">
        <f t="shared" si="310"/>
        <v>2.0567755757900374</v>
      </c>
      <c r="AF568">
        <f t="shared" si="311"/>
        <v>0.51740760578468137</v>
      </c>
      <c r="AG568" s="3">
        <v>63.19</v>
      </c>
      <c r="AH568">
        <v>7.59</v>
      </c>
      <c r="AI568" s="3">
        <v>61.1</v>
      </c>
      <c r="AJ568" s="2" t="s">
        <v>153</v>
      </c>
      <c r="AK568" t="s">
        <v>67</v>
      </c>
      <c r="AL568">
        <v>65</v>
      </c>
    </row>
    <row r="569" spans="1:38" x14ac:dyDescent="0.5">
      <c r="A569">
        <v>30</v>
      </c>
      <c r="B569" s="4">
        <v>200</v>
      </c>
      <c r="C569">
        <v>0.1</v>
      </c>
      <c r="D569">
        <v>4</v>
      </c>
      <c r="E569">
        <v>250</v>
      </c>
      <c r="F569">
        <v>80</v>
      </c>
      <c r="G569" s="3">
        <f t="shared" ref="G569:G571" si="340">F569/D569</f>
        <v>20</v>
      </c>
      <c r="O569">
        <v>46.57</v>
      </c>
      <c r="P569" s="3">
        <v>7.22</v>
      </c>
      <c r="Q569">
        <v>25.74</v>
      </c>
      <c r="R569">
        <v>3.99</v>
      </c>
      <c r="S569">
        <v>4.29</v>
      </c>
      <c r="T569">
        <v>18.73</v>
      </c>
      <c r="U569">
        <v>0.68</v>
      </c>
      <c r="V569">
        <f t="shared" ref="V569:V571" si="341">(R569/1)/(Q569/12)</f>
        <v>1.8601398601398602</v>
      </c>
      <c r="W569">
        <f t="shared" ref="W569:W571" si="342">(T569/16)/(Q569/12)</f>
        <v>0.54574592074592077</v>
      </c>
      <c r="X569">
        <v>46.57</v>
      </c>
      <c r="Y569" s="3">
        <f t="shared" ref="Y569:Y571" si="343">(0.338*Q569)+1.428*(R569-(T569/8))</f>
        <v>11.054535</v>
      </c>
      <c r="Z569">
        <v>17.09</v>
      </c>
      <c r="AA569">
        <v>2.95</v>
      </c>
      <c r="AB569">
        <v>1.67</v>
      </c>
      <c r="AC569">
        <v>11.31</v>
      </c>
      <c r="AD569">
        <v>0</v>
      </c>
      <c r="AE569">
        <f t="shared" si="310"/>
        <v>2.0713867758923348</v>
      </c>
      <c r="AF569">
        <f t="shared" si="311"/>
        <v>0.49634289057928621</v>
      </c>
      <c r="AG569" s="3">
        <v>66.98</v>
      </c>
      <c r="AH569">
        <v>6.83</v>
      </c>
      <c r="AI569" s="3">
        <v>65.7</v>
      </c>
    </row>
    <row r="570" spans="1:38" x14ac:dyDescent="0.5">
      <c r="A570">
        <v>30</v>
      </c>
      <c r="B570" s="4">
        <v>220</v>
      </c>
      <c r="C570">
        <v>0.1</v>
      </c>
      <c r="D570">
        <v>4</v>
      </c>
      <c r="E570">
        <v>250</v>
      </c>
      <c r="F570">
        <v>80</v>
      </c>
      <c r="G570" s="3">
        <f t="shared" si="340"/>
        <v>20</v>
      </c>
      <c r="O570">
        <v>46.57</v>
      </c>
      <c r="P570" s="3">
        <v>7.22</v>
      </c>
      <c r="Q570">
        <v>25.74</v>
      </c>
      <c r="R570">
        <v>3.99</v>
      </c>
      <c r="S570">
        <v>4.29</v>
      </c>
      <c r="T570">
        <v>18.73</v>
      </c>
      <c r="U570">
        <v>0.68</v>
      </c>
      <c r="V570">
        <f t="shared" si="341"/>
        <v>1.8601398601398602</v>
      </c>
      <c r="W570">
        <f t="shared" si="342"/>
        <v>0.54574592074592077</v>
      </c>
      <c r="X570">
        <v>46.57</v>
      </c>
      <c r="Y570" s="3">
        <f t="shared" si="343"/>
        <v>11.054535</v>
      </c>
      <c r="Z570">
        <v>16.71</v>
      </c>
      <c r="AA570">
        <v>2.65</v>
      </c>
      <c r="AB570">
        <v>1.52</v>
      </c>
      <c r="AC570">
        <v>10.09</v>
      </c>
      <c r="AD570">
        <v>0</v>
      </c>
      <c r="AE570">
        <f>(AA570/1)/(Z570/12)</f>
        <v>1.9030520646319566</v>
      </c>
      <c r="AF570">
        <f t="shared" si="311"/>
        <v>0.45287253141831235</v>
      </c>
      <c r="AG570" s="3">
        <v>69.03</v>
      </c>
      <c r="AH570">
        <v>6.43</v>
      </c>
      <c r="AI570" s="3">
        <v>67.7</v>
      </c>
    </row>
    <row r="571" spans="1:38" x14ac:dyDescent="0.5">
      <c r="A571">
        <v>240</v>
      </c>
      <c r="B571" s="4">
        <v>180</v>
      </c>
      <c r="C571">
        <v>0.1</v>
      </c>
      <c r="D571">
        <v>65</v>
      </c>
      <c r="E571">
        <v>2000</v>
      </c>
      <c r="F571">
        <v>1300</v>
      </c>
      <c r="G571" s="3">
        <f t="shared" si="340"/>
        <v>20</v>
      </c>
      <c r="K571">
        <v>43.9</v>
      </c>
      <c r="L571">
        <v>26.7</v>
      </c>
      <c r="M571">
        <v>24.9</v>
      </c>
      <c r="Q571">
        <v>48.8</v>
      </c>
      <c r="R571">
        <v>6.5</v>
      </c>
      <c r="S571">
        <v>0.1</v>
      </c>
      <c r="T571">
        <v>43.8</v>
      </c>
      <c r="U571">
        <v>0</v>
      </c>
      <c r="V571">
        <f t="shared" si="341"/>
        <v>1.598360655737705</v>
      </c>
      <c r="W571">
        <f t="shared" si="342"/>
        <v>0.67315573770491799</v>
      </c>
      <c r="X571">
        <v>0.8</v>
      </c>
      <c r="Y571" s="3">
        <f t="shared" si="343"/>
        <v>17.958099999999998</v>
      </c>
      <c r="Z571">
        <v>51.2</v>
      </c>
      <c r="AA571">
        <v>6.1</v>
      </c>
      <c r="AB571">
        <v>0.3</v>
      </c>
      <c r="AC571">
        <v>42.2</v>
      </c>
      <c r="AD571">
        <v>0</v>
      </c>
      <c r="AE571">
        <f t="shared" ref="AE571:AE682" si="344">(AA571/1)/(Z571/12)</f>
        <v>1.4296875</v>
      </c>
      <c r="AF571">
        <f t="shared" ref="AF571:AF682" si="345">(AC571/16)/(Z571/12)</f>
        <v>0.6181640625</v>
      </c>
      <c r="AG571" s="3">
        <v>0.2</v>
      </c>
      <c r="AH571">
        <f>(0.338*Z571)+1.428*(AA571-(AC571/8))</f>
        <v>18.483700000000002</v>
      </c>
      <c r="AI571" s="3">
        <v>69</v>
      </c>
      <c r="AJ571" s="2" t="s">
        <v>154</v>
      </c>
      <c r="AK571" t="s">
        <v>155</v>
      </c>
      <c r="AL571">
        <v>66</v>
      </c>
    </row>
    <row r="572" spans="1:38" x14ac:dyDescent="0.5">
      <c r="A572">
        <v>360</v>
      </c>
      <c r="B572" s="4">
        <v>180</v>
      </c>
      <c r="C572">
        <v>0.1</v>
      </c>
      <c r="D572">
        <v>65</v>
      </c>
      <c r="E572">
        <v>2000</v>
      </c>
      <c r="F572">
        <v>1300</v>
      </c>
      <c r="G572" s="3">
        <f t="shared" ref="G572:G579" si="346">F572/D572</f>
        <v>20</v>
      </c>
      <c r="K572">
        <v>43.9</v>
      </c>
      <c r="L572">
        <v>26.7</v>
      </c>
      <c r="M572">
        <v>24.9</v>
      </c>
      <c r="Q572">
        <v>48.8</v>
      </c>
      <c r="R572">
        <v>6.5</v>
      </c>
      <c r="S572">
        <v>0.1</v>
      </c>
      <c r="T572">
        <v>43.8</v>
      </c>
      <c r="U572">
        <v>0</v>
      </c>
      <c r="V572">
        <f t="shared" ref="V572:V581" si="347">(R572/1)/(Q572/12)</f>
        <v>1.598360655737705</v>
      </c>
      <c r="W572">
        <f t="shared" ref="W572:W585" si="348">(T572/16)/(Q572/12)</f>
        <v>0.67315573770491799</v>
      </c>
      <c r="X572">
        <v>0.8</v>
      </c>
      <c r="Y572" s="3">
        <f t="shared" ref="Y572:Y584" si="349">(0.338*Q572)+1.428*(R572-(T572/8))</f>
        <v>17.958099999999998</v>
      </c>
      <c r="Z572">
        <v>49.9</v>
      </c>
      <c r="AA572">
        <v>6.2</v>
      </c>
      <c r="AB572">
        <v>0.2</v>
      </c>
      <c r="AC572">
        <v>43.5</v>
      </c>
      <c r="AD572">
        <v>0</v>
      </c>
      <c r="AE572">
        <f t="shared" si="344"/>
        <v>1.4909819639278559</v>
      </c>
      <c r="AF572">
        <f t="shared" si="345"/>
        <v>0.65380761523046094</v>
      </c>
      <c r="AG572" s="3">
        <v>0.2</v>
      </c>
      <c r="AH572">
        <f t="shared" ref="AH572:AH593" si="350">(0.338*Z572)+1.428*(AA572-(AC572/8))</f>
        <v>17.95505</v>
      </c>
      <c r="AI572" s="3">
        <v>64</v>
      </c>
    </row>
    <row r="573" spans="1:38" x14ac:dyDescent="0.5">
      <c r="A573">
        <v>720</v>
      </c>
      <c r="B573" s="4">
        <v>180</v>
      </c>
      <c r="C573">
        <v>0.1</v>
      </c>
      <c r="D573">
        <v>65</v>
      </c>
      <c r="E573">
        <v>2000</v>
      </c>
      <c r="F573">
        <v>1300</v>
      </c>
      <c r="G573" s="3">
        <f t="shared" si="346"/>
        <v>20</v>
      </c>
      <c r="K573">
        <v>43.9</v>
      </c>
      <c r="L573">
        <v>26.7</v>
      </c>
      <c r="M573">
        <v>24.9</v>
      </c>
      <c r="Q573">
        <v>48.8</v>
      </c>
      <c r="R573">
        <v>6.5</v>
      </c>
      <c r="S573">
        <v>0.1</v>
      </c>
      <c r="T573">
        <v>43.8</v>
      </c>
      <c r="U573">
        <v>0</v>
      </c>
      <c r="V573">
        <f t="shared" si="347"/>
        <v>1.598360655737705</v>
      </c>
      <c r="W573">
        <f t="shared" si="348"/>
        <v>0.67315573770491799</v>
      </c>
      <c r="X573">
        <v>0.8</v>
      </c>
      <c r="Y573" s="3">
        <f t="shared" si="349"/>
        <v>17.958099999999998</v>
      </c>
      <c r="Z573">
        <v>52.5</v>
      </c>
      <c r="AA573">
        <v>6</v>
      </c>
      <c r="AB573">
        <v>0.2</v>
      </c>
      <c r="AC573">
        <v>41.1</v>
      </c>
      <c r="AD573">
        <v>0</v>
      </c>
      <c r="AE573">
        <f t="shared" si="344"/>
        <v>1.3714285714285714</v>
      </c>
      <c r="AF573">
        <f t="shared" si="345"/>
        <v>0.58714285714285719</v>
      </c>
      <c r="AG573" s="3">
        <v>0.2</v>
      </c>
      <c r="AH573">
        <f t="shared" si="350"/>
        <v>18.976649999999999</v>
      </c>
      <c r="AI573" s="3">
        <v>58</v>
      </c>
    </row>
    <row r="574" spans="1:38" x14ac:dyDescent="0.5">
      <c r="A574">
        <v>240</v>
      </c>
      <c r="B574" s="4">
        <v>200</v>
      </c>
      <c r="C574">
        <v>0.1</v>
      </c>
      <c r="D574">
        <v>65</v>
      </c>
      <c r="E574">
        <v>2000</v>
      </c>
      <c r="F574">
        <v>1300</v>
      </c>
      <c r="G574" s="3">
        <f t="shared" si="346"/>
        <v>20</v>
      </c>
      <c r="K574">
        <v>43.9</v>
      </c>
      <c r="L574">
        <v>26.7</v>
      </c>
      <c r="M574">
        <v>24.9</v>
      </c>
      <c r="Q574">
        <v>48.8</v>
      </c>
      <c r="R574">
        <v>6.5</v>
      </c>
      <c r="S574">
        <v>0.1</v>
      </c>
      <c r="T574">
        <v>43.8</v>
      </c>
      <c r="U574">
        <v>0</v>
      </c>
      <c r="V574">
        <f t="shared" si="347"/>
        <v>1.598360655737705</v>
      </c>
      <c r="W574">
        <f t="shared" si="348"/>
        <v>0.67315573770491799</v>
      </c>
      <c r="X574">
        <v>0.8</v>
      </c>
      <c r="Y574" s="3">
        <f t="shared" si="349"/>
        <v>17.958099999999998</v>
      </c>
      <c r="Z574">
        <v>52.8</v>
      </c>
      <c r="AA574">
        <v>6.1</v>
      </c>
      <c r="AB574">
        <v>0.3</v>
      </c>
      <c r="AC574">
        <v>40.700000000000003</v>
      </c>
      <c r="AD574">
        <v>0</v>
      </c>
      <c r="AE574">
        <f t="shared" si="344"/>
        <v>1.3863636363636365</v>
      </c>
      <c r="AF574">
        <f t="shared" si="345"/>
        <v>0.57812500000000011</v>
      </c>
      <c r="AG574" s="3">
        <v>0.2</v>
      </c>
      <c r="AH574">
        <f t="shared" si="350"/>
        <v>19.292249999999999</v>
      </c>
      <c r="AI574" s="3">
        <v>65</v>
      </c>
    </row>
    <row r="575" spans="1:38" x14ac:dyDescent="0.5">
      <c r="A575">
        <v>360</v>
      </c>
      <c r="B575" s="4">
        <v>200</v>
      </c>
      <c r="C575">
        <v>0.1</v>
      </c>
      <c r="D575">
        <v>65</v>
      </c>
      <c r="E575">
        <v>2000</v>
      </c>
      <c r="F575">
        <v>1300</v>
      </c>
      <c r="G575" s="3">
        <f t="shared" si="346"/>
        <v>20</v>
      </c>
      <c r="K575">
        <v>43.9</v>
      </c>
      <c r="L575">
        <v>26.7</v>
      </c>
      <c r="M575">
        <v>24.9</v>
      </c>
      <c r="Q575">
        <v>48.8</v>
      </c>
      <c r="R575">
        <v>6.5</v>
      </c>
      <c r="S575">
        <v>0.1</v>
      </c>
      <c r="T575">
        <v>43.8</v>
      </c>
      <c r="U575">
        <v>0</v>
      </c>
      <c r="V575">
        <f t="shared" si="347"/>
        <v>1.598360655737705</v>
      </c>
      <c r="W575">
        <f t="shared" si="348"/>
        <v>0.67315573770491799</v>
      </c>
      <c r="X575">
        <v>0.8</v>
      </c>
      <c r="Y575" s="3">
        <f t="shared" si="349"/>
        <v>17.958099999999998</v>
      </c>
      <c r="Z575">
        <v>53.4</v>
      </c>
      <c r="AA575">
        <v>6</v>
      </c>
      <c r="AB575">
        <v>0.2</v>
      </c>
      <c r="AC575">
        <v>40.1</v>
      </c>
      <c r="AD575">
        <v>0</v>
      </c>
      <c r="AE575">
        <f t="shared" si="344"/>
        <v>1.348314606741573</v>
      </c>
      <c r="AF575">
        <f t="shared" si="345"/>
        <v>0.5632022471910112</v>
      </c>
      <c r="AG575" s="3">
        <v>0.2</v>
      </c>
      <c r="AH575">
        <f t="shared" si="350"/>
        <v>19.459350000000001</v>
      </c>
      <c r="AI575" s="3">
        <v>60</v>
      </c>
    </row>
    <row r="576" spans="1:38" x14ac:dyDescent="0.5">
      <c r="A576">
        <v>720</v>
      </c>
      <c r="B576" s="4">
        <v>200</v>
      </c>
      <c r="C576">
        <v>0.1</v>
      </c>
      <c r="D576">
        <v>65</v>
      </c>
      <c r="E576">
        <v>2000</v>
      </c>
      <c r="F576">
        <v>1300</v>
      </c>
      <c r="G576" s="3">
        <f t="shared" si="346"/>
        <v>20</v>
      </c>
      <c r="K576">
        <v>43.9</v>
      </c>
      <c r="L576">
        <v>26.7</v>
      </c>
      <c r="M576">
        <v>24.9</v>
      </c>
      <c r="Q576">
        <v>48.8</v>
      </c>
      <c r="R576">
        <v>6.5</v>
      </c>
      <c r="S576">
        <v>0.1</v>
      </c>
      <c r="T576">
        <v>43.8</v>
      </c>
      <c r="U576">
        <v>0</v>
      </c>
      <c r="V576">
        <f t="shared" si="347"/>
        <v>1.598360655737705</v>
      </c>
      <c r="W576">
        <f t="shared" si="348"/>
        <v>0.67315573770491799</v>
      </c>
      <c r="X576">
        <v>0.8</v>
      </c>
      <c r="Y576" s="3">
        <f t="shared" si="349"/>
        <v>17.958099999999998</v>
      </c>
      <c r="Z576">
        <v>54.9</v>
      </c>
      <c r="AA576">
        <v>5.8</v>
      </c>
      <c r="AB576">
        <v>0.3</v>
      </c>
      <c r="AC576">
        <v>38.799999999999997</v>
      </c>
      <c r="AD576">
        <v>0</v>
      </c>
      <c r="AE576">
        <f t="shared" si="344"/>
        <v>1.2677595628415299</v>
      </c>
      <c r="AF576">
        <f t="shared" si="345"/>
        <v>0.53005464480874309</v>
      </c>
      <c r="AG576" s="3">
        <v>0.2</v>
      </c>
      <c r="AH576">
        <f t="shared" si="350"/>
        <v>19.912800000000001</v>
      </c>
      <c r="AI576" s="3">
        <v>55</v>
      </c>
    </row>
    <row r="577" spans="1:38" x14ac:dyDescent="0.5">
      <c r="A577">
        <v>240</v>
      </c>
      <c r="B577" s="4">
        <v>220</v>
      </c>
      <c r="C577">
        <v>0.1</v>
      </c>
      <c r="D577">
        <v>65</v>
      </c>
      <c r="E577">
        <v>2000</v>
      </c>
      <c r="F577">
        <v>1300</v>
      </c>
      <c r="G577" s="3">
        <f t="shared" si="346"/>
        <v>20</v>
      </c>
      <c r="K577">
        <v>43.9</v>
      </c>
      <c r="L577">
        <v>26.7</v>
      </c>
      <c r="M577">
        <v>24.9</v>
      </c>
      <c r="Q577">
        <v>48.8</v>
      </c>
      <c r="R577">
        <v>6.5</v>
      </c>
      <c r="S577">
        <v>0.1</v>
      </c>
      <c r="T577">
        <v>43.8</v>
      </c>
      <c r="U577">
        <v>0</v>
      </c>
      <c r="V577">
        <f t="shared" si="347"/>
        <v>1.598360655737705</v>
      </c>
      <c r="W577">
        <f t="shared" si="348"/>
        <v>0.67315573770491799</v>
      </c>
      <c r="X577">
        <v>0.8</v>
      </c>
      <c r="Y577" s="3">
        <f t="shared" si="349"/>
        <v>17.958099999999998</v>
      </c>
      <c r="Z577">
        <v>56.7</v>
      </c>
      <c r="AA577">
        <v>5.9</v>
      </c>
      <c r="AB577">
        <v>0.2</v>
      </c>
      <c r="AC577">
        <v>36.9</v>
      </c>
      <c r="AD577">
        <v>0</v>
      </c>
      <c r="AE577">
        <f t="shared" si="344"/>
        <v>1.2486772486772486</v>
      </c>
      <c r="AF577">
        <f t="shared" si="345"/>
        <v>0.48809523809523803</v>
      </c>
      <c r="AG577" s="3">
        <v>0.2</v>
      </c>
      <c r="AH577">
        <f t="shared" si="350"/>
        <v>21.003150000000005</v>
      </c>
      <c r="AI577" s="3">
        <v>63</v>
      </c>
    </row>
    <row r="578" spans="1:38" x14ac:dyDescent="0.5">
      <c r="A578">
        <v>360</v>
      </c>
      <c r="B578" s="4">
        <v>220</v>
      </c>
      <c r="C578">
        <v>0.1</v>
      </c>
      <c r="D578">
        <v>65</v>
      </c>
      <c r="E578">
        <v>2000</v>
      </c>
      <c r="F578">
        <v>1300</v>
      </c>
      <c r="G578" s="3">
        <f t="shared" si="346"/>
        <v>20</v>
      </c>
      <c r="K578">
        <v>43.9</v>
      </c>
      <c r="L578">
        <v>26.7</v>
      </c>
      <c r="M578">
        <v>24.9</v>
      </c>
      <c r="Q578">
        <v>48.8</v>
      </c>
      <c r="R578">
        <v>6.5</v>
      </c>
      <c r="S578">
        <v>0.1</v>
      </c>
      <c r="T578">
        <v>43.8</v>
      </c>
      <c r="U578">
        <v>0</v>
      </c>
      <c r="V578">
        <f t="shared" si="347"/>
        <v>1.598360655737705</v>
      </c>
      <c r="W578">
        <f t="shared" si="348"/>
        <v>0.67315573770491799</v>
      </c>
      <c r="X578">
        <v>0.8</v>
      </c>
      <c r="Y578" s="3">
        <f t="shared" si="349"/>
        <v>17.958099999999998</v>
      </c>
      <c r="Z578">
        <v>58.4</v>
      </c>
      <c r="AA578">
        <v>5.8</v>
      </c>
      <c r="AB578">
        <v>0.3</v>
      </c>
      <c r="AC578">
        <v>35.4</v>
      </c>
      <c r="AD578">
        <v>0</v>
      </c>
      <c r="AE578">
        <f t="shared" si="344"/>
        <v>1.1917808219178083</v>
      </c>
      <c r="AF578">
        <f t="shared" si="345"/>
        <v>0.45462328767123289</v>
      </c>
      <c r="AG578" s="3">
        <v>0.2</v>
      </c>
      <c r="AH578">
        <f t="shared" si="350"/>
        <v>21.7027</v>
      </c>
      <c r="AI578" s="3">
        <v>61</v>
      </c>
    </row>
    <row r="579" spans="1:38" x14ac:dyDescent="0.5">
      <c r="A579">
        <v>720</v>
      </c>
      <c r="B579" s="4">
        <v>220</v>
      </c>
      <c r="C579">
        <v>0.1</v>
      </c>
      <c r="D579">
        <v>65</v>
      </c>
      <c r="E579">
        <v>2000</v>
      </c>
      <c r="F579">
        <v>1300</v>
      </c>
      <c r="G579" s="3">
        <f t="shared" si="346"/>
        <v>20</v>
      </c>
      <c r="K579">
        <v>43.9</v>
      </c>
      <c r="L579">
        <v>26.7</v>
      </c>
      <c r="M579">
        <v>24.9</v>
      </c>
      <c r="Q579">
        <v>48.8</v>
      </c>
      <c r="R579">
        <v>6.5</v>
      </c>
      <c r="S579">
        <v>0.1</v>
      </c>
      <c r="T579">
        <v>43.8</v>
      </c>
      <c r="U579">
        <v>0</v>
      </c>
      <c r="V579">
        <f t="shared" si="347"/>
        <v>1.598360655737705</v>
      </c>
      <c r="W579">
        <f t="shared" si="348"/>
        <v>0.67315573770491799</v>
      </c>
      <c r="X579">
        <v>0.8</v>
      </c>
      <c r="Y579" s="3">
        <f t="shared" si="349"/>
        <v>17.958099999999998</v>
      </c>
      <c r="Z579">
        <v>64.8</v>
      </c>
      <c r="AA579">
        <v>5.5</v>
      </c>
      <c r="AB579">
        <v>0.3</v>
      </c>
      <c r="AC579">
        <v>29.1</v>
      </c>
      <c r="AD579">
        <v>0</v>
      </c>
      <c r="AE579">
        <f t="shared" si="344"/>
        <v>1.0185185185185186</v>
      </c>
      <c r="AF579">
        <f t="shared" si="345"/>
        <v>0.33680555555555558</v>
      </c>
      <c r="AG579" s="3">
        <v>0.2</v>
      </c>
      <c r="AH579">
        <f t="shared" si="350"/>
        <v>24.562049999999999</v>
      </c>
      <c r="AI579" s="3">
        <v>50</v>
      </c>
    </row>
    <row r="580" spans="1:38" x14ac:dyDescent="0.5">
      <c r="A580">
        <v>720</v>
      </c>
      <c r="B580" s="4">
        <v>200</v>
      </c>
      <c r="C580">
        <v>0.1</v>
      </c>
      <c r="D580">
        <v>65</v>
      </c>
      <c r="E580">
        <v>2000</v>
      </c>
      <c r="F580">
        <v>1300</v>
      </c>
      <c r="G580" s="3">
        <f t="shared" ref="G580" si="351">F580/D580</f>
        <v>20</v>
      </c>
      <c r="K580">
        <v>40.4</v>
      </c>
      <c r="L580">
        <v>29.3</v>
      </c>
      <c r="M580">
        <v>27.7</v>
      </c>
      <c r="Q580">
        <v>53.9</v>
      </c>
      <c r="R580">
        <v>6.1</v>
      </c>
      <c r="S580">
        <v>0.1</v>
      </c>
      <c r="T580">
        <v>39.299999999999997</v>
      </c>
      <c r="U580">
        <v>0</v>
      </c>
      <c r="V580">
        <f t="shared" si="347"/>
        <v>1.3580705009276439</v>
      </c>
      <c r="W580">
        <f t="shared" si="348"/>
        <v>0.54684601113172537</v>
      </c>
      <c r="X580">
        <v>0.1</v>
      </c>
      <c r="Y580" s="3">
        <f>(0.338*Q580)+1.428*(R580-(T580/8))</f>
        <v>19.91395</v>
      </c>
      <c r="Z580">
        <v>57.4</v>
      </c>
      <c r="AA580">
        <v>5.9</v>
      </c>
      <c r="AB580">
        <v>0.2</v>
      </c>
      <c r="AC580">
        <v>36.299999999999997</v>
      </c>
      <c r="AD580">
        <v>0</v>
      </c>
      <c r="AE580">
        <f t="shared" si="344"/>
        <v>1.2334494773519165</v>
      </c>
      <c r="AF580">
        <f t="shared" si="345"/>
        <v>0.4743031358885017</v>
      </c>
      <c r="AG580" s="3">
        <v>0.2</v>
      </c>
      <c r="AH580">
        <f t="shared" si="350"/>
        <v>21.34685</v>
      </c>
      <c r="AI580" s="3">
        <v>64</v>
      </c>
    </row>
    <row r="581" spans="1:38" x14ac:dyDescent="0.5">
      <c r="A581">
        <v>720</v>
      </c>
      <c r="B581" s="4">
        <v>200</v>
      </c>
      <c r="C581">
        <v>0.1</v>
      </c>
      <c r="D581">
        <v>65</v>
      </c>
      <c r="E581">
        <v>2000</v>
      </c>
      <c r="F581">
        <v>1300</v>
      </c>
      <c r="G581" s="3">
        <f t="shared" ref="G581:G585" si="352">F581/D581</f>
        <v>20</v>
      </c>
      <c r="K581">
        <v>41</v>
      </c>
      <c r="L581">
        <v>26.5</v>
      </c>
      <c r="M581">
        <v>26.8</v>
      </c>
      <c r="Q581">
        <v>49.5</v>
      </c>
      <c r="R581">
        <v>6.3</v>
      </c>
      <c r="S581">
        <v>0.2</v>
      </c>
      <c r="T581">
        <v>36.299999999999997</v>
      </c>
      <c r="U581">
        <v>0</v>
      </c>
      <c r="V581">
        <f t="shared" si="347"/>
        <v>1.5272727272727273</v>
      </c>
      <c r="W581">
        <f t="shared" si="348"/>
        <v>0.54999999999999993</v>
      </c>
      <c r="X581">
        <v>1.1000000000000001</v>
      </c>
      <c r="Y581" s="3">
        <f t="shared" si="349"/>
        <v>19.247850000000003</v>
      </c>
      <c r="Z581">
        <v>55.4</v>
      </c>
      <c r="AA581">
        <v>5.9</v>
      </c>
      <c r="AB581">
        <v>0.2</v>
      </c>
      <c r="AC581">
        <v>38.299999999999997</v>
      </c>
      <c r="AD581">
        <v>0</v>
      </c>
      <c r="AE581">
        <f t="shared" si="344"/>
        <v>1.2779783393501807</v>
      </c>
      <c r="AF581">
        <f t="shared" si="345"/>
        <v>0.51850180505415167</v>
      </c>
      <c r="AG581" s="3">
        <v>0.2</v>
      </c>
      <c r="AH581">
        <f t="shared" si="350"/>
        <v>20.313850000000002</v>
      </c>
      <c r="AI581" s="3">
        <v>61</v>
      </c>
    </row>
    <row r="582" spans="1:38" x14ac:dyDescent="0.5">
      <c r="A582">
        <v>720</v>
      </c>
      <c r="B582" s="4">
        <v>200</v>
      </c>
      <c r="C582">
        <v>0.1</v>
      </c>
      <c r="D582">
        <v>65</v>
      </c>
      <c r="E582">
        <v>2000</v>
      </c>
      <c r="F582">
        <v>1300</v>
      </c>
      <c r="G582" s="3">
        <f t="shared" si="352"/>
        <v>20</v>
      </c>
      <c r="K582">
        <v>43.9</v>
      </c>
      <c r="L582">
        <v>22.5</v>
      </c>
      <c r="M582">
        <v>25.1</v>
      </c>
      <c r="Q582">
        <v>48.9</v>
      </c>
      <c r="R582">
        <v>6.3</v>
      </c>
      <c r="S582">
        <v>0.1</v>
      </c>
      <c r="T582">
        <v>43.3</v>
      </c>
      <c r="U582">
        <v>0</v>
      </c>
      <c r="V582">
        <f>(R582/1)/(Q582/12)</f>
        <v>1.5460122699386503</v>
      </c>
      <c r="W582">
        <f t="shared" si="348"/>
        <v>0.6641104294478527</v>
      </c>
      <c r="X582">
        <v>1.5</v>
      </c>
      <c r="Y582" s="3">
        <f t="shared" si="349"/>
        <v>17.795550000000002</v>
      </c>
      <c r="Z582">
        <v>55</v>
      </c>
      <c r="AA582">
        <v>5.8</v>
      </c>
      <c r="AB582">
        <v>0.2</v>
      </c>
      <c r="AC582">
        <v>38.5</v>
      </c>
      <c r="AD582">
        <v>0</v>
      </c>
      <c r="AE582">
        <f t="shared" si="344"/>
        <v>1.2654545454545454</v>
      </c>
      <c r="AF582">
        <f t="shared" si="345"/>
        <v>0.52500000000000002</v>
      </c>
      <c r="AG582" s="3">
        <v>0.5</v>
      </c>
      <c r="AH582">
        <f t="shared" si="350"/>
        <v>20.000149999999998</v>
      </c>
      <c r="AI582" s="3">
        <v>62</v>
      </c>
    </row>
    <row r="583" spans="1:38" x14ac:dyDescent="0.5">
      <c r="A583">
        <v>720</v>
      </c>
      <c r="B583" s="4">
        <v>200</v>
      </c>
      <c r="C583">
        <v>0.1</v>
      </c>
      <c r="D583">
        <v>65</v>
      </c>
      <c r="E583">
        <v>2000</v>
      </c>
      <c r="F583">
        <v>1300</v>
      </c>
      <c r="G583" s="3">
        <f t="shared" si="352"/>
        <v>20</v>
      </c>
      <c r="K583">
        <v>39.6</v>
      </c>
      <c r="L583">
        <v>21.4</v>
      </c>
      <c r="M583">
        <v>29.2</v>
      </c>
      <c r="Q583">
        <v>50.2</v>
      </c>
      <c r="R583">
        <v>6</v>
      </c>
      <c r="S583">
        <v>0.2</v>
      </c>
      <c r="T583">
        <v>41.4</v>
      </c>
      <c r="U583">
        <v>0</v>
      </c>
      <c r="V583">
        <f>(R583/1)/(Q583/12)</f>
        <v>1.4342629482071712</v>
      </c>
      <c r="W583">
        <f t="shared" si="348"/>
        <v>0.61852589641434252</v>
      </c>
      <c r="X583">
        <v>2.2000000000000002</v>
      </c>
      <c r="Y583" s="3">
        <f t="shared" si="349"/>
        <v>18.145700000000001</v>
      </c>
      <c r="Z583">
        <v>56.2</v>
      </c>
      <c r="AA583">
        <v>5.9</v>
      </c>
      <c r="AB583">
        <v>0.2</v>
      </c>
      <c r="AC583">
        <v>36.299999999999997</v>
      </c>
      <c r="AD583">
        <v>0</v>
      </c>
      <c r="AE583">
        <f t="shared" si="344"/>
        <v>1.2597864768683273</v>
      </c>
      <c r="AF583">
        <f t="shared" si="345"/>
        <v>0.48443060498220636</v>
      </c>
      <c r="AG583" s="3">
        <v>1.4</v>
      </c>
      <c r="AH583">
        <f t="shared" si="350"/>
        <v>20.941250000000004</v>
      </c>
      <c r="AI583" s="3">
        <v>62</v>
      </c>
    </row>
    <row r="584" spans="1:38" x14ac:dyDescent="0.5">
      <c r="A584">
        <v>720</v>
      </c>
      <c r="B584" s="4">
        <v>200</v>
      </c>
      <c r="C584">
        <v>0.1</v>
      </c>
      <c r="D584">
        <v>65</v>
      </c>
      <c r="E584">
        <v>2000</v>
      </c>
      <c r="F584">
        <v>1300</v>
      </c>
      <c r="G584" s="3">
        <f t="shared" si="352"/>
        <v>20</v>
      </c>
      <c r="K584">
        <v>16.3</v>
      </c>
      <c r="L584">
        <v>20.6</v>
      </c>
      <c r="M584">
        <v>44.8</v>
      </c>
      <c r="Q584">
        <v>53.5</v>
      </c>
      <c r="R584">
        <v>5.9</v>
      </c>
      <c r="S584">
        <v>0.8</v>
      </c>
      <c r="T584">
        <v>32.4</v>
      </c>
      <c r="U584">
        <v>0</v>
      </c>
      <c r="V584">
        <f>(R584/1)/(Q584/12)</f>
        <v>1.3233644859813085</v>
      </c>
      <c r="W584">
        <f t="shared" si="348"/>
        <v>0.45420560747663552</v>
      </c>
      <c r="X584">
        <v>7.4</v>
      </c>
      <c r="Y584" s="3">
        <f t="shared" si="349"/>
        <v>20.724800000000002</v>
      </c>
      <c r="Z584">
        <v>58.9</v>
      </c>
      <c r="AA584">
        <v>5.8</v>
      </c>
      <c r="AB584">
        <v>0.7</v>
      </c>
      <c r="AC584">
        <v>26.6</v>
      </c>
      <c r="AD584">
        <v>0</v>
      </c>
      <c r="AE584">
        <f t="shared" si="344"/>
        <v>1.1816638370118846</v>
      </c>
      <c r="AF584">
        <f t="shared" si="345"/>
        <v>0.33870967741935487</v>
      </c>
      <c r="AG584" s="3">
        <v>8</v>
      </c>
      <c r="AH584">
        <f t="shared" si="350"/>
        <v>23.442499999999999</v>
      </c>
      <c r="AI584" s="3">
        <v>64</v>
      </c>
    </row>
    <row r="585" spans="1:38" x14ac:dyDescent="0.5">
      <c r="A585">
        <v>30</v>
      </c>
      <c r="B585" s="4">
        <v>200</v>
      </c>
      <c r="C585">
        <v>2.5</v>
      </c>
      <c r="D585">
        <v>15</v>
      </c>
      <c r="E585">
        <v>500</v>
      </c>
      <c r="F585">
        <v>135</v>
      </c>
      <c r="G585" s="3">
        <f t="shared" si="352"/>
        <v>9</v>
      </c>
      <c r="Q585">
        <v>40.299999999999997</v>
      </c>
      <c r="R585">
        <v>5.8</v>
      </c>
      <c r="S585">
        <v>4.7</v>
      </c>
      <c r="T585">
        <v>19.399999999999999</v>
      </c>
      <c r="U585">
        <v>0</v>
      </c>
      <c r="V585">
        <f>(R585/1)/(Q585/12)</f>
        <v>1.7270471464019852</v>
      </c>
      <c r="W585">
        <f t="shared" si="348"/>
        <v>0.36104218362282881</v>
      </c>
      <c r="X585">
        <v>20</v>
      </c>
      <c r="Y585" s="3">
        <v>18</v>
      </c>
      <c r="Z585">
        <v>38.4</v>
      </c>
      <c r="AA585">
        <v>5.2</v>
      </c>
      <c r="AB585">
        <v>2.7</v>
      </c>
      <c r="AC585">
        <v>11.9</v>
      </c>
      <c r="AD585">
        <v>0</v>
      </c>
      <c r="AE585">
        <f t="shared" si="344"/>
        <v>1.6250000000000002</v>
      </c>
      <c r="AF585">
        <f t="shared" si="345"/>
        <v>0.23242187500000003</v>
      </c>
      <c r="AG585" s="3">
        <v>21</v>
      </c>
      <c r="AH585">
        <f t="shared" si="350"/>
        <v>18.280650000000001</v>
      </c>
      <c r="AI585" s="3">
        <v>72.900000000000006</v>
      </c>
      <c r="AJ585" s="2" t="s">
        <v>156</v>
      </c>
      <c r="AK585" t="s">
        <v>157</v>
      </c>
      <c r="AL585">
        <v>67</v>
      </c>
    </row>
    <row r="586" spans="1:38" x14ac:dyDescent="0.5">
      <c r="A586">
        <v>60</v>
      </c>
      <c r="B586" s="4">
        <v>200</v>
      </c>
      <c r="C586">
        <v>2.5</v>
      </c>
      <c r="D586">
        <v>15</v>
      </c>
      <c r="E586">
        <v>500</v>
      </c>
      <c r="F586">
        <v>135</v>
      </c>
      <c r="G586" s="3">
        <f t="shared" ref="G586:G594" si="353">F586/D586</f>
        <v>9</v>
      </c>
      <c r="Q586">
        <v>40.299999999999997</v>
      </c>
      <c r="R586">
        <v>5.8</v>
      </c>
      <c r="S586">
        <v>4.7</v>
      </c>
      <c r="T586">
        <v>19.399999999999999</v>
      </c>
      <c r="U586">
        <v>0</v>
      </c>
      <c r="V586">
        <f t="shared" ref="V586:V594" si="354">(R586/1)/(Q586/12)</f>
        <v>1.7270471464019852</v>
      </c>
      <c r="W586">
        <f t="shared" ref="W586:W594" si="355">(T586/16)/(Q586/12)</f>
        <v>0.36104218362282881</v>
      </c>
      <c r="X586">
        <v>20</v>
      </c>
      <c r="Y586" s="3">
        <v>18</v>
      </c>
      <c r="Z586">
        <v>39</v>
      </c>
      <c r="AA586">
        <v>5.2</v>
      </c>
      <c r="AB586">
        <v>2.7</v>
      </c>
      <c r="AC586">
        <v>12</v>
      </c>
      <c r="AD586">
        <v>0</v>
      </c>
      <c r="AE586">
        <f t="shared" si="344"/>
        <v>1.6</v>
      </c>
      <c r="AF586">
        <f t="shared" si="345"/>
        <v>0.23076923076923078</v>
      </c>
      <c r="AG586" s="3">
        <v>22</v>
      </c>
      <c r="AH586">
        <f t="shared" si="350"/>
        <v>18.465600000000002</v>
      </c>
      <c r="AI586" s="3">
        <v>64.5</v>
      </c>
    </row>
    <row r="587" spans="1:38" x14ac:dyDescent="0.5">
      <c r="A587">
        <v>120</v>
      </c>
      <c r="B587" s="4">
        <v>200</v>
      </c>
      <c r="C587">
        <v>2.5</v>
      </c>
      <c r="D587">
        <v>15</v>
      </c>
      <c r="E587">
        <v>500</v>
      </c>
      <c r="F587">
        <v>135</v>
      </c>
      <c r="G587" s="3">
        <f t="shared" si="353"/>
        <v>9</v>
      </c>
      <c r="Q587">
        <v>40.299999999999997</v>
      </c>
      <c r="R587">
        <v>5.8</v>
      </c>
      <c r="S587">
        <v>4.7</v>
      </c>
      <c r="T587">
        <v>19.399999999999999</v>
      </c>
      <c r="U587">
        <v>0</v>
      </c>
      <c r="V587">
        <f t="shared" si="354"/>
        <v>1.7270471464019852</v>
      </c>
      <c r="W587">
        <f t="shared" si="355"/>
        <v>0.36104218362282881</v>
      </c>
      <c r="X587">
        <v>20</v>
      </c>
      <c r="Y587" s="3">
        <v>18</v>
      </c>
      <c r="Z587">
        <v>40.1</v>
      </c>
      <c r="AA587">
        <v>5.2</v>
      </c>
      <c r="AB587">
        <v>2.4</v>
      </c>
      <c r="AC587">
        <v>10.7</v>
      </c>
      <c r="AD587">
        <v>0</v>
      </c>
      <c r="AE587">
        <f t="shared" si="344"/>
        <v>1.5561097256857854</v>
      </c>
      <c r="AF587">
        <f t="shared" si="345"/>
        <v>0.20012468827930172</v>
      </c>
      <c r="AG587" s="3">
        <v>23</v>
      </c>
      <c r="AH587">
        <f t="shared" si="350"/>
        <v>19.06945</v>
      </c>
      <c r="AI587" s="3">
        <v>56.8</v>
      </c>
    </row>
    <row r="588" spans="1:38" x14ac:dyDescent="0.5">
      <c r="A588">
        <v>30</v>
      </c>
      <c r="B588" s="4">
        <v>250</v>
      </c>
      <c r="C588">
        <v>2.5</v>
      </c>
      <c r="D588">
        <v>15</v>
      </c>
      <c r="E588">
        <v>500</v>
      </c>
      <c r="F588">
        <v>135</v>
      </c>
      <c r="G588" s="3">
        <f t="shared" si="353"/>
        <v>9</v>
      </c>
      <c r="Q588">
        <v>40.299999999999997</v>
      </c>
      <c r="R588">
        <v>5.8</v>
      </c>
      <c r="S588">
        <v>4.7</v>
      </c>
      <c r="T588">
        <v>19.399999999999999</v>
      </c>
      <c r="U588">
        <v>0</v>
      </c>
      <c r="V588">
        <f t="shared" si="354"/>
        <v>1.7270471464019852</v>
      </c>
      <c r="W588">
        <f t="shared" si="355"/>
        <v>0.36104218362282881</v>
      </c>
      <c r="X588">
        <v>20</v>
      </c>
      <c r="Y588" s="3">
        <v>18</v>
      </c>
      <c r="Z588">
        <v>41.2</v>
      </c>
      <c r="AA588">
        <v>5.5</v>
      </c>
      <c r="AB588">
        <v>2</v>
      </c>
      <c r="AC588">
        <v>7.5</v>
      </c>
      <c r="AD588">
        <v>0</v>
      </c>
      <c r="AE588">
        <f t="shared" si="344"/>
        <v>1.6019417475728155</v>
      </c>
      <c r="AF588">
        <f t="shared" si="345"/>
        <v>0.13652912621359223</v>
      </c>
      <c r="AG588" s="3">
        <v>21</v>
      </c>
      <c r="AH588">
        <f t="shared" si="350"/>
        <v>20.440850000000001</v>
      </c>
      <c r="AI588" s="3">
        <v>66</v>
      </c>
    </row>
    <row r="589" spans="1:38" x14ac:dyDescent="0.5">
      <c r="A589">
        <v>60</v>
      </c>
      <c r="B589" s="4">
        <v>250</v>
      </c>
      <c r="C589">
        <v>2.5</v>
      </c>
      <c r="D589">
        <v>15</v>
      </c>
      <c r="E589">
        <v>500</v>
      </c>
      <c r="F589">
        <v>135</v>
      </c>
      <c r="G589" s="3">
        <f t="shared" si="353"/>
        <v>9</v>
      </c>
      <c r="Q589">
        <v>40.299999999999997</v>
      </c>
      <c r="R589">
        <v>5.8</v>
      </c>
      <c r="S589">
        <v>4.7</v>
      </c>
      <c r="T589">
        <v>19.399999999999999</v>
      </c>
      <c r="U589">
        <v>0</v>
      </c>
      <c r="V589">
        <f t="shared" si="354"/>
        <v>1.7270471464019852</v>
      </c>
      <c r="W589">
        <f t="shared" si="355"/>
        <v>0.36104218362282881</v>
      </c>
      <c r="X589">
        <v>20</v>
      </c>
      <c r="Y589" s="3">
        <v>18</v>
      </c>
      <c r="Z589">
        <v>39.5</v>
      </c>
      <c r="AA589">
        <v>5.0999999999999996</v>
      </c>
      <c r="AB589">
        <v>2</v>
      </c>
      <c r="AC589">
        <v>6.1</v>
      </c>
      <c r="AD589">
        <v>0</v>
      </c>
      <c r="AE589">
        <f t="shared" si="344"/>
        <v>1.549367088607595</v>
      </c>
      <c r="AF589">
        <f t="shared" si="345"/>
        <v>0.11582278481012658</v>
      </c>
      <c r="AG589" s="3">
        <v>22</v>
      </c>
      <c r="AH589">
        <f>(0.338*Z589)+1.428*(AA589-(AC589/8))</f>
        <v>19.54495</v>
      </c>
      <c r="AI589" s="3">
        <v>62.8</v>
      </c>
    </row>
    <row r="590" spans="1:38" x14ac:dyDescent="0.5">
      <c r="A590">
        <v>120</v>
      </c>
      <c r="B590" s="4">
        <v>250</v>
      </c>
      <c r="C590">
        <v>2.5</v>
      </c>
      <c r="D590">
        <v>15</v>
      </c>
      <c r="E590">
        <v>500</v>
      </c>
      <c r="F590">
        <v>135</v>
      </c>
      <c r="G590" s="3">
        <f t="shared" si="353"/>
        <v>9</v>
      </c>
      <c r="Q590">
        <v>40.299999999999997</v>
      </c>
      <c r="R590">
        <v>5.8</v>
      </c>
      <c r="S590">
        <v>4.7</v>
      </c>
      <c r="T590">
        <v>19.399999999999999</v>
      </c>
      <c r="U590">
        <v>0</v>
      </c>
      <c r="V590">
        <f t="shared" si="354"/>
        <v>1.7270471464019852</v>
      </c>
      <c r="W590">
        <f t="shared" si="355"/>
        <v>0.36104218362282881</v>
      </c>
      <c r="X590">
        <v>20</v>
      </c>
      <c r="Y590" s="3">
        <v>18</v>
      </c>
      <c r="Z590">
        <v>39.6</v>
      </c>
      <c r="AA590">
        <v>5.0999999999999996</v>
      </c>
      <c r="AB590">
        <v>2.2999999999999998</v>
      </c>
      <c r="AC590">
        <v>6.9</v>
      </c>
      <c r="AD590">
        <v>0</v>
      </c>
      <c r="AE590">
        <f t="shared" si="344"/>
        <v>1.5454545454545452</v>
      </c>
      <c r="AF590">
        <f t="shared" si="345"/>
        <v>0.13068181818181818</v>
      </c>
      <c r="AG590" s="3">
        <v>20</v>
      </c>
      <c r="AH590">
        <f t="shared" si="350"/>
        <v>19.435950000000002</v>
      </c>
      <c r="AI590" s="3">
        <v>54.7</v>
      </c>
    </row>
    <row r="591" spans="1:38" x14ac:dyDescent="0.5">
      <c r="A591">
        <v>30</v>
      </c>
      <c r="B591" s="4">
        <v>300</v>
      </c>
      <c r="C591">
        <v>2.5</v>
      </c>
      <c r="D591">
        <v>15</v>
      </c>
      <c r="E591">
        <v>500</v>
      </c>
      <c r="F591">
        <v>135</v>
      </c>
      <c r="G591" s="3">
        <f t="shared" si="353"/>
        <v>9</v>
      </c>
      <c r="Q591">
        <v>40.299999999999997</v>
      </c>
      <c r="R591">
        <v>5.8</v>
      </c>
      <c r="S591">
        <v>4.7</v>
      </c>
      <c r="T591">
        <v>19.399999999999999</v>
      </c>
      <c r="U591">
        <v>0</v>
      </c>
      <c r="V591">
        <f t="shared" si="354"/>
        <v>1.7270471464019852</v>
      </c>
      <c r="W591">
        <f t="shared" si="355"/>
        <v>0.36104218362282881</v>
      </c>
      <c r="X591">
        <v>20</v>
      </c>
      <c r="Y591" s="3">
        <v>18</v>
      </c>
      <c r="Z591">
        <v>42.4</v>
      </c>
      <c r="AA591">
        <v>5.6</v>
      </c>
      <c r="AB591">
        <v>1.9</v>
      </c>
      <c r="AC591">
        <v>4.5</v>
      </c>
      <c r="AD591">
        <v>0</v>
      </c>
      <c r="AE591">
        <f t="shared" si="344"/>
        <v>1.5849056603773584</v>
      </c>
      <c r="AF591">
        <f t="shared" si="345"/>
        <v>7.9599056603773588E-2</v>
      </c>
      <c r="AG591" s="3">
        <v>22</v>
      </c>
      <c r="AH591">
        <f t="shared" si="350"/>
        <v>21.524750000000001</v>
      </c>
      <c r="AI591" s="3">
        <v>63.9</v>
      </c>
    </row>
    <row r="592" spans="1:38" x14ac:dyDescent="0.5">
      <c r="A592">
        <v>60</v>
      </c>
      <c r="B592" s="4">
        <v>300</v>
      </c>
      <c r="C592">
        <v>2.5</v>
      </c>
      <c r="D592">
        <v>15</v>
      </c>
      <c r="E592">
        <v>500</v>
      </c>
      <c r="F592">
        <v>135</v>
      </c>
      <c r="G592" s="3">
        <f t="shared" si="353"/>
        <v>9</v>
      </c>
      <c r="Q592">
        <v>40.299999999999997</v>
      </c>
      <c r="R592">
        <v>5.8</v>
      </c>
      <c r="S592">
        <v>4.7</v>
      </c>
      <c r="T592">
        <v>19.399999999999999</v>
      </c>
      <c r="U592">
        <v>0</v>
      </c>
      <c r="V592">
        <f t="shared" si="354"/>
        <v>1.7270471464019852</v>
      </c>
      <c r="W592">
        <f t="shared" si="355"/>
        <v>0.36104218362282881</v>
      </c>
      <c r="X592">
        <v>20</v>
      </c>
      <c r="Y592" s="3">
        <v>18</v>
      </c>
      <c r="Z592">
        <v>40.1</v>
      </c>
      <c r="AA592">
        <v>5.2</v>
      </c>
      <c r="AB592">
        <v>1.9</v>
      </c>
      <c r="AC592">
        <v>6.9</v>
      </c>
      <c r="AD592">
        <v>0</v>
      </c>
      <c r="AE592">
        <f t="shared" si="344"/>
        <v>1.5561097256857854</v>
      </c>
      <c r="AF592">
        <f t="shared" si="345"/>
        <v>0.12905236907730674</v>
      </c>
      <c r="AG592" s="3">
        <v>24</v>
      </c>
      <c r="AH592">
        <f t="shared" si="350"/>
        <v>19.74775</v>
      </c>
      <c r="AI592" s="3">
        <v>58.3</v>
      </c>
    </row>
    <row r="593" spans="1:38" x14ac:dyDescent="0.5">
      <c r="A593">
        <v>120</v>
      </c>
      <c r="B593" s="4">
        <v>300</v>
      </c>
      <c r="C593">
        <v>2.5</v>
      </c>
      <c r="D593">
        <v>15</v>
      </c>
      <c r="E593">
        <v>500</v>
      </c>
      <c r="F593">
        <v>135</v>
      </c>
      <c r="G593" s="3">
        <f t="shared" si="353"/>
        <v>9</v>
      </c>
      <c r="Q593">
        <v>40.299999999999997</v>
      </c>
      <c r="R593">
        <v>5.8</v>
      </c>
      <c r="S593">
        <v>4.7</v>
      </c>
      <c r="T593">
        <v>19.399999999999999</v>
      </c>
      <c r="U593">
        <v>0</v>
      </c>
      <c r="V593">
        <f t="shared" si="354"/>
        <v>1.7270471464019852</v>
      </c>
      <c r="W593">
        <f t="shared" si="355"/>
        <v>0.36104218362282881</v>
      </c>
      <c r="X593">
        <v>20</v>
      </c>
      <c r="Y593" s="3">
        <v>18</v>
      </c>
      <c r="Z593">
        <v>40.700000000000003</v>
      </c>
      <c r="AA593">
        <v>5.0999999999999996</v>
      </c>
      <c r="AB593">
        <v>1.9</v>
      </c>
      <c r="AC593">
        <v>4.4000000000000004</v>
      </c>
      <c r="AD593">
        <v>0</v>
      </c>
      <c r="AE593">
        <f t="shared" si="344"/>
        <v>1.5036855036855035</v>
      </c>
      <c r="AF593">
        <f t="shared" si="345"/>
        <v>8.1081081081081072E-2</v>
      </c>
      <c r="AG593" s="3">
        <v>25</v>
      </c>
      <c r="AH593">
        <f t="shared" si="350"/>
        <v>20.254000000000001</v>
      </c>
      <c r="AI593" s="3">
        <v>48.9</v>
      </c>
    </row>
    <row r="594" spans="1:38" x14ac:dyDescent="0.5">
      <c r="A594">
        <v>30</v>
      </c>
      <c r="B594" s="4">
        <v>175</v>
      </c>
      <c r="C594">
        <v>0.1</v>
      </c>
      <c r="D594">
        <v>15</v>
      </c>
      <c r="E594">
        <v>500</v>
      </c>
      <c r="F594">
        <v>135</v>
      </c>
      <c r="G594" s="3">
        <f t="shared" si="353"/>
        <v>9</v>
      </c>
      <c r="O594">
        <v>61.6</v>
      </c>
      <c r="P594" s="3">
        <v>30.3</v>
      </c>
      <c r="Q594">
        <v>46.7</v>
      </c>
      <c r="R594">
        <v>5.15</v>
      </c>
      <c r="S594">
        <v>2.15</v>
      </c>
      <c r="T594">
        <v>37.76</v>
      </c>
      <c r="U594">
        <v>0.16</v>
      </c>
      <c r="V594">
        <f t="shared" si="354"/>
        <v>1.3233404710920771</v>
      </c>
      <c r="W594">
        <f t="shared" si="355"/>
        <v>0.60642398286937893</v>
      </c>
      <c r="X594">
        <v>8.1</v>
      </c>
      <c r="Y594" s="3">
        <v>18.3</v>
      </c>
      <c r="Z594">
        <v>53.28</v>
      </c>
      <c r="AA594">
        <v>5.56</v>
      </c>
      <c r="AB594">
        <v>2.67</v>
      </c>
      <c r="AC594">
        <v>32.549999999999997</v>
      </c>
      <c r="AD594">
        <v>0.12</v>
      </c>
      <c r="AE594">
        <f t="shared" si="344"/>
        <v>1.2522522522522521</v>
      </c>
      <c r="AF594">
        <f t="shared" si="345"/>
        <v>0.45819256756756749</v>
      </c>
      <c r="AG594" s="3">
        <v>5.8</v>
      </c>
      <c r="AH594">
        <v>21.6</v>
      </c>
      <c r="AI594" s="3">
        <v>47</v>
      </c>
      <c r="AJ594" s="2" t="s">
        <v>158</v>
      </c>
      <c r="AK594" t="s">
        <v>159</v>
      </c>
      <c r="AL594">
        <v>68</v>
      </c>
    </row>
    <row r="595" spans="1:38" x14ac:dyDescent="0.5">
      <c r="A595">
        <v>15</v>
      </c>
      <c r="B595" s="4">
        <v>200</v>
      </c>
      <c r="C595">
        <v>0.1</v>
      </c>
      <c r="D595">
        <v>15</v>
      </c>
      <c r="E595">
        <v>500</v>
      </c>
      <c r="F595">
        <v>135</v>
      </c>
      <c r="G595" s="3">
        <f t="shared" ref="G595:G601" si="356">F595/D595</f>
        <v>9</v>
      </c>
      <c r="O595">
        <v>61.6</v>
      </c>
      <c r="P595" s="3">
        <v>30.3</v>
      </c>
      <c r="Q595">
        <v>46.7</v>
      </c>
      <c r="R595">
        <v>5.15</v>
      </c>
      <c r="S595">
        <v>2.15</v>
      </c>
      <c r="T595">
        <v>37.76</v>
      </c>
      <c r="U595">
        <v>0.16</v>
      </c>
      <c r="V595">
        <f t="shared" ref="V595:V601" si="357">(R595/1)/(Q595/12)</f>
        <v>1.3233404710920771</v>
      </c>
      <c r="W595">
        <f t="shared" ref="W595:W601" si="358">(T595/16)/(Q595/12)</f>
        <v>0.60642398286937893</v>
      </c>
      <c r="X595">
        <v>8.1</v>
      </c>
      <c r="Y595" s="3">
        <v>18.3</v>
      </c>
      <c r="Z595">
        <v>58.21</v>
      </c>
      <c r="AA595">
        <v>5.15</v>
      </c>
      <c r="AB595">
        <v>3.01</v>
      </c>
      <c r="AC595">
        <v>28.08</v>
      </c>
      <c r="AD595">
        <v>0.14000000000000001</v>
      </c>
      <c r="AE595">
        <f t="shared" si="344"/>
        <v>1.0616732520185537</v>
      </c>
      <c r="AF595">
        <f t="shared" si="345"/>
        <v>0.36179350627040024</v>
      </c>
      <c r="AG595" s="3">
        <v>5.4</v>
      </c>
      <c r="AH595">
        <v>23.3</v>
      </c>
      <c r="AI595" s="3">
        <v>57.1</v>
      </c>
    </row>
    <row r="596" spans="1:38" x14ac:dyDescent="0.5">
      <c r="A596">
        <v>30</v>
      </c>
      <c r="B596" s="4">
        <v>200</v>
      </c>
      <c r="C596">
        <v>0.1</v>
      </c>
      <c r="D596">
        <v>15</v>
      </c>
      <c r="E596">
        <v>500</v>
      </c>
      <c r="F596">
        <v>135</v>
      </c>
      <c r="G596" s="3">
        <f t="shared" si="356"/>
        <v>9</v>
      </c>
      <c r="O596">
        <v>61.6</v>
      </c>
      <c r="P596" s="3">
        <v>30.3</v>
      </c>
      <c r="Q596">
        <v>46.7</v>
      </c>
      <c r="R596">
        <v>5.15</v>
      </c>
      <c r="S596">
        <v>2.15</v>
      </c>
      <c r="T596">
        <v>37.76</v>
      </c>
      <c r="U596">
        <v>0.16</v>
      </c>
      <c r="V596">
        <f t="shared" si="357"/>
        <v>1.3233404710920771</v>
      </c>
      <c r="W596">
        <f t="shared" si="358"/>
        <v>0.60642398286937893</v>
      </c>
      <c r="X596">
        <v>8.1</v>
      </c>
      <c r="Y596" s="3">
        <v>18.3</v>
      </c>
      <c r="Z596">
        <v>60.28</v>
      </c>
      <c r="AA596">
        <v>5.48</v>
      </c>
      <c r="AB596">
        <v>2.92</v>
      </c>
      <c r="AC596">
        <v>26.28</v>
      </c>
      <c r="AD596">
        <v>0.12</v>
      </c>
      <c r="AE596">
        <f t="shared" si="344"/>
        <v>1.0909090909090911</v>
      </c>
      <c r="AF596">
        <f t="shared" si="345"/>
        <v>0.32697412076974119</v>
      </c>
      <c r="AG596" s="3">
        <v>4.9000000000000004</v>
      </c>
      <c r="AH596">
        <v>24.7</v>
      </c>
      <c r="AI596" s="3">
        <v>59.8</v>
      </c>
    </row>
    <row r="597" spans="1:38" x14ac:dyDescent="0.5">
      <c r="A597">
        <v>60</v>
      </c>
      <c r="B597" s="4">
        <v>200</v>
      </c>
      <c r="C597">
        <v>0.1</v>
      </c>
      <c r="D597">
        <v>15</v>
      </c>
      <c r="E597">
        <v>500</v>
      </c>
      <c r="F597">
        <v>135</v>
      </c>
      <c r="G597" s="3">
        <f t="shared" si="356"/>
        <v>9</v>
      </c>
      <c r="O597">
        <v>61.6</v>
      </c>
      <c r="P597" s="3">
        <v>30.3</v>
      </c>
      <c r="Q597">
        <v>46.7</v>
      </c>
      <c r="R597">
        <v>5.15</v>
      </c>
      <c r="S597">
        <v>2.15</v>
      </c>
      <c r="T597">
        <v>37.76</v>
      </c>
      <c r="U597">
        <v>0.16</v>
      </c>
      <c r="V597">
        <f t="shared" si="357"/>
        <v>1.3233404710920771</v>
      </c>
      <c r="W597">
        <f t="shared" si="358"/>
        <v>0.60642398286937893</v>
      </c>
      <c r="X597">
        <v>8.1</v>
      </c>
      <c r="Y597" s="3">
        <v>18.3</v>
      </c>
      <c r="Z597">
        <v>59.81</v>
      </c>
      <c r="AA597">
        <v>5.22</v>
      </c>
      <c r="AB597">
        <v>2.85</v>
      </c>
      <c r="AC597">
        <v>26.23</v>
      </c>
      <c r="AD597">
        <v>0.09</v>
      </c>
      <c r="AE597">
        <f t="shared" si="344"/>
        <v>1.0473165022571476</v>
      </c>
      <c r="AF597">
        <f t="shared" si="345"/>
        <v>0.32891656913559603</v>
      </c>
      <c r="AG597" s="3">
        <v>5.8</v>
      </c>
      <c r="AH597">
        <v>24.2</v>
      </c>
      <c r="AI597" s="3">
        <v>65.8</v>
      </c>
    </row>
    <row r="598" spans="1:38" x14ac:dyDescent="0.5">
      <c r="A598">
        <v>120</v>
      </c>
      <c r="B598" s="4">
        <v>200</v>
      </c>
      <c r="C598">
        <v>0.1</v>
      </c>
      <c r="D598">
        <v>15</v>
      </c>
      <c r="E598">
        <v>500</v>
      </c>
      <c r="F598">
        <v>135</v>
      </c>
      <c r="G598" s="3">
        <f t="shared" si="356"/>
        <v>9</v>
      </c>
      <c r="O598">
        <v>61.6</v>
      </c>
      <c r="P598" s="3">
        <v>30.3</v>
      </c>
      <c r="Q598">
        <v>46.7</v>
      </c>
      <c r="R598">
        <v>5.15</v>
      </c>
      <c r="S598">
        <v>2.15</v>
      </c>
      <c r="T598">
        <v>37.76</v>
      </c>
      <c r="U598">
        <v>0.16</v>
      </c>
      <c r="V598">
        <f t="shared" si="357"/>
        <v>1.3233404710920771</v>
      </c>
      <c r="W598">
        <f t="shared" si="358"/>
        <v>0.60642398286937893</v>
      </c>
      <c r="X598">
        <v>8.1</v>
      </c>
      <c r="Y598" s="3">
        <v>18.3</v>
      </c>
      <c r="Z598">
        <v>61.97</v>
      </c>
      <c r="AA598">
        <v>5.31</v>
      </c>
      <c r="AB598">
        <v>2.73</v>
      </c>
      <c r="AC598">
        <v>25.36</v>
      </c>
      <c r="AD598">
        <v>0.1</v>
      </c>
      <c r="AE598">
        <f t="shared" si="344"/>
        <v>1.0282394707116347</v>
      </c>
      <c r="AF598">
        <f t="shared" si="345"/>
        <v>0.30692270453445214</v>
      </c>
      <c r="AG598" s="3">
        <v>4.5</v>
      </c>
      <c r="AH598">
        <v>25.1</v>
      </c>
      <c r="AI598" s="3">
        <v>69.8</v>
      </c>
    </row>
    <row r="599" spans="1:38" x14ac:dyDescent="0.5">
      <c r="A599">
        <v>30</v>
      </c>
      <c r="B599" s="4">
        <v>225</v>
      </c>
      <c r="C599">
        <v>0.1</v>
      </c>
      <c r="D599">
        <v>15</v>
      </c>
      <c r="E599">
        <v>500</v>
      </c>
      <c r="F599">
        <v>135</v>
      </c>
      <c r="G599" s="3">
        <f t="shared" si="356"/>
        <v>9</v>
      </c>
      <c r="O599">
        <v>61.6</v>
      </c>
      <c r="P599" s="3">
        <v>30.3</v>
      </c>
      <c r="Q599">
        <v>46.7</v>
      </c>
      <c r="R599">
        <v>5.15</v>
      </c>
      <c r="S599">
        <v>2.15</v>
      </c>
      <c r="T599">
        <v>37.76</v>
      </c>
      <c r="U599">
        <v>0.16</v>
      </c>
      <c r="V599">
        <f t="shared" si="357"/>
        <v>1.3233404710920771</v>
      </c>
      <c r="W599">
        <f t="shared" si="358"/>
        <v>0.60642398286937893</v>
      </c>
      <c r="X599">
        <v>8.1</v>
      </c>
      <c r="Y599" s="3">
        <v>18.3</v>
      </c>
      <c r="Z599">
        <v>61.46</v>
      </c>
      <c r="AA599">
        <v>5.23</v>
      </c>
      <c r="AB599">
        <v>2.82</v>
      </c>
      <c r="AC599">
        <v>26.45</v>
      </c>
      <c r="AD599">
        <v>0.14000000000000001</v>
      </c>
      <c r="AE599">
        <f t="shared" si="344"/>
        <v>1.0211519687601691</v>
      </c>
      <c r="AF599">
        <f t="shared" si="345"/>
        <v>0.32277090790758212</v>
      </c>
      <c r="AG599" s="3">
        <v>3.9</v>
      </c>
      <c r="AH599">
        <v>24.8</v>
      </c>
      <c r="AI599" s="3">
        <v>60.7</v>
      </c>
    </row>
    <row r="600" spans="1:38" x14ac:dyDescent="0.5">
      <c r="A600">
        <v>30</v>
      </c>
      <c r="B600" s="4">
        <v>250</v>
      </c>
      <c r="C600">
        <v>0.1</v>
      </c>
      <c r="D600">
        <v>15</v>
      </c>
      <c r="E600">
        <v>500</v>
      </c>
      <c r="F600">
        <v>135</v>
      </c>
      <c r="G600" s="3">
        <f t="shared" si="356"/>
        <v>9</v>
      </c>
      <c r="O600">
        <v>61.6</v>
      </c>
      <c r="P600" s="3">
        <v>30.3</v>
      </c>
      <c r="Q600">
        <v>46.7</v>
      </c>
      <c r="R600">
        <v>5.15</v>
      </c>
      <c r="S600">
        <v>2.15</v>
      </c>
      <c r="T600">
        <v>37.76</v>
      </c>
      <c r="U600">
        <v>0.16</v>
      </c>
      <c r="V600">
        <f t="shared" si="357"/>
        <v>1.3233404710920771</v>
      </c>
      <c r="W600">
        <f t="shared" si="358"/>
        <v>0.60642398286937893</v>
      </c>
      <c r="X600">
        <v>8.1</v>
      </c>
      <c r="Y600" s="3">
        <v>18.3</v>
      </c>
      <c r="Z600">
        <v>65.41</v>
      </c>
      <c r="AA600">
        <v>5.22</v>
      </c>
      <c r="AB600">
        <v>3.11</v>
      </c>
      <c r="AC600">
        <v>21.24</v>
      </c>
      <c r="AD600">
        <v>0.15</v>
      </c>
      <c r="AE600">
        <f t="shared" si="344"/>
        <v>0.95765173520868374</v>
      </c>
      <c r="AF600">
        <f t="shared" si="345"/>
        <v>0.24354074300565665</v>
      </c>
      <c r="AG600" s="3">
        <v>4.8</v>
      </c>
      <c r="AH600">
        <v>26.7</v>
      </c>
      <c r="AI600" s="3">
        <v>63.5</v>
      </c>
    </row>
    <row r="601" spans="1:38" x14ac:dyDescent="0.5">
      <c r="A601">
        <v>30</v>
      </c>
      <c r="B601" s="4">
        <v>175</v>
      </c>
      <c r="C601">
        <v>0.1</v>
      </c>
      <c r="D601">
        <v>15</v>
      </c>
      <c r="E601">
        <v>500</v>
      </c>
      <c r="F601">
        <v>135</v>
      </c>
      <c r="G601" s="3">
        <f t="shared" si="356"/>
        <v>9</v>
      </c>
      <c r="O601">
        <v>69.599999999999994</v>
      </c>
      <c r="P601" s="3">
        <v>22.3</v>
      </c>
      <c r="Q601">
        <v>45.95</v>
      </c>
      <c r="R601">
        <v>6.45</v>
      </c>
      <c r="S601">
        <v>2.68</v>
      </c>
      <c r="T601">
        <v>36.56</v>
      </c>
      <c r="U601">
        <v>0.32</v>
      </c>
      <c r="V601">
        <f t="shared" si="357"/>
        <v>1.6844396082698585</v>
      </c>
      <c r="W601">
        <f t="shared" si="358"/>
        <v>0.59673558215451572</v>
      </c>
      <c r="X601">
        <v>8</v>
      </c>
      <c r="Y601" s="3">
        <v>19.7</v>
      </c>
      <c r="Z601">
        <v>51.26</v>
      </c>
      <c r="AA601">
        <v>6.17</v>
      </c>
      <c r="AB601">
        <v>2.78</v>
      </c>
      <c r="AC601">
        <v>32.86</v>
      </c>
      <c r="AD601">
        <v>0.26</v>
      </c>
      <c r="AE601">
        <f t="shared" si="344"/>
        <v>1.4444010924697621</v>
      </c>
      <c r="AF601">
        <f t="shared" si="345"/>
        <v>0.48078423722200547</v>
      </c>
      <c r="AG601" s="3">
        <v>6.7</v>
      </c>
      <c r="AH601">
        <v>21.6</v>
      </c>
      <c r="AI601" s="3">
        <v>43</v>
      </c>
    </row>
    <row r="602" spans="1:38" x14ac:dyDescent="0.5">
      <c r="A602">
        <v>15</v>
      </c>
      <c r="B602" s="4">
        <v>200</v>
      </c>
      <c r="C602">
        <v>0.1</v>
      </c>
      <c r="D602">
        <v>15</v>
      </c>
      <c r="E602">
        <v>500</v>
      </c>
      <c r="F602">
        <v>135</v>
      </c>
      <c r="G602" s="3">
        <f t="shared" ref="G602:G608" si="359">F602/D602</f>
        <v>9</v>
      </c>
      <c r="O602">
        <v>69.599999999999994</v>
      </c>
      <c r="P602" s="3">
        <v>22.3</v>
      </c>
      <c r="Q602">
        <v>45.95</v>
      </c>
      <c r="R602">
        <v>6.45</v>
      </c>
      <c r="S602">
        <v>2.68</v>
      </c>
      <c r="T602">
        <v>36.56</v>
      </c>
      <c r="U602">
        <v>0.32</v>
      </c>
      <c r="V602">
        <f t="shared" ref="V602:V606" si="360">(R602/1)/(Q602/12)</f>
        <v>1.6844396082698585</v>
      </c>
      <c r="W602">
        <f t="shared" ref="W602:W606" si="361">(T602/16)/(Q602/12)</f>
        <v>0.59673558215451572</v>
      </c>
      <c r="X602">
        <v>8</v>
      </c>
      <c r="Y602" s="3">
        <v>19.7</v>
      </c>
      <c r="Z602">
        <v>54.08</v>
      </c>
      <c r="AA602">
        <v>6.42</v>
      </c>
      <c r="AB602">
        <v>2.77</v>
      </c>
      <c r="AC602">
        <v>30.04</v>
      </c>
      <c r="AD602">
        <v>0.26</v>
      </c>
      <c r="AE602">
        <f t="shared" si="344"/>
        <v>1.4245562130177514</v>
      </c>
      <c r="AF602">
        <f t="shared" si="345"/>
        <v>0.41660502958579881</v>
      </c>
      <c r="AG602" s="3">
        <v>6.4</v>
      </c>
      <c r="AH602">
        <v>23.2</v>
      </c>
      <c r="AI602" s="3">
        <v>47.7</v>
      </c>
    </row>
    <row r="603" spans="1:38" x14ac:dyDescent="0.5">
      <c r="A603">
        <v>30</v>
      </c>
      <c r="B603" s="4">
        <v>200</v>
      </c>
      <c r="C603">
        <v>0.1</v>
      </c>
      <c r="D603">
        <v>15</v>
      </c>
      <c r="E603">
        <v>500</v>
      </c>
      <c r="F603">
        <v>135</v>
      </c>
      <c r="G603" s="3">
        <f t="shared" si="359"/>
        <v>9</v>
      </c>
      <c r="O603">
        <v>69.599999999999994</v>
      </c>
      <c r="P603" s="3">
        <v>22.3</v>
      </c>
      <c r="Q603">
        <v>45.95</v>
      </c>
      <c r="R603">
        <v>6.45</v>
      </c>
      <c r="S603">
        <v>2.68</v>
      </c>
      <c r="T603">
        <v>36.56</v>
      </c>
      <c r="U603">
        <v>0.32</v>
      </c>
      <c r="V603">
        <f t="shared" si="360"/>
        <v>1.6844396082698585</v>
      </c>
      <c r="W603">
        <f t="shared" si="361"/>
        <v>0.59673558215451572</v>
      </c>
      <c r="X603">
        <v>8</v>
      </c>
      <c r="Y603" s="3">
        <v>19.7</v>
      </c>
      <c r="Z603">
        <v>57.55</v>
      </c>
      <c r="AA603">
        <v>6.13</v>
      </c>
      <c r="AB603">
        <v>2.75</v>
      </c>
      <c r="AC603">
        <v>27.31</v>
      </c>
      <c r="AD603">
        <v>0.23</v>
      </c>
      <c r="AE603">
        <f t="shared" si="344"/>
        <v>1.2781928757602086</v>
      </c>
      <c r="AF603">
        <f t="shared" si="345"/>
        <v>0.35590790616854906</v>
      </c>
      <c r="AG603" s="3">
        <v>6</v>
      </c>
      <c r="AH603">
        <v>24.4</v>
      </c>
      <c r="AI603" s="3">
        <v>54.3</v>
      </c>
    </row>
    <row r="604" spans="1:38" x14ac:dyDescent="0.5">
      <c r="A604">
        <v>60</v>
      </c>
      <c r="B604" s="4">
        <v>200</v>
      </c>
      <c r="C604">
        <v>0.1</v>
      </c>
      <c r="D604">
        <v>15</v>
      </c>
      <c r="E604">
        <v>500</v>
      </c>
      <c r="F604">
        <v>135</v>
      </c>
      <c r="G604" s="3">
        <f t="shared" si="359"/>
        <v>9</v>
      </c>
      <c r="O604">
        <v>69.599999999999994</v>
      </c>
      <c r="P604" s="3">
        <v>22.3</v>
      </c>
      <c r="Q604">
        <v>45.95</v>
      </c>
      <c r="R604">
        <v>6.45</v>
      </c>
      <c r="S604">
        <v>2.68</v>
      </c>
      <c r="T604">
        <v>36.56</v>
      </c>
      <c r="U604">
        <v>0.32</v>
      </c>
      <c r="V604">
        <f t="shared" si="360"/>
        <v>1.6844396082698585</v>
      </c>
      <c r="W604">
        <f t="shared" si="361"/>
        <v>0.59673558215451572</v>
      </c>
      <c r="X604">
        <v>8</v>
      </c>
      <c r="Y604" s="3">
        <v>19.7</v>
      </c>
      <c r="Z604">
        <v>57.57</v>
      </c>
      <c r="AA604">
        <v>6.65</v>
      </c>
      <c r="AB604">
        <v>2.83</v>
      </c>
      <c r="AC604">
        <v>26.67</v>
      </c>
      <c r="AD604">
        <v>0.24</v>
      </c>
      <c r="AE604">
        <f t="shared" si="344"/>
        <v>1.386138613861386</v>
      </c>
      <c r="AF604">
        <f t="shared" si="345"/>
        <v>0.34744658676393952</v>
      </c>
      <c r="AG604" s="3">
        <v>6.1</v>
      </c>
      <c r="AH604">
        <v>25.1</v>
      </c>
      <c r="AI604" s="3">
        <v>55</v>
      </c>
    </row>
    <row r="605" spans="1:38" x14ac:dyDescent="0.5">
      <c r="A605">
        <v>120</v>
      </c>
      <c r="B605" s="4">
        <v>200</v>
      </c>
      <c r="C605">
        <v>0.1</v>
      </c>
      <c r="D605">
        <v>15</v>
      </c>
      <c r="E605">
        <v>500</v>
      </c>
      <c r="F605">
        <v>135</v>
      </c>
      <c r="G605" s="3">
        <f t="shared" si="359"/>
        <v>9</v>
      </c>
      <c r="O605">
        <v>69.599999999999994</v>
      </c>
      <c r="P605" s="3">
        <v>22.3</v>
      </c>
      <c r="Q605">
        <v>45.95</v>
      </c>
      <c r="R605">
        <v>6.45</v>
      </c>
      <c r="S605">
        <v>2.68</v>
      </c>
      <c r="T605">
        <v>36.56</v>
      </c>
      <c r="U605">
        <v>0.32</v>
      </c>
      <c r="V605">
        <f t="shared" si="360"/>
        <v>1.6844396082698585</v>
      </c>
      <c r="W605">
        <f t="shared" si="361"/>
        <v>0.59673558215451572</v>
      </c>
      <c r="X605">
        <v>8</v>
      </c>
      <c r="Y605" s="3">
        <v>19.7</v>
      </c>
      <c r="Z605">
        <v>60.36</v>
      </c>
      <c r="AA605">
        <v>6.25</v>
      </c>
      <c r="AB605">
        <v>2.58</v>
      </c>
      <c r="AC605">
        <v>24.27</v>
      </c>
      <c r="AD605">
        <v>0.24</v>
      </c>
      <c r="AE605">
        <f t="shared" si="344"/>
        <v>1.242544731610338</v>
      </c>
      <c r="AF605">
        <f t="shared" si="345"/>
        <v>0.301565606361829</v>
      </c>
      <c r="AG605" s="3">
        <v>6.3</v>
      </c>
      <c r="AH605">
        <v>25.8</v>
      </c>
      <c r="AI605" s="3">
        <v>55.6</v>
      </c>
    </row>
    <row r="606" spans="1:38" x14ac:dyDescent="0.5">
      <c r="A606">
        <v>30</v>
      </c>
      <c r="B606" s="4">
        <v>225</v>
      </c>
      <c r="C606">
        <v>0.1</v>
      </c>
      <c r="D606">
        <v>15</v>
      </c>
      <c r="E606">
        <v>500</v>
      </c>
      <c r="F606">
        <v>135</v>
      </c>
      <c r="G606" s="3">
        <f t="shared" si="359"/>
        <v>9</v>
      </c>
      <c r="O606">
        <v>69.599999999999994</v>
      </c>
      <c r="P606" s="3">
        <v>22.3</v>
      </c>
      <c r="Q606">
        <v>45.95</v>
      </c>
      <c r="R606">
        <v>6.45</v>
      </c>
      <c r="S606">
        <v>2.68</v>
      </c>
      <c r="T606">
        <v>36.56</v>
      </c>
      <c r="U606">
        <v>0.32</v>
      </c>
      <c r="V606">
        <f t="shared" si="360"/>
        <v>1.6844396082698585</v>
      </c>
      <c r="W606">
        <f t="shared" si="361"/>
        <v>0.59673558215451572</v>
      </c>
      <c r="X606">
        <v>8</v>
      </c>
      <c r="Y606" s="3">
        <v>19.7</v>
      </c>
      <c r="Z606">
        <v>58.93</v>
      </c>
      <c r="AA606">
        <v>6.28</v>
      </c>
      <c r="AB606">
        <v>2.68</v>
      </c>
      <c r="AC606">
        <v>29.73</v>
      </c>
      <c r="AD606">
        <v>0.22</v>
      </c>
      <c r="AE606">
        <f t="shared" si="344"/>
        <v>1.2788053622942475</v>
      </c>
      <c r="AF606">
        <f t="shared" si="345"/>
        <v>0.37837264551162392</v>
      </c>
      <c r="AG606" s="3">
        <v>6.5</v>
      </c>
      <c r="AH606">
        <v>25.3</v>
      </c>
      <c r="AI606" s="3">
        <v>58.2</v>
      </c>
    </row>
    <row r="607" spans="1:38" x14ac:dyDescent="0.5">
      <c r="A607">
        <v>30</v>
      </c>
      <c r="B607" s="4">
        <v>250</v>
      </c>
      <c r="C607">
        <v>0.1</v>
      </c>
      <c r="D607">
        <v>15</v>
      </c>
      <c r="E607">
        <v>500</v>
      </c>
      <c r="F607">
        <v>135</v>
      </c>
      <c r="G607" s="3">
        <f t="shared" si="359"/>
        <v>9</v>
      </c>
      <c r="O607">
        <v>69.599999999999994</v>
      </c>
      <c r="P607" s="3">
        <v>22.3</v>
      </c>
      <c r="Q607">
        <v>45.95</v>
      </c>
      <c r="R607">
        <v>6.45</v>
      </c>
      <c r="S607">
        <v>2.68</v>
      </c>
      <c r="T607">
        <v>36.56</v>
      </c>
      <c r="U607">
        <v>0.32</v>
      </c>
      <c r="V607">
        <f t="shared" ref="V607:V608" si="362">(R607/1)/(Q607/12)</f>
        <v>1.6844396082698585</v>
      </c>
      <c r="W607">
        <f t="shared" ref="W607:W608" si="363">(T607/16)/(Q607/12)</f>
        <v>0.59673558215451572</v>
      </c>
      <c r="X607">
        <v>8</v>
      </c>
      <c r="Y607" s="3">
        <v>19.7</v>
      </c>
      <c r="Z607">
        <v>63.75</v>
      </c>
      <c r="AA607">
        <v>6.09</v>
      </c>
      <c r="AB607">
        <v>3.58</v>
      </c>
      <c r="AC607">
        <v>18.57</v>
      </c>
      <c r="AD607">
        <v>0.25</v>
      </c>
      <c r="AE607">
        <f t="shared" si="344"/>
        <v>1.1463529411764706</v>
      </c>
      <c r="AF607">
        <f t="shared" si="345"/>
        <v>0.21847058823529411</v>
      </c>
      <c r="AG607" s="3">
        <v>7.5</v>
      </c>
      <c r="AH607">
        <v>27.3</v>
      </c>
      <c r="AI607" s="3">
        <v>47.9</v>
      </c>
    </row>
    <row r="608" spans="1:38" x14ac:dyDescent="0.5">
      <c r="A608">
        <v>60</v>
      </c>
      <c r="B608" s="4">
        <v>200</v>
      </c>
      <c r="C608">
        <v>0.1</v>
      </c>
      <c r="D608">
        <v>10</v>
      </c>
      <c r="E608">
        <v>250</v>
      </c>
      <c r="F608">
        <v>70</v>
      </c>
      <c r="G608" s="3">
        <f t="shared" si="359"/>
        <v>7</v>
      </c>
      <c r="Q608">
        <v>46.46</v>
      </c>
      <c r="R608">
        <v>6.03</v>
      </c>
      <c r="S608">
        <v>0.1</v>
      </c>
      <c r="T608">
        <v>47.38</v>
      </c>
      <c r="U608">
        <v>0</v>
      </c>
      <c r="V608">
        <f t="shared" si="362"/>
        <v>1.5574687903572968</v>
      </c>
      <c r="W608">
        <f t="shared" si="363"/>
        <v>0.76485148514851486</v>
      </c>
      <c r="X608">
        <v>10</v>
      </c>
      <c r="Y608" s="3">
        <v>18.329999999999998</v>
      </c>
      <c r="Z608">
        <v>47.59</v>
      </c>
      <c r="AA608">
        <v>4.87</v>
      </c>
      <c r="AB608">
        <v>0.02</v>
      </c>
      <c r="AC608">
        <v>15.57</v>
      </c>
      <c r="AD608">
        <v>0</v>
      </c>
      <c r="AE608">
        <f t="shared" si="344"/>
        <v>1.2279890733347341</v>
      </c>
      <c r="AF608">
        <f t="shared" si="345"/>
        <v>0.24537718007984868</v>
      </c>
      <c r="AH608">
        <v>21.03</v>
      </c>
      <c r="AI608" s="3">
        <v>77.8</v>
      </c>
      <c r="AJ608" s="2" t="s">
        <v>160</v>
      </c>
      <c r="AK608" t="s">
        <v>149</v>
      </c>
      <c r="AL608">
        <v>69</v>
      </c>
    </row>
    <row r="609" spans="1:38" x14ac:dyDescent="0.5">
      <c r="A609">
        <v>60</v>
      </c>
      <c r="B609" s="4">
        <v>220</v>
      </c>
      <c r="C609">
        <v>0.1</v>
      </c>
      <c r="D609">
        <v>10</v>
      </c>
      <c r="E609">
        <v>250</v>
      </c>
      <c r="F609">
        <v>70</v>
      </c>
      <c r="G609" s="3">
        <f t="shared" ref="G609:G613" si="364">F609/D609</f>
        <v>7</v>
      </c>
      <c r="Q609">
        <v>46.46</v>
      </c>
      <c r="R609">
        <v>6.03</v>
      </c>
      <c r="S609">
        <v>0.1</v>
      </c>
      <c r="T609">
        <v>47.38</v>
      </c>
      <c r="U609">
        <v>0</v>
      </c>
      <c r="V609">
        <f t="shared" ref="V609:V613" si="365">(R609/1)/(Q609/12)</f>
        <v>1.5574687903572968</v>
      </c>
      <c r="W609">
        <f t="shared" ref="W609:W613" si="366">(T609/16)/(Q609/12)</f>
        <v>0.76485148514851486</v>
      </c>
      <c r="X609">
        <v>10</v>
      </c>
      <c r="Y609" s="3">
        <v>18.329999999999998</v>
      </c>
      <c r="Z609">
        <v>58.04</v>
      </c>
      <c r="AA609">
        <v>5.1100000000000003</v>
      </c>
      <c r="AB609">
        <v>0.02</v>
      </c>
      <c r="AC609">
        <v>9</v>
      </c>
      <c r="AD609">
        <v>0</v>
      </c>
      <c r="AE609">
        <f t="shared" si="344"/>
        <v>1.0565127498277052</v>
      </c>
      <c r="AF609">
        <f t="shared" si="345"/>
        <v>0.11629910406616126</v>
      </c>
      <c r="AH609">
        <v>25.69</v>
      </c>
      <c r="AI609" s="3">
        <v>75.989999999999995</v>
      </c>
    </row>
    <row r="610" spans="1:38" x14ac:dyDescent="0.5">
      <c r="A610">
        <v>60</v>
      </c>
      <c r="B610" s="4">
        <v>240</v>
      </c>
      <c r="C610">
        <v>0.1</v>
      </c>
      <c r="D610">
        <v>10</v>
      </c>
      <c r="E610">
        <v>250</v>
      </c>
      <c r="F610">
        <v>70</v>
      </c>
      <c r="G610" s="3">
        <f t="shared" si="364"/>
        <v>7</v>
      </c>
      <c r="Q610">
        <v>46.46</v>
      </c>
      <c r="R610">
        <v>6.03</v>
      </c>
      <c r="S610">
        <v>0.1</v>
      </c>
      <c r="T610">
        <v>47.38</v>
      </c>
      <c r="U610">
        <v>0</v>
      </c>
      <c r="V610">
        <f t="shared" si="365"/>
        <v>1.5574687903572968</v>
      </c>
      <c r="W610">
        <f t="shared" si="366"/>
        <v>0.76485148514851486</v>
      </c>
      <c r="X610">
        <v>10</v>
      </c>
      <c r="Y610" s="3">
        <v>18.329999999999998</v>
      </c>
      <c r="Z610">
        <v>70.25</v>
      </c>
      <c r="AA610">
        <v>5.86</v>
      </c>
      <c r="AB610">
        <v>0.02</v>
      </c>
      <c r="AC610">
        <v>13.78</v>
      </c>
      <c r="AD610">
        <v>0</v>
      </c>
      <c r="AE610">
        <f t="shared" si="344"/>
        <v>1.0009964412811387</v>
      </c>
      <c r="AF610">
        <f t="shared" si="345"/>
        <v>0.14711743772241992</v>
      </c>
      <c r="AH610">
        <v>29.66</v>
      </c>
      <c r="AI610" s="3">
        <v>72.94</v>
      </c>
    </row>
    <row r="611" spans="1:38" x14ac:dyDescent="0.5">
      <c r="A611">
        <v>60</v>
      </c>
      <c r="B611" s="4">
        <v>260</v>
      </c>
      <c r="C611">
        <v>0.1</v>
      </c>
      <c r="D611">
        <v>10</v>
      </c>
      <c r="E611">
        <v>250</v>
      </c>
      <c r="F611">
        <v>70</v>
      </c>
      <c r="G611" s="3">
        <f t="shared" si="364"/>
        <v>7</v>
      </c>
      <c r="Q611">
        <v>46.46</v>
      </c>
      <c r="R611">
        <v>6.03</v>
      </c>
      <c r="S611">
        <v>0.1</v>
      </c>
      <c r="T611">
        <v>47.38</v>
      </c>
      <c r="U611">
        <v>0</v>
      </c>
      <c r="V611">
        <f t="shared" si="365"/>
        <v>1.5574687903572968</v>
      </c>
      <c r="W611">
        <f t="shared" si="366"/>
        <v>0.76485148514851486</v>
      </c>
      <c r="X611">
        <v>10</v>
      </c>
      <c r="Y611" s="3">
        <v>18.329999999999998</v>
      </c>
      <c r="Z611">
        <v>72.5</v>
      </c>
      <c r="AA611">
        <v>5.76</v>
      </c>
      <c r="AB611">
        <v>0.02</v>
      </c>
      <c r="AC611">
        <v>15.93</v>
      </c>
      <c r="AD611">
        <v>0</v>
      </c>
      <c r="AE611">
        <f t="shared" si="344"/>
        <v>0.95337931034482748</v>
      </c>
      <c r="AF611">
        <f t="shared" si="345"/>
        <v>0.16479310344827586</v>
      </c>
      <c r="AH611">
        <v>30.06</v>
      </c>
      <c r="AI611" s="3">
        <v>71.569999999999993</v>
      </c>
    </row>
    <row r="612" spans="1:38" x14ac:dyDescent="0.5">
      <c r="A612">
        <v>60</v>
      </c>
      <c r="B612" s="4">
        <v>280</v>
      </c>
      <c r="C612">
        <v>0.1</v>
      </c>
      <c r="D612">
        <v>10</v>
      </c>
      <c r="E612">
        <v>250</v>
      </c>
      <c r="F612">
        <v>70</v>
      </c>
      <c r="G612" s="3">
        <f t="shared" si="364"/>
        <v>7</v>
      </c>
      <c r="Q612">
        <v>46.46</v>
      </c>
      <c r="R612">
        <v>6.03</v>
      </c>
      <c r="S612">
        <v>0.1</v>
      </c>
      <c r="T612">
        <v>47.38</v>
      </c>
      <c r="U612">
        <v>0</v>
      </c>
      <c r="V612">
        <f t="shared" si="365"/>
        <v>1.5574687903572968</v>
      </c>
      <c r="W612">
        <f t="shared" si="366"/>
        <v>0.76485148514851486</v>
      </c>
      <c r="X612">
        <v>10</v>
      </c>
      <c r="Y612" s="3">
        <v>18.329999999999998</v>
      </c>
      <c r="Z612">
        <v>74.260000000000005</v>
      </c>
      <c r="AA612">
        <v>5.79</v>
      </c>
      <c r="AB612">
        <v>0.02</v>
      </c>
      <c r="AC612">
        <v>15.97</v>
      </c>
      <c r="AD612">
        <v>0</v>
      </c>
      <c r="AE612">
        <f t="shared" si="344"/>
        <v>0.93563156477242115</v>
      </c>
      <c r="AF612">
        <f t="shared" si="345"/>
        <v>0.16129140856450311</v>
      </c>
      <c r="AH612">
        <v>30.89</v>
      </c>
      <c r="AI612" s="3">
        <v>71.209999999999994</v>
      </c>
    </row>
    <row r="613" spans="1:38" x14ac:dyDescent="0.5">
      <c r="A613">
        <v>30</v>
      </c>
      <c r="B613" s="4">
        <v>180</v>
      </c>
      <c r="C613">
        <v>0.1</v>
      </c>
      <c r="D613">
        <v>300</v>
      </c>
      <c r="E613">
        <v>1000</v>
      </c>
      <c r="F613">
        <v>300</v>
      </c>
      <c r="G613" s="3">
        <f t="shared" si="364"/>
        <v>1</v>
      </c>
      <c r="O613">
        <v>72.33</v>
      </c>
      <c r="P613" s="3">
        <v>10.62</v>
      </c>
      <c r="Q613">
        <v>52.29</v>
      </c>
      <c r="R613">
        <v>7.89</v>
      </c>
      <c r="S613">
        <v>6.39</v>
      </c>
      <c r="T613">
        <v>32.619999999999997</v>
      </c>
      <c r="U613">
        <v>0.81</v>
      </c>
      <c r="V613">
        <f t="shared" si="365"/>
        <v>1.810671256454389</v>
      </c>
      <c r="W613">
        <f t="shared" si="366"/>
        <v>0.46787148594377509</v>
      </c>
      <c r="X613">
        <v>17.05</v>
      </c>
      <c r="Y613" s="3">
        <f>(0.338*Q613)+1.428*(R613-(T613/8))</f>
        <v>23.118270000000003</v>
      </c>
      <c r="Z613">
        <v>52.17</v>
      </c>
      <c r="AA613">
        <v>7.91</v>
      </c>
      <c r="AB613">
        <v>6.78</v>
      </c>
      <c r="AC613">
        <v>33.049999999999997</v>
      </c>
      <c r="AD613">
        <v>0.7</v>
      </c>
      <c r="AE613">
        <f t="shared" si="344"/>
        <v>1.81943645773433</v>
      </c>
      <c r="AF613">
        <f t="shared" si="345"/>
        <v>0.47512938470385274</v>
      </c>
      <c r="AG613" s="3">
        <v>18.8</v>
      </c>
      <c r="AH613">
        <f>(0.338*Z613)+1.428*(AA613-(AC613/8))</f>
        <v>23.029515000000004</v>
      </c>
      <c r="AI613" s="3">
        <v>91.13</v>
      </c>
      <c r="AJ613" s="2" t="s">
        <v>161</v>
      </c>
      <c r="AK613" t="s">
        <v>162</v>
      </c>
      <c r="AL613">
        <v>70</v>
      </c>
    </row>
    <row r="614" spans="1:38" x14ac:dyDescent="0.5">
      <c r="A614">
        <v>30</v>
      </c>
      <c r="B614" s="4">
        <v>210</v>
      </c>
      <c r="C614">
        <v>0.1</v>
      </c>
      <c r="D614">
        <v>300</v>
      </c>
      <c r="E614">
        <v>1000</v>
      </c>
      <c r="F614">
        <v>300</v>
      </c>
      <c r="G614" s="3">
        <f t="shared" ref="G614:G617" si="367">F614/D614</f>
        <v>1</v>
      </c>
      <c r="O614">
        <v>72.33</v>
      </c>
      <c r="P614" s="3">
        <v>10.62</v>
      </c>
      <c r="Q614">
        <v>52.29</v>
      </c>
      <c r="R614">
        <v>7.89</v>
      </c>
      <c r="S614">
        <v>6.39</v>
      </c>
      <c r="T614">
        <v>32.619999999999997</v>
      </c>
      <c r="U614">
        <v>0.81</v>
      </c>
      <c r="V614">
        <f t="shared" ref="V614:V617" si="368">(R614/1)/(Q614/12)</f>
        <v>1.810671256454389</v>
      </c>
      <c r="W614">
        <f t="shared" ref="W614:W617" si="369">(T614/16)/(Q614/12)</f>
        <v>0.46787148594377509</v>
      </c>
      <c r="X614">
        <v>17.05</v>
      </c>
      <c r="Y614" s="3">
        <f t="shared" ref="Y614:Y625" si="370">(0.338*Q614)+1.428*(R614-(T614/8))</f>
        <v>23.118270000000003</v>
      </c>
      <c r="Z614">
        <v>55.75</v>
      </c>
      <c r="AA614">
        <v>7.29</v>
      </c>
      <c r="AB614">
        <v>6.41</v>
      </c>
      <c r="AC614">
        <v>29.94</v>
      </c>
      <c r="AD614">
        <v>0.61</v>
      </c>
      <c r="AE614">
        <f t="shared" si="344"/>
        <v>1.5691479820627803</v>
      </c>
      <c r="AF614">
        <f t="shared" si="345"/>
        <v>0.402780269058296</v>
      </c>
      <c r="AG614" s="3">
        <v>19.32</v>
      </c>
      <c r="AH614">
        <f t="shared" ref="AH614:AH626" si="371">(0.338*Z614)+1.428*(AA614-(AC614/8))</f>
        <v>23.909330000000001</v>
      </c>
      <c r="AI614" s="3">
        <v>85.84</v>
      </c>
    </row>
    <row r="615" spans="1:38" x14ac:dyDescent="0.5">
      <c r="A615">
        <v>30</v>
      </c>
      <c r="B615" s="4">
        <v>240</v>
      </c>
      <c r="C615">
        <v>0.1</v>
      </c>
      <c r="D615">
        <v>300</v>
      </c>
      <c r="E615">
        <v>1000</v>
      </c>
      <c r="F615">
        <v>300</v>
      </c>
      <c r="G615" s="3">
        <f t="shared" si="367"/>
        <v>1</v>
      </c>
      <c r="O615">
        <v>72.33</v>
      </c>
      <c r="P615" s="3">
        <v>10.62</v>
      </c>
      <c r="Q615">
        <v>52.29</v>
      </c>
      <c r="R615">
        <v>7.89</v>
      </c>
      <c r="S615">
        <v>6.39</v>
      </c>
      <c r="T615">
        <v>32.619999999999997</v>
      </c>
      <c r="U615">
        <v>0.81</v>
      </c>
      <c r="V615">
        <f t="shared" si="368"/>
        <v>1.810671256454389</v>
      </c>
      <c r="W615">
        <f t="shared" si="369"/>
        <v>0.46787148594377509</v>
      </c>
      <c r="X615">
        <v>17.05</v>
      </c>
      <c r="Y615" s="3">
        <f t="shared" si="370"/>
        <v>23.118270000000003</v>
      </c>
      <c r="Z615">
        <v>56.78</v>
      </c>
      <c r="AA615">
        <v>6.56</v>
      </c>
      <c r="AB615">
        <v>7.15</v>
      </c>
      <c r="AC615">
        <v>28.98</v>
      </c>
      <c r="AD615">
        <v>0.53</v>
      </c>
      <c r="AE615">
        <f t="shared" si="344"/>
        <v>1.3864036632617118</v>
      </c>
      <c r="AF615">
        <f t="shared" si="345"/>
        <v>0.38279323705530116</v>
      </c>
      <c r="AG615" s="3">
        <v>23.23</v>
      </c>
      <c r="AH615">
        <f t="shared" si="371"/>
        <v>23.386390000000002</v>
      </c>
      <c r="AI615" s="3">
        <v>67.930000000000007</v>
      </c>
    </row>
    <row r="616" spans="1:38" x14ac:dyDescent="0.5">
      <c r="A616">
        <v>30</v>
      </c>
      <c r="B616" s="4">
        <v>270</v>
      </c>
      <c r="C616">
        <v>0.1</v>
      </c>
      <c r="D616">
        <v>300</v>
      </c>
      <c r="E616">
        <v>1000</v>
      </c>
      <c r="F616">
        <v>300</v>
      </c>
      <c r="G616" s="3">
        <f t="shared" si="367"/>
        <v>1</v>
      </c>
      <c r="O616">
        <v>72.33</v>
      </c>
      <c r="P616" s="3">
        <v>10.62</v>
      </c>
      <c r="Q616">
        <v>52.29</v>
      </c>
      <c r="R616">
        <v>7.89</v>
      </c>
      <c r="S616">
        <v>6.39</v>
      </c>
      <c r="T616">
        <v>32.619999999999997</v>
      </c>
      <c r="U616">
        <v>0.81</v>
      </c>
      <c r="V616">
        <f t="shared" si="368"/>
        <v>1.810671256454389</v>
      </c>
      <c r="W616">
        <f t="shared" si="369"/>
        <v>0.46787148594377509</v>
      </c>
      <c r="X616">
        <v>17.05</v>
      </c>
      <c r="Y616" s="3">
        <f t="shared" si="370"/>
        <v>23.118270000000003</v>
      </c>
      <c r="Z616">
        <v>59.87</v>
      </c>
      <c r="AA616">
        <v>6.8</v>
      </c>
      <c r="AB616">
        <v>6.3</v>
      </c>
      <c r="AC616">
        <v>26.39</v>
      </c>
      <c r="AD616">
        <v>0.64</v>
      </c>
      <c r="AE616">
        <f t="shared" si="344"/>
        <v>1.3629530649741106</v>
      </c>
      <c r="AF616">
        <f t="shared" si="345"/>
        <v>0.33059128110906966</v>
      </c>
      <c r="AG616" s="3">
        <v>33.51</v>
      </c>
      <c r="AH616">
        <f t="shared" si="371"/>
        <v>25.235845000000001</v>
      </c>
      <c r="AI616" s="3">
        <v>40.78</v>
      </c>
    </row>
    <row r="617" spans="1:38" x14ac:dyDescent="0.5">
      <c r="A617">
        <v>30</v>
      </c>
      <c r="B617" s="4">
        <v>180</v>
      </c>
      <c r="C617">
        <v>0.1</v>
      </c>
      <c r="D617">
        <v>300</v>
      </c>
      <c r="E617">
        <v>1000</v>
      </c>
      <c r="F617">
        <v>300</v>
      </c>
      <c r="G617" s="3">
        <f t="shared" si="367"/>
        <v>1</v>
      </c>
      <c r="O617">
        <v>80.73</v>
      </c>
      <c r="P617" s="3">
        <v>12.6</v>
      </c>
      <c r="Q617">
        <v>50.91</v>
      </c>
      <c r="R617">
        <v>6.98</v>
      </c>
      <c r="S617">
        <v>10.25</v>
      </c>
      <c r="T617">
        <v>31.03</v>
      </c>
      <c r="U617">
        <v>0.82</v>
      </c>
      <c r="V617">
        <f t="shared" si="368"/>
        <v>1.6452563347083089</v>
      </c>
      <c r="W617">
        <f t="shared" si="369"/>
        <v>0.45713022981732476</v>
      </c>
      <c r="X617">
        <v>6.67</v>
      </c>
      <c r="Y617" s="3">
        <f t="shared" si="370"/>
        <v>21.636164999999998</v>
      </c>
      <c r="Z617">
        <v>54.35</v>
      </c>
      <c r="AA617">
        <v>7.35</v>
      </c>
      <c r="AB617">
        <v>9.84</v>
      </c>
      <c r="AC617">
        <v>27.9</v>
      </c>
      <c r="AD617">
        <v>0.56999999999999995</v>
      </c>
      <c r="AE617">
        <f t="shared" si="344"/>
        <v>1.6228150873965039</v>
      </c>
      <c r="AF617">
        <f t="shared" si="345"/>
        <v>0.38500459981600732</v>
      </c>
      <c r="AG617" s="3">
        <v>6.32</v>
      </c>
      <c r="AH617">
        <f t="shared" si="371"/>
        <v>23.885950000000001</v>
      </c>
      <c r="AI617" s="3">
        <v>98.23</v>
      </c>
    </row>
    <row r="618" spans="1:38" x14ac:dyDescent="0.5">
      <c r="A618">
        <v>30</v>
      </c>
      <c r="B618" s="4">
        <v>210</v>
      </c>
      <c r="C618">
        <v>0.1</v>
      </c>
      <c r="D618">
        <v>300</v>
      </c>
      <c r="E618">
        <v>1000</v>
      </c>
      <c r="F618">
        <v>300</v>
      </c>
      <c r="G618" s="3">
        <f t="shared" ref="G618:G625" si="372">F618/D618</f>
        <v>1</v>
      </c>
      <c r="O618">
        <v>80.73</v>
      </c>
      <c r="P618" s="3">
        <v>12.6</v>
      </c>
      <c r="Q618">
        <v>50.91</v>
      </c>
      <c r="R618">
        <v>6.98</v>
      </c>
      <c r="S618">
        <v>10.25</v>
      </c>
      <c r="T618">
        <v>31.03</v>
      </c>
      <c r="U618">
        <v>0.82</v>
      </c>
      <c r="V618">
        <f t="shared" ref="V618:V621" si="373">(R618/1)/(Q618/12)</f>
        <v>1.6452563347083089</v>
      </c>
      <c r="W618">
        <f t="shared" ref="W618:W621" si="374">(T618/16)/(Q618/12)</f>
        <v>0.45713022981732476</v>
      </c>
      <c r="X618">
        <v>6.67</v>
      </c>
      <c r="Y618" s="3">
        <f t="shared" si="370"/>
        <v>21.636164999999998</v>
      </c>
      <c r="Z618">
        <v>59.36</v>
      </c>
      <c r="AA618">
        <v>7.74</v>
      </c>
      <c r="AB618">
        <v>9.64</v>
      </c>
      <c r="AC618">
        <v>22.76</v>
      </c>
      <c r="AD618">
        <v>0.5</v>
      </c>
      <c r="AE618">
        <f t="shared" si="344"/>
        <v>1.5646900269541781</v>
      </c>
      <c r="AF618">
        <f t="shared" si="345"/>
        <v>0.28756738544474397</v>
      </c>
      <c r="AG618" s="3">
        <v>6.86</v>
      </c>
      <c r="AH618">
        <f t="shared" si="371"/>
        <v>27.053740000000001</v>
      </c>
      <c r="AI618" s="3">
        <v>97.03</v>
      </c>
    </row>
    <row r="619" spans="1:38" x14ac:dyDescent="0.5">
      <c r="A619">
        <v>30</v>
      </c>
      <c r="B619" s="4">
        <v>240</v>
      </c>
      <c r="C619">
        <v>0.1</v>
      </c>
      <c r="D619">
        <v>300</v>
      </c>
      <c r="E619">
        <v>1000</v>
      </c>
      <c r="F619">
        <v>300</v>
      </c>
      <c r="G619" s="3">
        <f t="shared" si="372"/>
        <v>1</v>
      </c>
      <c r="O619">
        <v>80.73</v>
      </c>
      <c r="P619" s="3">
        <v>12.6</v>
      </c>
      <c r="Q619">
        <v>50.91</v>
      </c>
      <c r="R619">
        <v>6.98</v>
      </c>
      <c r="S619">
        <v>10.25</v>
      </c>
      <c r="T619">
        <v>31.03</v>
      </c>
      <c r="U619">
        <v>0.82</v>
      </c>
      <c r="V619">
        <f t="shared" si="373"/>
        <v>1.6452563347083089</v>
      </c>
      <c r="W619">
        <f t="shared" si="374"/>
        <v>0.45713022981732476</v>
      </c>
      <c r="X619">
        <v>6.67</v>
      </c>
      <c r="Y619" s="3">
        <f t="shared" si="370"/>
        <v>21.636164999999998</v>
      </c>
      <c r="Z619">
        <v>55.33</v>
      </c>
      <c r="AA619">
        <v>7.14</v>
      </c>
      <c r="AB619">
        <v>11.01</v>
      </c>
      <c r="AC619">
        <v>26.02</v>
      </c>
      <c r="AD619">
        <v>0.5</v>
      </c>
      <c r="AE619">
        <f t="shared" si="344"/>
        <v>1.5485270196999821</v>
      </c>
      <c r="AF619">
        <f t="shared" si="345"/>
        <v>0.3527019699981927</v>
      </c>
      <c r="AG619" s="3">
        <v>8.08</v>
      </c>
      <c r="AH619">
        <f t="shared" si="371"/>
        <v>24.252890000000001</v>
      </c>
      <c r="AI619" s="3">
        <v>81.3</v>
      </c>
    </row>
    <row r="620" spans="1:38" x14ac:dyDescent="0.5">
      <c r="A620">
        <v>30</v>
      </c>
      <c r="B620" s="4">
        <v>270</v>
      </c>
      <c r="C620">
        <v>0.1</v>
      </c>
      <c r="D620">
        <v>300</v>
      </c>
      <c r="E620">
        <v>1000</v>
      </c>
      <c r="F620">
        <v>300</v>
      </c>
      <c r="G620" s="3">
        <f t="shared" si="372"/>
        <v>1</v>
      </c>
      <c r="O620">
        <v>80.73</v>
      </c>
      <c r="P620" s="3">
        <v>12.6</v>
      </c>
      <c r="Q620">
        <v>50.91</v>
      </c>
      <c r="R620">
        <v>6.98</v>
      </c>
      <c r="S620">
        <v>10.25</v>
      </c>
      <c r="T620">
        <v>31.03</v>
      </c>
      <c r="U620">
        <v>0.82</v>
      </c>
      <c r="V620">
        <f t="shared" si="373"/>
        <v>1.6452563347083089</v>
      </c>
      <c r="W620">
        <f t="shared" si="374"/>
        <v>0.45713022981732476</v>
      </c>
      <c r="X620">
        <v>6.67</v>
      </c>
      <c r="Y620" s="3">
        <f t="shared" si="370"/>
        <v>21.636164999999998</v>
      </c>
      <c r="Z620">
        <v>55.73</v>
      </c>
      <c r="AA620">
        <v>7.24</v>
      </c>
      <c r="AB620">
        <v>9.68</v>
      </c>
      <c r="AC620">
        <v>26.86</v>
      </c>
      <c r="AD620">
        <v>0.49</v>
      </c>
      <c r="AE620">
        <f t="shared" si="344"/>
        <v>1.5589449129732642</v>
      </c>
      <c r="AF620">
        <f t="shared" si="345"/>
        <v>0.36147496859860045</v>
      </c>
      <c r="AG620" s="3">
        <v>10.55</v>
      </c>
      <c r="AH620">
        <f t="shared" si="371"/>
        <v>24.380949999999999</v>
      </c>
      <c r="AI620" s="3">
        <v>60.59</v>
      </c>
    </row>
    <row r="621" spans="1:38" x14ac:dyDescent="0.5">
      <c r="A621">
        <v>30</v>
      </c>
      <c r="B621" s="4">
        <v>180</v>
      </c>
      <c r="C621">
        <v>0.1</v>
      </c>
      <c r="D621">
        <v>300</v>
      </c>
      <c r="E621">
        <v>1000</v>
      </c>
      <c r="F621">
        <v>300</v>
      </c>
      <c r="G621" s="3">
        <f t="shared" si="372"/>
        <v>1</v>
      </c>
      <c r="O621">
        <v>74.55</v>
      </c>
      <c r="P621" s="3">
        <v>11.13</v>
      </c>
      <c r="Q621">
        <v>51.99</v>
      </c>
      <c r="R621">
        <v>7.18</v>
      </c>
      <c r="S621">
        <v>6.34</v>
      </c>
      <c r="T621">
        <v>33.78</v>
      </c>
      <c r="U621">
        <v>0.7</v>
      </c>
      <c r="V621">
        <f t="shared" si="373"/>
        <v>1.6572417772648584</v>
      </c>
      <c r="W621">
        <f t="shared" si="374"/>
        <v>0.48730525100980954</v>
      </c>
      <c r="X621">
        <v>14.32</v>
      </c>
      <c r="Y621" s="3">
        <f t="shared" si="370"/>
        <v>21.795929999999998</v>
      </c>
      <c r="Z621">
        <v>55.26</v>
      </c>
      <c r="AA621">
        <v>7.43</v>
      </c>
      <c r="AB621">
        <v>6.91</v>
      </c>
      <c r="AC621">
        <v>29.75</v>
      </c>
      <c r="AD621">
        <v>0.65</v>
      </c>
      <c r="AE621">
        <f t="shared" si="344"/>
        <v>1.6134636264929425</v>
      </c>
      <c r="AF621">
        <f t="shared" si="345"/>
        <v>0.40377307274701413</v>
      </c>
      <c r="AG621" s="3">
        <v>15.1</v>
      </c>
      <c r="AH621">
        <f t="shared" si="371"/>
        <v>23.977544999999999</v>
      </c>
      <c r="AI621" s="3">
        <v>93.97</v>
      </c>
    </row>
    <row r="622" spans="1:38" x14ac:dyDescent="0.5">
      <c r="A622">
        <v>30</v>
      </c>
      <c r="B622" s="4">
        <v>210</v>
      </c>
      <c r="C622">
        <v>0.1</v>
      </c>
      <c r="D622">
        <v>300</v>
      </c>
      <c r="E622">
        <v>1000</v>
      </c>
      <c r="F622">
        <v>300</v>
      </c>
      <c r="G622" s="3">
        <f t="shared" si="372"/>
        <v>1</v>
      </c>
      <c r="O622">
        <v>74.55</v>
      </c>
      <c r="P622" s="3">
        <v>11.13</v>
      </c>
      <c r="Q622">
        <v>51.99</v>
      </c>
      <c r="R622">
        <v>7.18</v>
      </c>
      <c r="S622">
        <v>6.34</v>
      </c>
      <c r="T622">
        <v>33.78</v>
      </c>
      <c r="U622">
        <v>0.7</v>
      </c>
      <c r="V622">
        <f t="shared" ref="V622:V625" si="375">(R622/1)/(Q622/12)</f>
        <v>1.6572417772648584</v>
      </c>
      <c r="W622">
        <f t="shared" ref="W622:W625" si="376">(T622/16)/(Q622/12)</f>
        <v>0.48730525100980954</v>
      </c>
      <c r="X622">
        <v>14.32</v>
      </c>
      <c r="Y622" s="3">
        <f t="shared" si="370"/>
        <v>21.795929999999998</v>
      </c>
      <c r="Z622">
        <v>55.42</v>
      </c>
      <c r="AA622">
        <v>7.1</v>
      </c>
      <c r="AB622">
        <v>8.08</v>
      </c>
      <c r="AC622">
        <v>28.7</v>
      </c>
      <c r="AD622">
        <v>0.67</v>
      </c>
      <c r="AE622">
        <f t="shared" si="344"/>
        <v>1.5373511367737278</v>
      </c>
      <c r="AF622">
        <f t="shared" si="345"/>
        <v>0.38839769036448935</v>
      </c>
      <c r="AG622" s="3">
        <v>16.010000000000002</v>
      </c>
      <c r="AH622">
        <f t="shared" si="371"/>
        <v>23.747810000000001</v>
      </c>
      <c r="AI622" s="3">
        <v>87.68</v>
      </c>
    </row>
    <row r="623" spans="1:38" x14ac:dyDescent="0.5">
      <c r="A623">
        <v>30</v>
      </c>
      <c r="B623" s="4">
        <v>240</v>
      </c>
      <c r="C623">
        <v>0.1</v>
      </c>
      <c r="D623">
        <v>300</v>
      </c>
      <c r="E623">
        <v>1000</v>
      </c>
      <c r="F623">
        <v>300</v>
      </c>
      <c r="G623" s="3">
        <f t="shared" si="372"/>
        <v>1</v>
      </c>
      <c r="O623">
        <v>74.55</v>
      </c>
      <c r="P623" s="3">
        <v>11.13</v>
      </c>
      <c r="Q623">
        <v>51.99</v>
      </c>
      <c r="R623">
        <v>7.18</v>
      </c>
      <c r="S623">
        <v>6.34</v>
      </c>
      <c r="T623">
        <v>33.78</v>
      </c>
      <c r="U623">
        <v>0.7</v>
      </c>
      <c r="V623">
        <f t="shared" si="375"/>
        <v>1.6572417772648584</v>
      </c>
      <c r="W623">
        <f t="shared" si="376"/>
        <v>0.48730525100980954</v>
      </c>
      <c r="X623">
        <v>14.32</v>
      </c>
      <c r="Y623" s="3">
        <f t="shared" si="370"/>
        <v>21.795929999999998</v>
      </c>
      <c r="Z623">
        <v>57.4</v>
      </c>
      <c r="AA623">
        <v>7</v>
      </c>
      <c r="AB623">
        <v>8.0299999999999994</v>
      </c>
      <c r="AC623">
        <v>26.79</v>
      </c>
      <c r="AD623">
        <v>0.67</v>
      </c>
      <c r="AE623">
        <f t="shared" si="344"/>
        <v>1.4634146341463414</v>
      </c>
      <c r="AF623">
        <f t="shared" si="345"/>
        <v>0.35004355400696863</v>
      </c>
      <c r="AG623" s="3">
        <v>20.61</v>
      </c>
      <c r="AH623">
        <f t="shared" si="371"/>
        <v>24.615185</v>
      </c>
      <c r="AI623" s="3">
        <v>64.38</v>
      </c>
    </row>
    <row r="624" spans="1:38" x14ac:dyDescent="0.5">
      <c r="A624">
        <v>30</v>
      </c>
      <c r="B624" s="4">
        <v>270</v>
      </c>
      <c r="C624">
        <v>0.1</v>
      </c>
      <c r="D624">
        <v>300</v>
      </c>
      <c r="E624">
        <v>1000</v>
      </c>
      <c r="F624">
        <v>300</v>
      </c>
      <c r="G624" s="3">
        <f t="shared" si="372"/>
        <v>1</v>
      </c>
      <c r="O624">
        <v>74.55</v>
      </c>
      <c r="P624" s="3">
        <v>11.13</v>
      </c>
      <c r="Q624">
        <v>51.99</v>
      </c>
      <c r="R624">
        <v>7.18</v>
      </c>
      <c r="S624">
        <v>6.34</v>
      </c>
      <c r="T624">
        <v>33.78</v>
      </c>
      <c r="U624">
        <v>0.7</v>
      </c>
      <c r="V624">
        <f t="shared" si="375"/>
        <v>1.6572417772648584</v>
      </c>
      <c r="W624">
        <f t="shared" si="376"/>
        <v>0.48730525100980954</v>
      </c>
      <c r="X624">
        <v>14.32</v>
      </c>
      <c r="Y624" s="3">
        <f t="shared" si="370"/>
        <v>21.795929999999998</v>
      </c>
      <c r="Z624">
        <v>59.87</v>
      </c>
      <c r="AA624">
        <v>6.8</v>
      </c>
      <c r="AB624">
        <v>6.3</v>
      </c>
      <c r="AC624">
        <v>26.39</v>
      </c>
      <c r="AD624">
        <v>0.64</v>
      </c>
      <c r="AE624">
        <f t="shared" si="344"/>
        <v>1.3629530649741106</v>
      </c>
      <c r="AF624">
        <f t="shared" si="345"/>
        <v>0.33059128110906966</v>
      </c>
      <c r="AG624" s="3">
        <v>26.66</v>
      </c>
      <c r="AH624">
        <f t="shared" si="371"/>
        <v>25.235845000000001</v>
      </c>
      <c r="AI624" s="3">
        <v>45.98</v>
      </c>
    </row>
    <row r="625" spans="1:38" x14ac:dyDescent="0.5">
      <c r="A625">
        <v>60</v>
      </c>
      <c r="B625" s="4">
        <v>210</v>
      </c>
      <c r="C625">
        <v>0.1</v>
      </c>
      <c r="D625">
        <v>10</v>
      </c>
      <c r="E625">
        <v>250</v>
      </c>
      <c r="F625">
        <v>100</v>
      </c>
      <c r="G625" s="3">
        <f t="shared" si="372"/>
        <v>10</v>
      </c>
      <c r="O625">
        <v>83.3</v>
      </c>
      <c r="P625" s="3">
        <v>15.57</v>
      </c>
      <c r="Q625">
        <v>49.86</v>
      </c>
      <c r="R625">
        <v>6.48</v>
      </c>
      <c r="S625">
        <v>0.27</v>
      </c>
      <c r="T625">
        <v>42.15</v>
      </c>
      <c r="U625">
        <v>0.11</v>
      </c>
      <c r="V625">
        <f t="shared" si="375"/>
        <v>1.5595667870036101</v>
      </c>
      <c r="W625">
        <f t="shared" si="376"/>
        <v>0.63402527075812265</v>
      </c>
      <c r="X625">
        <v>1.1299999999999999</v>
      </c>
      <c r="Y625" s="3">
        <f t="shared" si="370"/>
        <v>18.582345</v>
      </c>
      <c r="Z625">
        <v>51.36</v>
      </c>
      <c r="AA625">
        <v>6.29</v>
      </c>
      <c r="AB625">
        <v>0.2</v>
      </c>
      <c r="AC625">
        <v>41.83</v>
      </c>
      <c r="AD625">
        <v>0</v>
      </c>
      <c r="AE625">
        <f t="shared" si="344"/>
        <v>1.469626168224299</v>
      </c>
      <c r="AF625">
        <f t="shared" si="345"/>
        <v>0.61083528037383172</v>
      </c>
      <c r="AG625" s="3">
        <v>0.32</v>
      </c>
      <c r="AH625">
        <f t="shared" si="371"/>
        <v>18.875145</v>
      </c>
      <c r="AI625" s="3">
        <v>68</v>
      </c>
      <c r="AJ625" s="2" t="s">
        <v>163</v>
      </c>
      <c r="AK625" t="s">
        <v>164</v>
      </c>
      <c r="AL625">
        <v>71</v>
      </c>
    </row>
    <row r="626" spans="1:38" x14ac:dyDescent="0.5">
      <c r="A626">
        <v>60</v>
      </c>
      <c r="B626" s="4">
        <v>240</v>
      </c>
      <c r="C626">
        <v>0.1</v>
      </c>
      <c r="D626">
        <v>10</v>
      </c>
      <c r="E626">
        <v>250</v>
      </c>
      <c r="F626">
        <v>100</v>
      </c>
      <c r="G626" s="3">
        <f t="shared" ref="G626:G628" si="377">F626/D626</f>
        <v>10</v>
      </c>
      <c r="O626">
        <v>83.3</v>
      </c>
      <c r="P626" s="3">
        <v>15.57</v>
      </c>
      <c r="Q626">
        <v>49.86</v>
      </c>
      <c r="R626">
        <v>6.48</v>
      </c>
      <c r="S626">
        <v>0.27</v>
      </c>
      <c r="T626">
        <v>42.15</v>
      </c>
      <c r="U626">
        <v>0.11</v>
      </c>
      <c r="V626">
        <f t="shared" ref="V626:V628" si="378">(R626/1)/(Q626/12)</f>
        <v>1.5595667870036101</v>
      </c>
      <c r="W626">
        <f t="shared" ref="W626:W628" si="379">(T626/16)/(Q626/12)</f>
        <v>0.63402527075812265</v>
      </c>
      <c r="X626">
        <v>1.1299999999999999</v>
      </c>
      <c r="Y626" s="3">
        <f t="shared" ref="Y626:Y627" si="380">(0.338*Q626)+1.428*(R626-(T626/8))</f>
        <v>18.582345</v>
      </c>
      <c r="Z626">
        <v>53.53</v>
      </c>
      <c r="AA626">
        <v>6.11</v>
      </c>
      <c r="AB626">
        <v>0.18</v>
      </c>
      <c r="AC626">
        <v>39.99</v>
      </c>
      <c r="AD626">
        <v>0</v>
      </c>
      <c r="AE626">
        <f t="shared" si="344"/>
        <v>1.3696992340743508</v>
      </c>
      <c r="AF626">
        <f t="shared" si="345"/>
        <v>0.56029329348029144</v>
      </c>
      <c r="AG626" s="3">
        <v>0.19</v>
      </c>
      <c r="AH626">
        <f t="shared" si="371"/>
        <v>19.680005000000001</v>
      </c>
      <c r="AI626" s="3">
        <v>57</v>
      </c>
    </row>
    <row r="627" spans="1:38" x14ac:dyDescent="0.5">
      <c r="A627">
        <v>60</v>
      </c>
      <c r="B627" s="4">
        <v>270</v>
      </c>
      <c r="C627">
        <v>0.1</v>
      </c>
      <c r="D627">
        <v>10</v>
      </c>
      <c r="E627">
        <v>250</v>
      </c>
      <c r="F627">
        <v>100</v>
      </c>
      <c r="G627" s="3">
        <f t="shared" si="377"/>
        <v>10</v>
      </c>
      <c r="O627">
        <v>83.3</v>
      </c>
      <c r="P627" s="3">
        <v>15.57</v>
      </c>
      <c r="Q627">
        <v>49.86</v>
      </c>
      <c r="R627">
        <v>6.48</v>
      </c>
      <c r="S627">
        <v>0.27</v>
      </c>
      <c r="T627">
        <v>42.15</v>
      </c>
      <c r="U627">
        <v>0.11</v>
      </c>
      <c r="V627">
        <f t="shared" si="378"/>
        <v>1.5595667870036101</v>
      </c>
      <c r="W627">
        <f t="shared" si="379"/>
        <v>0.63402527075812265</v>
      </c>
      <c r="X627">
        <v>1.1299999999999999</v>
      </c>
      <c r="Y627" s="3">
        <f t="shared" si="380"/>
        <v>18.582345</v>
      </c>
      <c r="Z627">
        <v>66.87</v>
      </c>
      <c r="AA627">
        <v>5.8</v>
      </c>
      <c r="AB627">
        <v>0.14000000000000001</v>
      </c>
      <c r="AC627">
        <v>27.03</v>
      </c>
      <c r="AD627">
        <v>0</v>
      </c>
      <c r="AE627">
        <f t="shared" si="344"/>
        <v>1.0408254822790488</v>
      </c>
      <c r="AF627">
        <f t="shared" si="345"/>
        <v>0.3031628532974428</v>
      </c>
      <c r="AG627" s="3">
        <v>0.16</v>
      </c>
      <c r="AH627">
        <f>(0.338*Z627)+1.428*(AA627-(AC627/8))</f>
        <v>26.059605000000001</v>
      </c>
      <c r="AI627" s="3">
        <v>39</v>
      </c>
    </row>
    <row r="628" spans="1:38" x14ac:dyDescent="0.5">
      <c r="A628">
        <v>120</v>
      </c>
      <c r="B628" s="4">
        <v>180</v>
      </c>
      <c r="C628">
        <v>0.1</v>
      </c>
      <c r="D628">
        <v>2</v>
      </c>
      <c r="E628">
        <v>30</v>
      </c>
      <c r="F628">
        <v>20</v>
      </c>
      <c r="G628" s="3">
        <f t="shared" si="377"/>
        <v>10</v>
      </c>
      <c r="N628">
        <v>6.65</v>
      </c>
      <c r="O628">
        <v>75.11</v>
      </c>
      <c r="P628" s="3">
        <v>15.19</v>
      </c>
      <c r="Q628">
        <v>46.22</v>
      </c>
      <c r="R628">
        <v>6.06</v>
      </c>
      <c r="S628">
        <v>2.37</v>
      </c>
      <c r="T628">
        <v>43.38</v>
      </c>
      <c r="U628">
        <v>0.56999999999999995</v>
      </c>
      <c r="V628">
        <f t="shared" si="378"/>
        <v>1.5733448723496322</v>
      </c>
      <c r="W628">
        <f t="shared" si="379"/>
        <v>0.70391605365642584</v>
      </c>
      <c r="X628">
        <v>3.05</v>
      </c>
      <c r="Y628" s="3">
        <v>18.78</v>
      </c>
      <c r="Z628">
        <v>46.45</v>
      </c>
      <c r="AA628">
        <v>5.84</v>
      </c>
      <c r="AB628">
        <v>2.11</v>
      </c>
      <c r="AC628">
        <v>42.06</v>
      </c>
      <c r="AD628">
        <v>0.46</v>
      </c>
      <c r="AE628">
        <f t="shared" si="344"/>
        <v>1.5087190527448868</v>
      </c>
      <c r="AF628">
        <f t="shared" si="345"/>
        <v>0.67911733046286327</v>
      </c>
      <c r="AG628" s="3">
        <v>3.16</v>
      </c>
      <c r="AH628">
        <v>18.72</v>
      </c>
      <c r="AI628" s="3">
        <v>80</v>
      </c>
      <c r="AJ628" s="2" t="s">
        <v>165</v>
      </c>
      <c r="AK628" t="s">
        <v>166</v>
      </c>
      <c r="AL628">
        <v>72</v>
      </c>
    </row>
    <row r="629" spans="1:38" x14ac:dyDescent="0.5">
      <c r="A629">
        <v>120</v>
      </c>
      <c r="B629" s="4">
        <v>200</v>
      </c>
      <c r="C629">
        <v>0.1</v>
      </c>
      <c r="D629">
        <v>2</v>
      </c>
      <c r="E629">
        <v>30</v>
      </c>
      <c r="F629">
        <v>20</v>
      </c>
      <c r="G629" s="3">
        <f t="shared" ref="G629:G637" si="381">F629/D629</f>
        <v>10</v>
      </c>
      <c r="N629">
        <v>6.65</v>
      </c>
      <c r="O629">
        <v>75.11</v>
      </c>
      <c r="P629" s="3">
        <v>15.19</v>
      </c>
      <c r="Q629">
        <v>46.22</v>
      </c>
      <c r="R629">
        <v>6.06</v>
      </c>
      <c r="S629">
        <v>2.37</v>
      </c>
      <c r="T629">
        <v>43.38</v>
      </c>
      <c r="U629">
        <v>0.56999999999999995</v>
      </c>
      <c r="V629">
        <f t="shared" ref="V629:V637" si="382">(R629/1)/(Q629/12)</f>
        <v>1.5733448723496322</v>
      </c>
      <c r="W629">
        <f t="shared" ref="W629:W637" si="383">(T629/16)/(Q629/12)</f>
        <v>0.70391605365642584</v>
      </c>
      <c r="X629">
        <v>3.05</v>
      </c>
      <c r="Y629" s="3">
        <v>18.78</v>
      </c>
      <c r="Z629">
        <v>47.22</v>
      </c>
      <c r="AA629">
        <v>5.77</v>
      </c>
      <c r="AB629">
        <v>2.06</v>
      </c>
      <c r="AC629">
        <v>40.28</v>
      </c>
      <c r="AD629">
        <v>0.45</v>
      </c>
      <c r="AE629">
        <f t="shared" si="344"/>
        <v>1.4663278271918678</v>
      </c>
      <c r="AF629">
        <f t="shared" si="345"/>
        <v>0.63977128335451083</v>
      </c>
      <c r="AG629" s="3">
        <v>3.79</v>
      </c>
      <c r="AH629">
        <v>19.07</v>
      </c>
      <c r="AI629" s="3">
        <v>67</v>
      </c>
    </row>
    <row r="630" spans="1:38" x14ac:dyDescent="0.5">
      <c r="A630">
        <v>120</v>
      </c>
      <c r="B630" s="4">
        <v>220</v>
      </c>
      <c r="C630">
        <v>0.1</v>
      </c>
      <c r="D630">
        <v>2</v>
      </c>
      <c r="E630">
        <v>30</v>
      </c>
      <c r="F630">
        <v>20</v>
      </c>
      <c r="G630" s="3">
        <f t="shared" si="381"/>
        <v>10</v>
      </c>
      <c r="N630">
        <v>6.65</v>
      </c>
      <c r="O630">
        <v>75.11</v>
      </c>
      <c r="P630" s="3">
        <v>15.19</v>
      </c>
      <c r="Q630">
        <v>46.22</v>
      </c>
      <c r="R630">
        <v>6.06</v>
      </c>
      <c r="S630">
        <v>2.37</v>
      </c>
      <c r="T630">
        <v>43.38</v>
      </c>
      <c r="U630">
        <v>0.56999999999999995</v>
      </c>
      <c r="V630">
        <f t="shared" si="382"/>
        <v>1.5733448723496322</v>
      </c>
      <c r="W630">
        <f t="shared" si="383"/>
        <v>0.70391605365642584</v>
      </c>
      <c r="X630">
        <v>3.05</v>
      </c>
      <c r="Y630" s="3">
        <v>18.78</v>
      </c>
      <c r="Z630">
        <v>48.5</v>
      </c>
      <c r="AA630">
        <v>5.7</v>
      </c>
      <c r="AB630">
        <v>2.21</v>
      </c>
      <c r="AC630">
        <v>38.24</v>
      </c>
      <c r="AD630">
        <v>0.42</v>
      </c>
      <c r="AE630">
        <f t="shared" si="344"/>
        <v>1.4103092783505153</v>
      </c>
      <c r="AF630">
        <f t="shared" si="345"/>
        <v>0.59134020618556704</v>
      </c>
      <c r="AG630" s="3">
        <v>4.05</v>
      </c>
      <c r="AH630">
        <v>19.649999999999999</v>
      </c>
      <c r="AI630" s="3">
        <v>61</v>
      </c>
    </row>
    <row r="631" spans="1:38" x14ac:dyDescent="0.5">
      <c r="A631">
        <v>120</v>
      </c>
      <c r="B631" s="4">
        <v>240</v>
      </c>
      <c r="C631">
        <v>0.1</v>
      </c>
      <c r="D631">
        <v>2</v>
      </c>
      <c r="E631">
        <v>30</v>
      </c>
      <c r="F631">
        <v>20</v>
      </c>
      <c r="G631" s="3">
        <f t="shared" si="381"/>
        <v>10</v>
      </c>
      <c r="N631">
        <v>6.65</v>
      </c>
      <c r="O631">
        <v>75.11</v>
      </c>
      <c r="P631" s="3">
        <v>15.19</v>
      </c>
      <c r="Q631">
        <v>46.22</v>
      </c>
      <c r="R631">
        <v>6.06</v>
      </c>
      <c r="S631">
        <v>2.37</v>
      </c>
      <c r="T631">
        <v>43.38</v>
      </c>
      <c r="U631">
        <v>0.56999999999999995</v>
      </c>
      <c r="V631">
        <f t="shared" si="382"/>
        <v>1.5733448723496322</v>
      </c>
      <c r="W631">
        <f t="shared" si="383"/>
        <v>0.70391605365642584</v>
      </c>
      <c r="X631">
        <v>3.05</v>
      </c>
      <c r="Y631" s="3">
        <v>18.78</v>
      </c>
      <c r="Z631">
        <v>51.98</v>
      </c>
      <c r="AA631">
        <v>5.81</v>
      </c>
      <c r="AB631">
        <v>2.34</v>
      </c>
      <c r="AC631">
        <v>36.909999999999997</v>
      </c>
      <c r="AD631">
        <v>0.41</v>
      </c>
      <c r="AE631">
        <f t="shared" si="344"/>
        <v>1.3412851096575606</v>
      </c>
      <c r="AF631">
        <f t="shared" si="345"/>
        <v>0.53256060023085805</v>
      </c>
      <c r="AG631" s="3">
        <v>3.95</v>
      </c>
      <c r="AH631">
        <v>21.12</v>
      </c>
      <c r="AI631" s="3">
        <v>63</v>
      </c>
    </row>
    <row r="632" spans="1:38" x14ac:dyDescent="0.5">
      <c r="A632">
        <v>120</v>
      </c>
      <c r="B632" s="4">
        <v>260</v>
      </c>
      <c r="C632">
        <v>0.1</v>
      </c>
      <c r="D632">
        <v>2</v>
      </c>
      <c r="E632">
        <v>30</v>
      </c>
      <c r="F632">
        <v>20</v>
      </c>
      <c r="G632" s="3">
        <f t="shared" si="381"/>
        <v>10</v>
      </c>
      <c r="N632">
        <v>6.65</v>
      </c>
      <c r="O632">
        <v>75.11</v>
      </c>
      <c r="P632" s="3">
        <v>15.19</v>
      </c>
      <c r="Q632">
        <v>46.22</v>
      </c>
      <c r="R632">
        <v>6.06</v>
      </c>
      <c r="S632">
        <v>2.37</v>
      </c>
      <c r="T632">
        <v>43.38</v>
      </c>
      <c r="U632">
        <v>0.56999999999999995</v>
      </c>
      <c r="V632">
        <f t="shared" si="382"/>
        <v>1.5733448723496322</v>
      </c>
      <c r="W632">
        <f t="shared" si="383"/>
        <v>0.70391605365642584</v>
      </c>
      <c r="X632">
        <v>3.05</v>
      </c>
      <c r="Y632" s="3">
        <v>18.78</v>
      </c>
      <c r="Z632">
        <v>52.66</v>
      </c>
      <c r="AA632">
        <v>5.64</v>
      </c>
      <c r="AB632">
        <v>2.38</v>
      </c>
      <c r="AC632">
        <v>34.15</v>
      </c>
      <c r="AD632">
        <v>0.38</v>
      </c>
      <c r="AE632">
        <f t="shared" si="344"/>
        <v>1.2852259779718953</v>
      </c>
      <c r="AF632">
        <f t="shared" si="345"/>
        <v>0.48637485757690851</v>
      </c>
      <c r="AG632" s="3">
        <v>4.57</v>
      </c>
      <c r="AH632">
        <v>21.42</v>
      </c>
      <c r="AI632" s="3">
        <v>59</v>
      </c>
    </row>
    <row r="633" spans="1:38" x14ac:dyDescent="0.5">
      <c r="A633">
        <v>60</v>
      </c>
      <c r="B633" s="4">
        <v>260</v>
      </c>
      <c r="C633">
        <v>0.1</v>
      </c>
      <c r="D633">
        <v>2</v>
      </c>
      <c r="E633">
        <v>30</v>
      </c>
      <c r="F633">
        <v>20</v>
      </c>
      <c r="G633" s="3">
        <f t="shared" si="381"/>
        <v>10</v>
      </c>
      <c r="N633">
        <v>6.65</v>
      </c>
      <c r="O633">
        <v>75.11</v>
      </c>
      <c r="P633" s="3">
        <v>15.19</v>
      </c>
      <c r="Q633">
        <v>46.22</v>
      </c>
      <c r="R633">
        <v>6.06</v>
      </c>
      <c r="S633">
        <v>2.37</v>
      </c>
      <c r="T633">
        <v>43.38</v>
      </c>
      <c r="U633">
        <v>0.56999999999999995</v>
      </c>
      <c r="V633">
        <f t="shared" si="382"/>
        <v>1.5733448723496322</v>
      </c>
      <c r="W633">
        <f t="shared" si="383"/>
        <v>0.70391605365642584</v>
      </c>
      <c r="X633">
        <v>3.05</v>
      </c>
      <c r="Y633" s="3">
        <v>18.78</v>
      </c>
      <c r="Z633">
        <v>47.39</v>
      </c>
      <c r="AA633">
        <v>5.72</v>
      </c>
      <c r="AB633">
        <v>2.16</v>
      </c>
      <c r="AC633">
        <v>38.840000000000003</v>
      </c>
      <c r="AD633">
        <v>0.31</v>
      </c>
      <c r="AE633">
        <f t="shared" si="344"/>
        <v>1.4484068368854188</v>
      </c>
      <c r="AF633">
        <f t="shared" si="345"/>
        <v>0.61468664275163543</v>
      </c>
      <c r="AG633" s="3">
        <v>2.87</v>
      </c>
      <c r="AH633">
        <v>19.23</v>
      </c>
      <c r="AI633" s="3">
        <v>62</v>
      </c>
    </row>
    <row r="634" spans="1:38" x14ac:dyDescent="0.5">
      <c r="A634">
        <v>240</v>
      </c>
      <c r="B634" s="4">
        <v>260</v>
      </c>
      <c r="C634">
        <v>0.1</v>
      </c>
      <c r="D634">
        <v>2</v>
      </c>
      <c r="E634">
        <v>30</v>
      </c>
      <c r="F634">
        <v>20</v>
      </c>
      <c r="G634" s="3">
        <f t="shared" si="381"/>
        <v>10</v>
      </c>
      <c r="N634">
        <v>6.65</v>
      </c>
      <c r="O634">
        <v>75.11</v>
      </c>
      <c r="P634" s="3">
        <v>15.19</v>
      </c>
      <c r="Q634">
        <v>46.22</v>
      </c>
      <c r="R634">
        <v>6.06</v>
      </c>
      <c r="S634">
        <v>2.37</v>
      </c>
      <c r="T634">
        <v>43.38</v>
      </c>
      <c r="U634">
        <v>0.56999999999999995</v>
      </c>
      <c r="V634">
        <f t="shared" si="382"/>
        <v>1.5733448723496322</v>
      </c>
      <c r="W634">
        <f t="shared" si="383"/>
        <v>0.70391605365642584</v>
      </c>
      <c r="X634">
        <v>3.05</v>
      </c>
      <c r="Y634" s="3">
        <v>18.78</v>
      </c>
      <c r="Z634">
        <v>55.22</v>
      </c>
      <c r="AA634">
        <v>5.27</v>
      </c>
      <c r="AB634">
        <v>3.07</v>
      </c>
      <c r="AC634">
        <v>27.62</v>
      </c>
      <c r="AD634">
        <v>0.35</v>
      </c>
      <c r="AE634">
        <f t="shared" si="344"/>
        <v>1.1452372328866351</v>
      </c>
      <c r="AF634">
        <f t="shared" si="345"/>
        <v>0.37513582035494386</v>
      </c>
      <c r="AG634" s="3">
        <v>6.42</v>
      </c>
      <c r="AH634">
        <v>22.52</v>
      </c>
      <c r="AI634" s="3">
        <v>53</v>
      </c>
    </row>
    <row r="635" spans="1:38" x14ac:dyDescent="0.5">
      <c r="A635">
        <v>320</v>
      </c>
      <c r="B635" s="4">
        <v>260</v>
      </c>
      <c r="C635">
        <v>0.1</v>
      </c>
      <c r="D635">
        <v>2</v>
      </c>
      <c r="E635">
        <v>30</v>
      </c>
      <c r="F635">
        <v>20</v>
      </c>
      <c r="G635" s="3">
        <f t="shared" si="381"/>
        <v>10</v>
      </c>
      <c r="N635">
        <v>6.65</v>
      </c>
      <c r="O635">
        <v>75.11</v>
      </c>
      <c r="P635" s="3">
        <v>15.19</v>
      </c>
      <c r="Q635">
        <v>46.22</v>
      </c>
      <c r="R635">
        <v>6.06</v>
      </c>
      <c r="S635">
        <v>2.37</v>
      </c>
      <c r="T635">
        <v>43.38</v>
      </c>
      <c r="U635">
        <v>0.56999999999999995</v>
      </c>
      <c r="V635">
        <f t="shared" si="382"/>
        <v>1.5733448723496322</v>
      </c>
      <c r="W635">
        <f t="shared" si="383"/>
        <v>0.70391605365642584</v>
      </c>
      <c r="X635">
        <v>3.05</v>
      </c>
      <c r="Y635" s="3">
        <v>18.78</v>
      </c>
      <c r="Z635">
        <v>63.03</v>
      </c>
      <c r="AA635">
        <v>5.2</v>
      </c>
      <c r="AB635">
        <v>4.24</v>
      </c>
      <c r="AC635">
        <v>18.510000000000002</v>
      </c>
      <c r="AD635">
        <v>0.37</v>
      </c>
      <c r="AE635">
        <f t="shared" si="344"/>
        <v>0.99000475963826751</v>
      </c>
      <c r="AF635">
        <f t="shared" si="345"/>
        <v>0.22025226082817706</v>
      </c>
      <c r="AG635" s="3">
        <v>7.48</v>
      </c>
      <c r="AH635">
        <v>26.09</v>
      </c>
      <c r="AI635" s="3">
        <v>43</v>
      </c>
    </row>
    <row r="636" spans="1:38" x14ac:dyDescent="0.5">
      <c r="A636">
        <v>720</v>
      </c>
      <c r="B636" s="4">
        <v>260</v>
      </c>
      <c r="C636">
        <v>0.1</v>
      </c>
      <c r="D636">
        <v>2</v>
      </c>
      <c r="E636">
        <v>30</v>
      </c>
      <c r="F636">
        <v>20</v>
      </c>
      <c r="G636" s="3">
        <f t="shared" si="381"/>
        <v>10</v>
      </c>
      <c r="N636">
        <v>6.65</v>
      </c>
      <c r="O636">
        <v>75.11</v>
      </c>
      <c r="P636" s="3">
        <v>15.19</v>
      </c>
      <c r="Q636">
        <v>46.22</v>
      </c>
      <c r="R636">
        <v>6.06</v>
      </c>
      <c r="S636">
        <v>2.37</v>
      </c>
      <c r="T636">
        <v>43.38</v>
      </c>
      <c r="U636">
        <v>0.56999999999999995</v>
      </c>
      <c r="V636">
        <f t="shared" si="382"/>
        <v>1.5733448723496322</v>
      </c>
      <c r="W636">
        <f t="shared" si="383"/>
        <v>0.70391605365642584</v>
      </c>
      <c r="X636">
        <v>3.05</v>
      </c>
      <c r="Y636" s="3">
        <v>18.78</v>
      </c>
      <c r="Z636">
        <v>65.239999999999995</v>
      </c>
      <c r="AA636">
        <v>5.28</v>
      </c>
      <c r="AB636">
        <v>4.46</v>
      </c>
      <c r="AC636">
        <v>16.22</v>
      </c>
      <c r="AD636">
        <v>0.38</v>
      </c>
      <c r="AE636">
        <f t="shared" si="344"/>
        <v>0.97118332311465361</v>
      </c>
      <c r="AF636">
        <f t="shared" si="345"/>
        <v>0.18646535867565911</v>
      </c>
      <c r="AG636" s="3">
        <v>7.49</v>
      </c>
      <c r="AH636">
        <v>27.18</v>
      </c>
      <c r="AI636" s="3">
        <v>41</v>
      </c>
    </row>
    <row r="637" spans="1:38" x14ac:dyDescent="0.5">
      <c r="A637">
        <v>60</v>
      </c>
      <c r="B637" s="4">
        <v>200</v>
      </c>
      <c r="C637">
        <v>0.1</v>
      </c>
      <c r="D637">
        <v>30</v>
      </c>
      <c r="E637">
        <v>700</v>
      </c>
      <c r="F637">
        <v>270</v>
      </c>
      <c r="G637" s="3">
        <f t="shared" si="381"/>
        <v>9</v>
      </c>
      <c r="O637">
        <v>67.95</v>
      </c>
      <c r="P637" s="3">
        <v>1.56</v>
      </c>
      <c r="Q637">
        <v>33.299999999999997</v>
      </c>
      <c r="R637">
        <v>4.7</v>
      </c>
      <c r="S637">
        <v>5.15</v>
      </c>
      <c r="T637">
        <v>26.37</v>
      </c>
      <c r="U637">
        <v>0</v>
      </c>
      <c r="V637">
        <f t="shared" si="382"/>
        <v>1.6936936936936937</v>
      </c>
      <c r="W637">
        <f t="shared" si="383"/>
        <v>0.59391891891891901</v>
      </c>
      <c r="X637">
        <v>30.48</v>
      </c>
      <c r="Y637" s="3">
        <v>13.78</v>
      </c>
      <c r="Z637">
        <v>33</v>
      </c>
      <c r="AA637">
        <v>4.3600000000000003</v>
      </c>
      <c r="AB637">
        <v>4.79</v>
      </c>
      <c r="AC637">
        <v>17.350000000000001</v>
      </c>
      <c r="AD637">
        <v>0</v>
      </c>
      <c r="AE637">
        <f t="shared" si="344"/>
        <v>1.5854545454545457</v>
      </c>
      <c r="AF637">
        <f t="shared" si="345"/>
        <v>0.39431818181818185</v>
      </c>
      <c r="AG637" s="3">
        <v>40.5</v>
      </c>
      <c r="AH637">
        <v>13.99</v>
      </c>
      <c r="AI637" s="3">
        <v>55.2</v>
      </c>
      <c r="AJ637" s="2" t="s">
        <v>167</v>
      </c>
      <c r="AK637" t="s">
        <v>168</v>
      </c>
      <c r="AL637">
        <v>73</v>
      </c>
    </row>
    <row r="638" spans="1:38" x14ac:dyDescent="0.5">
      <c r="A638">
        <v>180</v>
      </c>
      <c r="B638" s="4">
        <v>200</v>
      </c>
      <c r="C638">
        <v>0.1</v>
      </c>
      <c r="D638">
        <v>30</v>
      </c>
      <c r="E638">
        <v>700</v>
      </c>
      <c r="F638">
        <v>270</v>
      </c>
      <c r="G638" s="3">
        <f t="shared" ref="G638:G641" si="384">F638/D638</f>
        <v>9</v>
      </c>
      <c r="O638">
        <v>67.95</v>
      </c>
      <c r="P638" s="3">
        <v>1.56</v>
      </c>
      <c r="Q638">
        <v>33.299999999999997</v>
      </c>
      <c r="R638">
        <v>4.7</v>
      </c>
      <c r="S638">
        <v>5.15</v>
      </c>
      <c r="T638">
        <v>26.37</v>
      </c>
      <c r="U638">
        <v>0</v>
      </c>
      <c r="V638">
        <f t="shared" ref="V638:V641" si="385">(R638/1)/(Q638/12)</f>
        <v>1.6936936936936937</v>
      </c>
      <c r="W638">
        <f t="shared" ref="W638:W641" si="386">(T638/16)/(Q638/12)</f>
        <v>0.59391891891891901</v>
      </c>
      <c r="X638">
        <v>30.48</v>
      </c>
      <c r="Y638" s="3">
        <v>13.78</v>
      </c>
      <c r="Z638">
        <v>32.700000000000003</v>
      </c>
      <c r="AA638">
        <v>3.7</v>
      </c>
      <c r="AB638">
        <v>4.12</v>
      </c>
      <c r="AC638">
        <v>16.23</v>
      </c>
      <c r="AD638">
        <v>0</v>
      </c>
      <c r="AE638">
        <f t="shared" si="344"/>
        <v>1.3577981651376148</v>
      </c>
      <c r="AF638">
        <f t="shared" si="345"/>
        <v>0.37224770642201832</v>
      </c>
      <c r="AG638" s="3">
        <v>43.25</v>
      </c>
      <c r="AH638">
        <v>13.17</v>
      </c>
      <c r="AI638" s="3">
        <v>54.8</v>
      </c>
    </row>
    <row r="639" spans="1:38" x14ac:dyDescent="0.5">
      <c r="A639">
        <v>300</v>
      </c>
      <c r="B639" s="4">
        <v>200</v>
      </c>
      <c r="C639">
        <v>0.1</v>
      </c>
      <c r="D639">
        <v>30</v>
      </c>
      <c r="E639">
        <v>700</v>
      </c>
      <c r="F639">
        <v>270</v>
      </c>
      <c r="G639" s="3">
        <f t="shared" si="384"/>
        <v>9</v>
      </c>
      <c r="O639">
        <v>67.95</v>
      </c>
      <c r="P639" s="3">
        <v>1.56</v>
      </c>
      <c r="Q639">
        <v>33.299999999999997</v>
      </c>
      <c r="R639">
        <v>4.7</v>
      </c>
      <c r="S639">
        <v>5.15</v>
      </c>
      <c r="T639">
        <v>26.37</v>
      </c>
      <c r="U639">
        <v>0</v>
      </c>
      <c r="V639">
        <f t="shared" si="385"/>
        <v>1.6936936936936937</v>
      </c>
      <c r="W639">
        <f t="shared" si="386"/>
        <v>0.59391891891891901</v>
      </c>
      <c r="X639">
        <v>30.48</v>
      </c>
      <c r="Y639" s="3">
        <v>13.78</v>
      </c>
      <c r="Z639">
        <v>32.5</v>
      </c>
      <c r="AA639">
        <v>4</v>
      </c>
      <c r="AB639">
        <v>3.8</v>
      </c>
      <c r="AC639">
        <v>14.31</v>
      </c>
      <c r="AD639">
        <v>0</v>
      </c>
      <c r="AE639">
        <f t="shared" si="344"/>
        <v>1.4769230769230768</v>
      </c>
      <c r="AF639">
        <f t="shared" si="345"/>
        <v>0.33023076923076922</v>
      </c>
      <c r="AG639" s="3">
        <v>45.39</v>
      </c>
      <c r="AH639">
        <v>13.61</v>
      </c>
      <c r="AI639" s="3">
        <v>53.7</v>
      </c>
    </row>
    <row r="640" spans="1:38" x14ac:dyDescent="0.5">
      <c r="A640">
        <v>480</v>
      </c>
      <c r="B640" s="4">
        <v>200</v>
      </c>
      <c r="C640">
        <v>0.1</v>
      </c>
      <c r="D640">
        <v>30</v>
      </c>
      <c r="E640">
        <v>700</v>
      </c>
      <c r="F640">
        <v>270</v>
      </c>
      <c r="G640" s="3">
        <f t="shared" si="384"/>
        <v>9</v>
      </c>
      <c r="O640">
        <v>67.95</v>
      </c>
      <c r="P640" s="3">
        <v>1.56</v>
      </c>
      <c r="Q640">
        <v>33.299999999999997</v>
      </c>
      <c r="R640">
        <v>4.7</v>
      </c>
      <c r="S640">
        <v>5.15</v>
      </c>
      <c r="T640">
        <v>26.37</v>
      </c>
      <c r="U640">
        <v>0</v>
      </c>
      <c r="V640">
        <f t="shared" si="385"/>
        <v>1.6936936936936937</v>
      </c>
      <c r="W640">
        <f t="shared" si="386"/>
        <v>0.59391891891891901</v>
      </c>
      <c r="X640">
        <v>30.48</v>
      </c>
      <c r="Y640" s="3">
        <v>13.78</v>
      </c>
      <c r="Z640">
        <v>33</v>
      </c>
      <c r="AA640">
        <v>4</v>
      </c>
      <c r="AB640">
        <v>3.1</v>
      </c>
      <c r="AC640">
        <v>14.52</v>
      </c>
      <c r="AD640">
        <v>0</v>
      </c>
      <c r="AE640">
        <f t="shared" si="344"/>
        <v>1.4545454545454546</v>
      </c>
      <c r="AF640">
        <f t="shared" si="345"/>
        <v>0.33</v>
      </c>
      <c r="AG640" s="3">
        <v>44.38</v>
      </c>
      <c r="AH640">
        <v>13.68</v>
      </c>
      <c r="AI640" s="3">
        <v>47.9</v>
      </c>
    </row>
    <row r="641" spans="1:38" x14ac:dyDescent="0.5">
      <c r="A641">
        <v>180</v>
      </c>
      <c r="B641" s="4">
        <v>180</v>
      </c>
      <c r="C641">
        <v>0.1</v>
      </c>
      <c r="D641">
        <v>3</v>
      </c>
      <c r="E641">
        <v>50</v>
      </c>
      <c r="F641">
        <v>30</v>
      </c>
      <c r="G641" s="3">
        <f t="shared" si="384"/>
        <v>10</v>
      </c>
      <c r="O641">
        <v>79.7</v>
      </c>
      <c r="P641" s="3">
        <v>18.399999999999999</v>
      </c>
      <c r="Q641">
        <v>54.8</v>
      </c>
      <c r="R641">
        <v>6.3</v>
      </c>
      <c r="S641">
        <v>1.1000000000000001</v>
      </c>
      <c r="T641">
        <v>36</v>
      </c>
      <c r="U641">
        <v>0</v>
      </c>
      <c r="V641">
        <f t="shared" si="385"/>
        <v>1.3795620437956204</v>
      </c>
      <c r="W641">
        <f t="shared" si="386"/>
        <v>0.49270072992700731</v>
      </c>
      <c r="X641">
        <v>1.8</v>
      </c>
      <c r="Y641" s="3">
        <v>22.62</v>
      </c>
      <c r="Z641">
        <v>59.7</v>
      </c>
      <c r="AA641">
        <v>6.5</v>
      </c>
      <c r="AB641">
        <v>1.1000000000000001</v>
      </c>
      <c r="AC641">
        <v>30</v>
      </c>
      <c r="AD641">
        <v>0</v>
      </c>
      <c r="AE641">
        <f t="shared" si="344"/>
        <v>1.3065326633165828</v>
      </c>
      <c r="AF641">
        <f t="shared" si="345"/>
        <v>0.37688442211055273</v>
      </c>
      <c r="AG641" s="3">
        <v>2.7</v>
      </c>
      <c r="AH641">
        <v>26.32</v>
      </c>
      <c r="AI641" s="3">
        <v>81.7</v>
      </c>
      <c r="AJ641" s="2" t="s">
        <v>170</v>
      </c>
      <c r="AK641" t="s">
        <v>169</v>
      </c>
      <c r="AL641">
        <v>74</v>
      </c>
    </row>
    <row r="642" spans="1:38" x14ac:dyDescent="0.5">
      <c r="A642">
        <v>180</v>
      </c>
      <c r="B642" s="4">
        <v>220</v>
      </c>
      <c r="C642">
        <v>0.1</v>
      </c>
      <c r="D642">
        <v>3</v>
      </c>
      <c r="E642">
        <v>50</v>
      </c>
      <c r="F642">
        <v>30</v>
      </c>
      <c r="G642" s="3">
        <f t="shared" ref="G642:G648" si="387">F642/D642</f>
        <v>10</v>
      </c>
      <c r="O642">
        <v>79.7</v>
      </c>
      <c r="P642" s="3">
        <v>18.399999999999999</v>
      </c>
      <c r="Q642">
        <v>54.8</v>
      </c>
      <c r="R642">
        <v>6.3</v>
      </c>
      <c r="S642">
        <v>1.1000000000000001</v>
      </c>
      <c r="T642">
        <v>36</v>
      </c>
      <c r="U642">
        <v>0</v>
      </c>
      <c r="V642">
        <f t="shared" ref="V642:V644" si="388">(R642/1)/(Q642/12)</f>
        <v>1.3795620437956204</v>
      </c>
      <c r="W642">
        <f t="shared" ref="W642:W644" si="389">(T642/16)/(Q642/12)</f>
        <v>0.49270072992700731</v>
      </c>
      <c r="X642">
        <v>1.8</v>
      </c>
      <c r="Y642" s="3">
        <v>22.62</v>
      </c>
      <c r="Z642">
        <v>64.2</v>
      </c>
      <c r="AA642">
        <v>6.6</v>
      </c>
      <c r="AB642">
        <v>1.2</v>
      </c>
      <c r="AC642">
        <v>25.8</v>
      </c>
      <c r="AD642">
        <v>0</v>
      </c>
      <c r="AE642">
        <f t="shared" si="344"/>
        <v>1.233644859813084</v>
      </c>
      <c r="AF642">
        <f t="shared" si="345"/>
        <v>0.30140186915887851</v>
      </c>
      <c r="AG642" s="3">
        <v>2.2000000000000002</v>
      </c>
      <c r="AH642">
        <v>28.16</v>
      </c>
      <c r="AI642" s="3">
        <v>70.8</v>
      </c>
    </row>
    <row r="643" spans="1:38" x14ac:dyDescent="0.5">
      <c r="A643">
        <v>180</v>
      </c>
      <c r="B643" s="4">
        <v>250</v>
      </c>
      <c r="C643">
        <v>0.1</v>
      </c>
      <c r="D643">
        <v>3</v>
      </c>
      <c r="E643">
        <v>50</v>
      </c>
      <c r="F643">
        <v>30</v>
      </c>
      <c r="G643" s="3">
        <f t="shared" si="387"/>
        <v>10</v>
      </c>
      <c r="O643">
        <v>79.7</v>
      </c>
      <c r="P643" s="3">
        <v>18.399999999999999</v>
      </c>
      <c r="Q643">
        <v>54.8</v>
      </c>
      <c r="R643">
        <v>6.3</v>
      </c>
      <c r="S643">
        <v>1.1000000000000001</v>
      </c>
      <c r="T643">
        <v>36</v>
      </c>
      <c r="U643">
        <v>0</v>
      </c>
      <c r="V643">
        <f t="shared" si="388"/>
        <v>1.3795620437956204</v>
      </c>
      <c r="W643">
        <f t="shared" si="389"/>
        <v>0.49270072992700731</v>
      </c>
      <c r="X643">
        <v>1.8</v>
      </c>
      <c r="Y643" s="3">
        <v>22.62</v>
      </c>
      <c r="Z643">
        <v>71.2</v>
      </c>
      <c r="AA643">
        <v>6.8</v>
      </c>
      <c r="AB643">
        <v>1.4</v>
      </c>
      <c r="AC643">
        <v>19.100000000000001</v>
      </c>
      <c r="AD643">
        <v>0</v>
      </c>
      <c r="AE643">
        <f t="shared" si="344"/>
        <v>1.146067415730337</v>
      </c>
      <c r="AF643">
        <f t="shared" si="345"/>
        <v>0.2011938202247191</v>
      </c>
      <c r="AG643" s="3">
        <v>1.4</v>
      </c>
      <c r="AH643">
        <v>32.25</v>
      </c>
      <c r="AI643" s="3">
        <v>57.5</v>
      </c>
    </row>
    <row r="644" spans="1:38" x14ac:dyDescent="0.5">
      <c r="A644">
        <v>180</v>
      </c>
      <c r="B644" s="4">
        <v>220</v>
      </c>
      <c r="C644">
        <v>0.1</v>
      </c>
      <c r="D644">
        <v>3</v>
      </c>
      <c r="E644">
        <v>50</v>
      </c>
      <c r="F644">
        <v>30</v>
      </c>
      <c r="G644" s="3">
        <f t="shared" si="387"/>
        <v>10</v>
      </c>
      <c r="O644">
        <v>82.5</v>
      </c>
      <c r="P644" s="3">
        <v>14.1</v>
      </c>
      <c r="Q644">
        <v>52</v>
      </c>
      <c r="R644">
        <v>6.7</v>
      </c>
      <c r="S644">
        <v>3.6</v>
      </c>
      <c r="T644">
        <v>31.5</v>
      </c>
      <c r="U644">
        <v>2.9</v>
      </c>
      <c r="V644">
        <f t="shared" si="388"/>
        <v>1.5461538461538462</v>
      </c>
      <c r="W644">
        <f t="shared" si="389"/>
        <v>0.45432692307692313</v>
      </c>
      <c r="X644">
        <v>3.4</v>
      </c>
      <c r="Y644" s="3">
        <v>21.97</v>
      </c>
      <c r="Z644">
        <v>63.7</v>
      </c>
      <c r="AA644">
        <v>6.8</v>
      </c>
      <c r="AB644">
        <v>3.7</v>
      </c>
      <c r="AC644">
        <v>23.3</v>
      </c>
      <c r="AD644">
        <v>0</v>
      </c>
      <c r="AE644">
        <f t="shared" si="344"/>
        <v>1.2810047095761381</v>
      </c>
      <c r="AF644">
        <f t="shared" si="345"/>
        <v>0.27433281004709575</v>
      </c>
      <c r="AG644" s="3">
        <v>2.5</v>
      </c>
      <c r="AH644">
        <v>28.35</v>
      </c>
      <c r="AI644" s="3">
        <v>63.9</v>
      </c>
    </row>
    <row r="645" spans="1:38" x14ac:dyDescent="0.5">
      <c r="A645">
        <v>180</v>
      </c>
      <c r="B645" s="4">
        <v>250</v>
      </c>
      <c r="C645">
        <v>0.1</v>
      </c>
      <c r="D645">
        <v>3</v>
      </c>
      <c r="E645">
        <v>50</v>
      </c>
      <c r="F645">
        <v>30</v>
      </c>
      <c r="G645" s="3">
        <f t="shared" si="387"/>
        <v>10</v>
      </c>
      <c r="O645">
        <v>82.5</v>
      </c>
      <c r="P645" s="3">
        <v>14.1</v>
      </c>
      <c r="Q645">
        <v>52</v>
      </c>
      <c r="R645">
        <v>6.7</v>
      </c>
      <c r="S645">
        <v>3.6</v>
      </c>
      <c r="T645">
        <v>31.5</v>
      </c>
      <c r="U645">
        <v>2.9</v>
      </c>
      <c r="V645">
        <f t="shared" ref="V645:V646" si="390">(R645/1)/(Q645/12)</f>
        <v>1.5461538461538462</v>
      </c>
      <c r="W645">
        <f t="shared" ref="W645:W646" si="391">(T645/16)/(Q645/12)</f>
        <v>0.45432692307692313</v>
      </c>
      <c r="X645">
        <v>3.4</v>
      </c>
      <c r="Y645" s="3">
        <v>21.97</v>
      </c>
      <c r="Z645">
        <v>66.7</v>
      </c>
      <c r="AA645">
        <v>7.9</v>
      </c>
      <c r="AB645">
        <v>3.7</v>
      </c>
      <c r="AC645">
        <v>16.899999999999999</v>
      </c>
      <c r="AD645">
        <v>0</v>
      </c>
      <c r="AE645">
        <f t="shared" si="344"/>
        <v>1.4212893553223389</v>
      </c>
      <c r="AF645">
        <f t="shared" si="345"/>
        <v>0.19002998500749624</v>
      </c>
      <c r="AG645" s="3">
        <v>4.9000000000000004</v>
      </c>
      <c r="AH645">
        <v>29.7</v>
      </c>
      <c r="AI645" s="3">
        <v>54.9</v>
      </c>
    </row>
    <row r="646" spans="1:38" x14ac:dyDescent="0.5">
      <c r="A646">
        <v>180</v>
      </c>
      <c r="B646" s="4">
        <v>220</v>
      </c>
      <c r="C646">
        <v>0.1</v>
      </c>
      <c r="D646">
        <v>3</v>
      </c>
      <c r="E646">
        <v>50</v>
      </c>
      <c r="F646">
        <v>30</v>
      </c>
      <c r="G646" s="3">
        <f t="shared" si="387"/>
        <v>10</v>
      </c>
      <c r="O646">
        <v>71.099999999999994</v>
      </c>
      <c r="P646" s="3">
        <v>17.8</v>
      </c>
      <c r="Q646">
        <v>39.700000000000003</v>
      </c>
      <c r="R646">
        <v>4.7</v>
      </c>
      <c r="S646">
        <v>0.5</v>
      </c>
      <c r="T646">
        <v>43.9</v>
      </c>
      <c r="U646">
        <v>0.1</v>
      </c>
      <c r="V646">
        <f t="shared" si="390"/>
        <v>1.4206549118387908</v>
      </c>
      <c r="W646">
        <f t="shared" si="391"/>
        <v>0.829345088161209</v>
      </c>
      <c r="X646">
        <v>11.2</v>
      </c>
      <c r="Y646" s="3">
        <v>13.87</v>
      </c>
      <c r="Z646">
        <v>50.1</v>
      </c>
      <c r="AA646">
        <v>4.5</v>
      </c>
      <c r="AB646">
        <v>1.6</v>
      </c>
      <c r="AC646">
        <v>31.5</v>
      </c>
      <c r="AD646">
        <v>0</v>
      </c>
      <c r="AE646">
        <f t="shared" si="344"/>
        <v>1.0778443113772456</v>
      </c>
      <c r="AF646">
        <f t="shared" si="345"/>
        <v>0.47155688622754494</v>
      </c>
      <c r="AG646" s="3">
        <v>12.9</v>
      </c>
      <c r="AH646">
        <v>19.45</v>
      </c>
      <c r="AI646" s="3">
        <v>37.1</v>
      </c>
    </row>
    <row r="647" spans="1:38" x14ac:dyDescent="0.5">
      <c r="A647">
        <v>180</v>
      </c>
      <c r="B647" s="4">
        <v>250</v>
      </c>
      <c r="C647">
        <v>0.1</v>
      </c>
      <c r="D647">
        <v>3</v>
      </c>
      <c r="E647">
        <v>50</v>
      </c>
      <c r="F647">
        <v>30</v>
      </c>
      <c r="G647" s="3">
        <f t="shared" si="387"/>
        <v>10</v>
      </c>
      <c r="O647">
        <v>71.099999999999994</v>
      </c>
      <c r="P647" s="3">
        <v>17.8</v>
      </c>
      <c r="Q647">
        <v>39.700000000000003</v>
      </c>
      <c r="R647">
        <v>4.7</v>
      </c>
      <c r="S647">
        <v>0.5</v>
      </c>
      <c r="T647">
        <v>43.9</v>
      </c>
      <c r="U647">
        <v>0.1</v>
      </c>
      <c r="V647">
        <f t="shared" ref="V647:V648" si="392">(R647/1)/(Q647/12)</f>
        <v>1.4206549118387908</v>
      </c>
      <c r="W647">
        <f t="shared" ref="W647:W648" si="393">(T647/16)/(Q647/12)</f>
        <v>0.829345088161209</v>
      </c>
      <c r="X647">
        <v>11.2</v>
      </c>
      <c r="Y647" s="3">
        <v>13.87</v>
      </c>
      <c r="Z647">
        <v>54</v>
      </c>
      <c r="AA647">
        <v>5</v>
      </c>
      <c r="AB647">
        <v>1.9</v>
      </c>
      <c r="AC647">
        <v>26.2</v>
      </c>
      <c r="AD647">
        <v>0</v>
      </c>
      <c r="AE647">
        <f t="shared" si="344"/>
        <v>1.1111111111111112</v>
      </c>
      <c r="AF647">
        <f t="shared" si="345"/>
        <v>0.36388888888888887</v>
      </c>
      <c r="AG647" s="3">
        <v>12.3</v>
      </c>
      <c r="AH647">
        <v>20.69</v>
      </c>
      <c r="AI647" s="3">
        <v>26.7</v>
      </c>
    </row>
    <row r="648" spans="1:38" x14ac:dyDescent="0.5">
      <c r="A648">
        <v>40</v>
      </c>
      <c r="B648" s="4">
        <v>150</v>
      </c>
      <c r="C648">
        <v>0.1</v>
      </c>
      <c r="D648">
        <v>10</v>
      </c>
      <c r="E648">
        <v>300</v>
      </c>
      <c r="F648">
        <v>100</v>
      </c>
      <c r="G648" s="3">
        <f t="shared" si="387"/>
        <v>10</v>
      </c>
      <c r="N648">
        <v>5.0199999999999996</v>
      </c>
      <c r="O648">
        <v>77.3</v>
      </c>
      <c r="P648" s="3">
        <v>12.74</v>
      </c>
      <c r="Q648">
        <v>46.47</v>
      </c>
      <c r="R648">
        <v>6.98</v>
      </c>
      <c r="S648">
        <v>3.16</v>
      </c>
      <c r="T648">
        <v>38.35</v>
      </c>
      <c r="U648">
        <v>0.11</v>
      </c>
      <c r="V648">
        <f t="shared" si="392"/>
        <v>1.8024531956100711</v>
      </c>
      <c r="W648">
        <f t="shared" si="393"/>
        <v>0.61894770819883793</v>
      </c>
      <c r="X648">
        <v>4.9400000000000004</v>
      </c>
      <c r="Y648" s="3">
        <v>20.34</v>
      </c>
      <c r="Z648">
        <v>48.15</v>
      </c>
      <c r="AA648">
        <v>6.65</v>
      </c>
      <c r="AB648">
        <v>2.19</v>
      </c>
      <c r="AC648">
        <v>42.68</v>
      </c>
      <c r="AD648">
        <v>0.08</v>
      </c>
      <c r="AE648">
        <f t="shared" si="344"/>
        <v>1.6573208722741433</v>
      </c>
      <c r="AF648">
        <f t="shared" si="345"/>
        <v>0.66479750778816193</v>
      </c>
      <c r="AG648" s="3">
        <v>0.25</v>
      </c>
      <c r="AH648">
        <v>20.2</v>
      </c>
      <c r="AI648" s="3">
        <v>60.76</v>
      </c>
      <c r="AJ648" s="2" t="s">
        <v>171</v>
      </c>
      <c r="AK648" t="s">
        <v>172</v>
      </c>
      <c r="AL648">
        <v>75</v>
      </c>
    </row>
    <row r="649" spans="1:38" x14ac:dyDescent="0.5">
      <c r="A649">
        <v>40</v>
      </c>
      <c r="B649" s="4">
        <v>200</v>
      </c>
      <c r="C649">
        <v>0.1</v>
      </c>
      <c r="D649">
        <v>10</v>
      </c>
      <c r="E649">
        <v>300</v>
      </c>
      <c r="F649">
        <v>100</v>
      </c>
      <c r="G649" s="3">
        <f t="shared" ref="G649:G651" si="394">F649/D649</f>
        <v>10</v>
      </c>
      <c r="N649">
        <v>5.0199999999999996</v>
      </c>
      <c r="O649">
        <v>77.3</v>
      </c>
      <c r="P649" s="3">
        <v>12.74</v>
      </c>
      <c r="Q649">
        <v>46.47</v>
      </c>
      <c r="R649">
        <v>6.98</v>
      </c>
      <c r="S649">
        <v>3.16</v>
      </c>
      <c r="T649">
        <v>38.35</v>
      </c>
      <c r="U649">
        <v>0.11</v>
      </c>
      <c r="V649">
        <f t="shared" ref="V649:V651" si="395">(R649/1)/(Q649/12)</f>
        <v>1.8024531956100711</v>
      </c>
      <c r="W649">
        <f t="shared" ref="W649:W651" si="396">(T649/16)/(Q649/12)</f>
        <v>0.61894770819883793</v>
      </c>
      <c r="X649">
        <v>4.9400000000000004</v>
      </c>
      <c r="Y649" s="3">
        <v>20.34</v>
      </c>
      <c r="Z649">
        <v>54.8</v>
      </c>
      <c r="AA649">
        <v>6.3</v>
      </c>
      <c r="AB649">
        <v>2.89</v>
      </c>
      <c r="AC649">
        <v>35.72</v>
      </c>
      <c r="AD649">
        <v>0.09</v>
      </c>
      <c r="AE649">
        <f t="shared" si="344"/>
        <v>1.3795620437956204</v>
      </c>
      <c r="AF649">
        <f t="shared" si="345"/>
        <v>0.48886861313868613</v>
      </c>
      <c r="AG649" s="3">
        <v>0.2</v>
      </c>
      <c r="AH649">
        <v>22.82</v>
      </c>
      <c r="AI649" s="3">
        <v>46.53</v>
      </c>
    </row>
    <row r="650" spans="1:38" x14ac:dyDescent="0.5">
      <c r="A650">
        <v>40</v>
      </c>
      <c r="B650" s="4">
        <v>250</v>
      </c>
      <c r="C650">
        <v>0.1</v>
      </c>
      <c r="D650">
        <v>10</v>
      </c>
      <c r="E650">
        <v>300</v>
      </c>
      <c r="F650">
        <v>100</v>
      </c>
      <c r="G650" s="3">
        <f t="shared" si="394"/>
        <v>10</v>
      </c>
      <c r="N650">
        <v>5.0199999999999996</v>
      </c>
      <c r="O650">
        <v>77.3</v>
      </c>
      <c r="P650" s="3">
        <v>12.74</v>
      </c>
      <c r="Q650">
        <v>46.47</v>
      </c>
      <c r="R650">
        <v>6.98</v>
      </c>
      <c r="S650">
        <v>3.16</v>
      </c>
      <c r="T650">
        <v>38.35</v>
      </c>
      <c r="U650">
        <v>0.11</v>
      </c>
      <c r="V650">
        <f t="shared" si="395"/>
        <v>1.8024531956100711</v>
      </c>
      <c r="W650">
        <f t="shared" si="396"/>
        <v>0.61894770819883793</v>
      </c>
      <c r="X650">
        <v>4.9400000000000004</v>
      </c>
      <c r="Y650" s="3">
        <v>20.34</v>
      </c>
      <c r="Z650">
        <v>68.36</v>
      </c>
      <c r="AA650">
        <v>6.4</v>
      </c>
      <c r="AB650">
        <v>3.22</v>
      </c>
      <c r="AC650">
        <v>21.87</v>
      </c>
      <c r="AD650">
        <v>0.08</v>
      </c>
      <c r="AE650">
        <f t="shared" si="344"/>
        <v>1.1234640140433003</v>
      </c>
      <c r="AF650">
        <f t="shared" si="345"/>
        <v>0.2399429490930369</v>
      </c>
      <c r="AG650" s="3">
        <v>7.0000000000000007E-2</v>
      </c>
      <c r="AH650">
        <v>29.1</v>
      </c>
      <c r="AI650" s="3">
        <v>48.97</v>
      </c>
    </row>
    <row r="651" spans="1:38" x14ac:dyDescent="0.5">
      <c r="A651">
        <v>60</v>
      </c>
      <c r="B651" s="4">
        <v>180</v>
      </c>
      <c r="C651">
        <v>0.1</v>
      </c>
      <c r="D651">
        <v>7</v>
      </c>
      <c r="E651">
        <v>250</v>
      </c>
      <c r="F651">
        <v>100</v>
      </c>
      <c r="G651" s="3">
        <f t="shared" si="394"/>
        <v>14.285714285714286</v>
      </c>
      <c r="O651">
        <v>53.62</v>
      </c>
      <c r="P651" s="3">
        <v>5.13</v>
      </c>
      <c r="Q651">
        <v>29.96</v>
      </c>
      <c r="R651">
        <v>4.68</v>
      </c>
      <c r="S651">
        <v>4.9800000000000004</v>
      </c>
      <c r="T651">
        <v>18.5</v>
      </c>
      <c r="U651">
        <v>0.72</v>
      </c>
      <c r="V651">
        <f t="shared" si="395"/>
        <v>1.8744993324432577</v>
      </c>
      <c r="W651">
        <f t="shared" si="396"/>
        <v>0.46311748998664887</v>
      </c>
      <c r="X651">
        <v>41.16</v>
      </c>
      <c r="Y651" s="3">
        <v>13.19</v>
      </c>
      <c r="Z651">
        <v>23.48</v>
      </c>
      <c r="AA651">
        <v>3.57</v>
      </c>
      <c r="AB651">
        <v>2.2799999999999998</v>
      </c>
      <c r="AC651">
        <v>9.92</v>
      </c>
      <c r="AD651">
        <v>0.4</v>
      </c>
      <c r="AE651">
        <f t="shared" si="344"/>
        <v>1.8245315161839861</v>
      </c>
      <c r="AF651">
        <f t="shared" si="345"/>
        <v>0.3168654173764906</v>
      </c>
      <c r="AG651" s="3">
        <v>60.35</v>
      </c>
      <c r="AH651">
        <v>10.11</v>
      </c>
      <c r="AI651" s="3">
        <v>63</v>
      </c>
      <c r="AJ651" s="2" t="s">
        <v>173</v>
      </c>
      <c r="AK651" t="s">
        <v>174</v>
      </c>
      <c r="AL651">
        <v>76</v>
      </c>
    </row>
    <row r="652" spans="1:38" x14ac:dyDescent="0.5">
      <c r="A652">
        <v>60</v>
      </c>
      <c r="B652" s="4">
        <v>230</v>
      </c>
      <c r="C652">
        <v>0.1</v>
      </c>
      <c r="D652">
        <v>7</v>
      </c>
      <c r="E652">
        <v>250</v>
      </c>
      <c r="F652">
        <v>100</v>
      </c>
      <c r="G652" s="3">
        <f t="shared" ref="G652:G657" si="397">F652/D652</f>
        <v>14.285714285714286</v>
      </c>
      <c r="O652">
        <v>53.62</v>
      </c>
      <c r="P652" s="3">
        <v>5.13</v>
      </c>
      <c r="Q652">
        <v>29.96</v>
      </c>
      <c r="R652">
        <v>4.68</v>
      </c>
      <c r="S652">
        <v>4.9800000000000004</v>
      </c>
      <c r="T652">
        <v>18.5</v>
      </c>
      <c r="U652">
        <v>0.72</v>
      </c>
      <c r="V652">
        <f t="shared" ref="V652:V654" si="398">(R652/1)/(Q652/12)</f>
        <v>1.8744993324432577</v>
      </c>
      <c r="W652">
        <f t="shared" ref="W652:W654" si="399">(T652/16)/(Q652/12)</f>
        <v>0.46311748998664887</v>
      </c>
      <c r="X652">
        <v>41.16</v>
      </c>
      <c r="Y652" s="3">
        <v>13.19</v>
      </c>
      <c r="Z652">
        <v>22.68</v>
      </c>
      <c r="AA652">
        <v>3.15</v>
      </c>
      <c r="AB652">
        <v>1.81</v>
      </c>
      <c r="AC652">
        <v>6.12</v>
      </c>
      <c r="AD652">
        <v>0.33</v>
      </c>
      <c r="AE652">
        <f t="shared" si="344"/>
        <v>1.6666666666666667</v>
      </c>
      <c r="AF652">
        <f t="shared" si="345"/>
        <v>0.20238095238095238</v>
      </c>
      <c r="AG652" s="3">
        <v>65.900000000000006</v>
      </c>
      <c r="AH652">
        <v>9.6199999999999992</v>
      </c>
      <c r="AI652" s="3">
        <v>58.9</v>
      </c>
    </row>
    <row r="653" spans="1:38" x14ac:dyDescent="0.5">
      <c r="A653">
        <v>60</v>
      </c>
      <c r="B653" s="4">
        <v>280</v>
      </c>
      <c r="C653">
        <v>0.1</v>
      </c>
      <c r="D653">
        <v>7</v>
      </c>
      <c r="E653">
        <v>250</v>
      </c>
      <c r="F653">
        <v>100</v>
      </c>
      <c r="G653" s="3">
        <f t="shared" si="397"/>
        <v>14.285714285714286</v>
      </c>
      <c r="O653">
        <v>53.62</v>
      </c>
      <c r="P653" s="3">
        <v>5.13</v>
      </c>
      <c r="Q653">
        <v>29.96</v>
      </c>
      <c r="R653">
        <v>4.68</v>
      </c>
      <c r="S653">
        <v>4.9800000000000004</v>
      </c>
      <c r="T653">
        <v>18.5</v>
      </c>
      <c r="U653">
        <v>0.72</v>
      </c>
      <c r="V653">
        <f t="shared" si="398"/>
        <v>1.8744993324432577</v>
      </c>
      <c r="W653">
        <f t="shared" si="399"/>
        <v>0.46311748998664887</v>
      </c>
      <c r="X653">
        <v>41.16</v>
      </c>
      <c r="Y653" s="3">
        <v>13.19</v>
      </c>
      <c r="Z653">
        <v>23.67</v>
      </c>
      <c r="AA653">
        <v>2.81</v>
      </c>
      <c r="AB653">
        <v>1.62</v>
      </c>
      <c r="AC653">
        <v>3.41</v>
      </c>
      <c r="AD653">
        <v>0.41</v>
      </c>
      <c r="AE653">
        <f t="shared" si="344"/>
        <v>1.4245880861850442</v>
      </c>
      <c r="AF653">
        <f t="shared" si="345"/>
        <v>0.10804816223067173</v>
      </c>
      <c r="AG653" s="3">
        <v>68.08</v>
      </c>
      <c r="AH653">
        <v>9.81</v>
      </c>
      <c r="AI653" s="3">
        <v>58.1</v>
      </c>
    </row>
    <row r="654" spans="1:38" x14ac:dyDescent="0.5">
      <c r="A654">
        <v>60</v>
      </c>
      <c r="B654" s="4">
        <v>180</v>
      </c>
      <c r="C654">
        <v>0.1</v>
      </c>
      <c r="D654">
        <v>7</v>
      </c>
      <c r="E654">
        <v>250</v>
      </c>
      <c r="F654">
        <v>100</v>
      </c>
      <c r="G654" s="3">
        <f t="shared" si="397"/>
        <v>14.285714285714286</v>
      </c>
      <c r="O654">
        <v>83.31</v>
      </c>
      <c r="P654" s="3">
        <v>15.55</v>
      </c>
      <c r="Q654">
        <v>49.64</v>
      </c>
      <c r="R654">
        <v>7.47</v>
      </c>
      <c r="S654">
        <v>3.21</v>
      </c>
      <c r="T654">
        <v>33.49</v>
      </c>
      <c r="U654">
        <v>0.05</v>
      </c>
      <c r="V654">
        <f t="shared" si="398"/>
        <v>1.8058017727639</v>
      </c>
      <c r="W654">
        <f t="shared" si="399"/>
        <v>0.50599315068493156</v>
      </c>
      <c r="X654">
        <v>6.14</v>
      </c>
      <c r="Y654" s="3">
        <v>22.5</v>
      </c>
      <c r="Z654">
        <v>60.29</v>
      </c>
      <c r="AA654">
        <v>7.71</v>
      </c>
      <c r="AB654">
        <v>3.61</v>
      </c>
      <c r="AC654">
        <v>21.64</v>
      </c>
      <c r="AD654">
        <v>0.06</v>
      </c>
      <c r="AE654">
        <f t="shared" si="344"/>
        <v>1.5345828495604577</v>
      </c>
      <c r="AF654">
        <f t="shared" si="345"/>
        <v>0.26919887211809584</v>
      </c>
      <c r="AG654" s="3">
        <v>6.7</v>
      </c>
      <c r="AH654">
        <v>27.71</v>
      </c>
      <c r="AI654" s="3">
        <v>30.89</v>
      </c>
    </row>
    <row r="655" spans="1:38" x14ac:dyDescent="0.5">
      <c r="A655">
        <v>60</v>
      </c>
      <c r="B655" s="4">
        <v>230</v>
      </c>
      <c r="C655">
        <v>0.1</v>
      </c>
      <c r="D655">
        <v>7</v>
      </c>
      <c r="E655">
        <v>250</v>
      </c>
      <c r="F655">
        <v>100</v>
      </c>
      <c r="G655" s="3">
        <f t="shared" si="397"/>
        <v>14.285714285714286</v>
      </c>
      <c r="O655">
        <v>83.31</v>
      </c>
      <c r="P655" s="3">
        <v>15.55</v>
      </c>
      <c r="Q655">
        <v>49.64</v>
      </c>
      <c r="R655">
        <v>7.47</v>
      </c>
      <c r="S655">
        <v>3.21</v>
      </c>
      <c r="T655">
        <v>33.49</v>
      </c>
      <c r="U655">
        <v>0.05</v>
      </c>
      <c r="V655">
        <f t="shared" ref="V655:V657" si="400">(R655/1)/(Q655/12)</f>
        <v>1.8058017727639</v>
      </c>
      <c r="W655">
        <f t="shared" ref="W655:W657" si="401">(T655/16)/(Q655/12)</f>
        <v>0.50599315068493156</v>
      </c>
      <c r="X655">
        <v>6.14</v>
      </c>
      <c r="Y655" s="3">
        <v>22.5</v>
      </c>
      <c r="Z655">
        <v>68.55</v>
      </c>
      <c r="AA655">
        <v>7.3</v>
      </c>
      <c r="AB655">
        <v>3.43</v>
      </c>
      <c r="AC655">
        <v>14.76</v>
      </c>
      <c r="AD655">
        <v>0</v>
      </c>
      <c r="AE655">
        <f t="shared" si="344"/>
        <v>1.2778993435448578</v>
      </c>
      <c r="AF655">
        <f t="shared" si="345"/>
        <v>0.1614879649890591</v>
      </c>
      <c r="AG655" s="3">
        <v>5.96</v>
      </c>
      <c r="AH655">
        <v>30.83</v>
      </c>
      <c r="AI655" s="3">
        <v>43.1</v>
      </c>
    </row>
    <row r="656" spans="1:38" x14ac:dyDescent="0.5">
      <c r="A656">
        <v>60</v>
      </c>
      <c r="B656" s="4">
        <v>280</v>
      </c>
      <c r="C656">
        <v>0.1</v>
      </c>
      <c r="D656">
        <v>7</v>
      </c>
      <c r="E656">
        <v>250</v>
      </c>
      <c r="F656">
        <v>100</v>
      </c>
      <c r="G656" s="3">
        <f t="shared" si="397"/>
        <v>14.285714285714286</v>
      </c>
      <c r="O656">
        <v>83.31</v>
      </c>
      <c r="P656" s="3">
        <v>15.55</v>
      </c>
      <c r="Q656">
        <v>49.64</v>
      </c>
      <c r="R656">
        <v>7.47</v>
      </c>
      <c r="S656">
        <v>3.21</v>
      </c>
      <c r="T656">
        <v>33.49</v>
      </c>
      <c r="U656">
        <v>0.05</v>
      </c>
      <c r="V656">
        <f t="shared" si="400"/>
        <v>1.8058017727639</v>
      </c>
      <c r="W656">
        <f t="shared" si="401"/>
        <v>0.50599315068493156</v>
      </c>
      <c r="X656">
        <v>6.14</v>
      </c>
      <c r="Y656" s="3">
        <v>22.5</v>
      </c>
      <c r="Z656">
        <v>71</v>
      </c>
      <c r="AA656">
        <v>6.9</v>
      </c>
      <c r="AB656">
        <v>3.94</v>
      </c>
      <c r="AC656">
        <v>11.78</v>
      </c>
      <c r="AD656">
        <v>0</v>
      </c>
      <c r="AE656">
        <f t="shared" si="344"/>
        <v>1.1661971830985915</v>
      </c>
      <c r="AF656">
        <f t="shared" si="345"/>
        <v>0.12443661971830984</v>
      </c>
      <c r="AG656" s="3">
        <v>6.38</v>
      </c>
      <c r="AH656">
        <v>31.5</v>
      </c>
      <c r="AI656" s="3">
        <v>30.7</v>
      </c>
    </row>
    <row r="657" spans="1:38" x14ac:dyDescent="0.5">
      <c r="A657">
        <v>60</v>
      </c>
      <c r="B657" s="4">
        <v>180</v>
      </c>
      <c r="C657">
        <v>0.1</v>
      </c>
      <c r="D657">
        <v>7</v>
      </c>
      <c r="E657">
        <v>250</v>
      </c>
      <c r="F657">
        <v>100</v>
      </c>
      <c r="G657" s="3">
        <f t="shared" si="397"/>
        <v>14.285714285714286</v>
      </c>
      <c r="O657">
        <v>73</v>
      </c>
      <c r="P657" s="3">
        <v>10.32</v>
      </c>
      <c r="Q657">
        <v>43.74</v>
      </c>
      <c r="R657">
        <v>6.63</v>
      </c>
      <c r="S657">
        <v>3.74</v>
      </c>
      <c r="T657">
        <v>28.99</v>
      </c>
      <c r="U657">
        <v>0.25</v>
      </c>
      <c r="V657">
        <f t="shared" si="400"/>
        <v>1.8189300411522633</v>
      </c>
      <c r="W657">
        <f t="shared" si="401"/>
        <v>0.49708504801097392</v>
      </c>
      <c r="X657">
        <v>16.649999999999999</v>
      </c>
      <c r="Y657" s="3">
        <v>19.71</v>
      </c>
      <c r="Z657">
        <v>45.19</v>
      </c>
      <c r="AA657">
        <v>6.18</v>
      </c>
      <c r="AB657">
        <v>2.76</v>
      </c>
      <c r="AC657">
        <v>16.989999999999998</v>
      </c>
      <c r="AD657">
        <v>0.18</v>
      </c>
      <c r="AE657">
        <f t="shared" si="344"/>
        <v>1.6410710334144722</v>
      </c>
      <c r="AF657">
        <f t="shared" si="345"/>
        <v>0.28197610090728037</v>
      </c>
      <c r="AG657" s="3">
        <v>28.7</v>
      </c>
      <c r="AH657">
        <v>20.68</v>
      </c>
      <c r="AI657" s="3">
        <v>42.85</v>
      </c>
    </row>
    <row r="658" spans="1:38" x14ac:dyDescent="0.5">
      <c r="A658">
        <v>60</v>
      </c>
      <c r="B658" s="4">
        <v>230</v>
      </c>
      <c r="C658">
        <v>0.1</v>
      </c>
      <c r="D658">
        <v>7</v>
      </c>
      <c r="E658">
        <v>250</v>
      </c>
      <c r="F658">
        <v>100</v>
      </c>
      <c r="G658" s="3">
        <f t="shared" ref="G658:G662" si="402">F658/D658</f>
        <v>14.285714285714286</v>
      </c>
      <c r="O658">
        <v>73</v>
      </c>
      <c r="P658" s="3">
        <v>10.32</v>
      </c>
      <c r="Q658">
        <v>43.74</v>
      </c>
      <c r="R658">
        <v>6.63</v>
      </c>
      <c r="S658">
        <v>3.74</v>
      </c>
      <c r="T658">
        <v>28.99</v>
      </c>
      <c r="U658">
        <v>0.25</v>
      </c>
      <c r="V658">
        <f t="shared" ref="V658:V660" si="403">(R658/1)/(Q658/12)</f>
        <v>1.8189300411522633</v>
      </c>
      <c r="W658">
        <f t="shared" ref="W658:W660" si="404">(T658/16)/(Q658/12)</f>
        <v>0.49708504801097392</v>
      </c>
      <c r="X658">
        <v>16.649999999999999</v>
      </c>
      <c r="Y658" s="3">
        <v>19.71</v>
      </c>
      <c r="Z658">
        <v>51.28</v>
      </c>
      <c r="AA658">
        <v>5.8</v>
      </c>
      <c r="AB658">
        <v>3.1</v>
      </c>
      <c r="AC658">
        <v>12.11</v>
      </c>
      <c r="AD658">
        <v>7.0000000000000007E-2</v>
      </c>
      <c r="AE658">
        <f t="shared" si="344"/>
        <v>1.3572542901716067</v>
      </c>
      <c r="AF658">
        <f t="shared" si="345"/>
        <v>0.17711583463338532</v>
      </c>
      <c r="AG658" s="3">
        <v>27.62</v>
      </c>
      <c r="AH658">
        <v>22.87</v>
      </c>
      <c r="AI658" s="3">
        <v>46.55</v>
      </c>
    </row>
    <row r="659" spans="1:38" x14ac:dyDescent="0.5">
      <c r="A659">
        <v>60</v>
      </c>
      <c r="B659" s="4">
        <v>280</v>
      </c>
      <c r="C659">
        <v>0.1</v>
      </c>
      <c r="D659">
        <v>7</v>
      </c>
      <c r="E659">
        <v>250</v>
      </c>
      <c r="F659">
        <v>100</v>
      </c>
      <c r="G659" s="3">
        <f t="shared" si="402"/>
        <v>14.285714285714286</v>
      </c>
      <c r="O659">
        <v>73</v>
      </c>
      <c r="P659" s="3">
        <v>10.32</v>
      </c>
      <c r="Q659">
        <v>43.74</v>
      </c>
      <c r="R659">
        <v>6.63</v>
      </c>
      <c r="S659">
        <v>3.74</v>
      </c>
      <c r="T659">
        <v>28.99</v>
      </c>
      <c r="U659">
        <v>0.25</v>
      </c>
      <c r="V659">
        <f t="shared" si="403"/>
        <v>1.8189300411522633</v>
      </c>
      <c r="W659">
        <f t="shared" si="404"/>
        <v>0.49708504801097392</v>
      </c>
      <c r="X659">
        <v>16.649999999999999</v>
      </c>
      <c r="Y659" s="3">
        <v>19.71</v>
      </c>
      <c r="Z659">
        <v>49.4</v>
      </c>
      <c r="AA659">
        <v>5.1100000000000003</v>
      </c>
      <c r="AB659">
        <v>3.24</v>
      </c>
      <c r="AC659">
        <v>11.77</v>
      </c>
      <c r="AD659">
        <v>0.09</v>
      </c>
      <c r="AE659">
        <f t="shared" si="344"/>
        <v>1.2412955465587046</v>
      </c>
      <c r="AF659">
        <f t="shared" si="345"/>
        <v>0.17869433198380569</v>
      </c>
      <c r="AG659" s="3">
        <v>30.41</v>
      </c>
      <c r="AH659">
        <v>21.37</v>
      </c>
      <c r="AI659" s="3">
        <v>34.25</v>
      </c>
    </row>
    <row r="660" spans="1:38" x14ac:dyDescent="0.5">
      <c r="A660">
        <v>60</v>
      </c>
      <c r="B660" s="4">
        <v>180</v>
      </c>
      <c r="C660">
        <v>0.1</v>
      </c>
      <c r="D660">
        <v>7</v>
      </c>
      <c r="E660">
        <v>250</v>
      </c>
      <c r="F660">
        <v>100</v>
      </c>
      <c r="G660" s="3">
        <f t="shared" si="402"/>
        <v>14.285714285714286</v>
      </c>
      <c r="O660">
        <v>67.47</v>
      </c>
      <c r="P660" s="3">
        <v>8.84</v>
      </c>
      <c r="Q660">
        <v>39.799999999999997</v>
      </c>
      <c r="R660">
        <v>6.08</v>
      </c>
      <c r="S660">
        <v>4.0999999999999996</v>
      </c>
      <c r="T660">
        <v>26</v>
      </c>
      <c r="U660">
        <v>0.39</v>
      </c>
      <c r="V660">
        <f t="shared" si="403"/>
        <v>1.8331658291457289</v>
      </c>
      <c r="W660">
        <f t="shared" si="404"/>
        <v>0.4899497487437186</v>
      </c>
      <c r="X660">
        <v>23.65</v>
      </c>
      <c r="Y660" s="3">
        <v>17.84</v>
      </c>
      <c r="Z660">
        <v>37.92</v>
      </c>
      <c r="AA660">
        <v>5.33</v>
      </c>
      <c r="AB660">
        <v>2.56</v>
      </c>
      <c r="AC660">
        <v>14.01</v>
      </c>
      <c r="AD660">
        <v>0.25</v>
      </c>
      <c r="AE660">
        <f t="shared" si="344"/>
        <v>1.6867088607594936</v>
      </c>
      <c r="AF660">
        <f t="shared" si="345"/>
        <v>0.27709651898734178</v>
      </c>
      <c r="AG660" s="3">
        <v>39.92</v>
      </c>
      <c r="AH660">
        <v>17.22</v>
      </c>
      <c r="AI660" s="3">
        <v>48.45</v>
      </c>
    </row>
    <row r="661" spans="1:38" x14ac:dyDescent="0.5">
      <c r="A661">
        <v>60</v>
      </c>
      <c r="B661" s="4">
        <v>230</v>
      </c>
      <c r="C661">
        <v>0.1</v>
      </c>
      <c r="D661">
        <v>7</v>
      </c>
      <c r="E661">
        <v>250</v>
      </c>
      <c r="F661">
        <v>100</v>
      </c>
      <c r="G661" s="3">
        <f t="shared" si="402"/>
        <v>14.285714285714286</v>
      </c>
      <c r="O661">
        <v>67.47</v>
      </c>
      <c r="P661" s="3">
        <v>8.84</v>
      </c>
      <c r="Q661">
        <v>39.799999999999997</v>
      </c>
      <c r="R661">
        <v>6.08</v>
      </c>
      <c r="S661">
        <v>4.0999999999999996</v>
      </c>
      <c r="T661">
        <v>26</v>
      </c>
      <c r="U661">
        <v>0.39</v>
      </c>
      <c r="V661">
        <f t="shared" ref="V661:V663" si="405">(R661/1)/(Q661/12)</f>
        <v>1.8331658291457289</v>
      </c>
      <c r="W661">
        <f t="shared" ref="W661:W663" si="406">(T661/16)/(Q661/12)</f>
        <v>0.4899497487437186</v>
      </c>
      <c r="X661">
        <v>23.65</v>
      </c>
      <c r="Y661" s="3">
        <v>17.84</v>
      </c>
      <c r="Z661">
        <v>42.21</v>
      </c>
      <c r="AA661">
        <v>4.96</v>
      </c>
      <c r="AB661">
        <v>2.66</v>
      </c>
      <c r="AC661">
        <v>10.32</v>
      </c>
      <c r="AD661">
        <v>0.17</v>
      </c>
      <c r="AE661">
        <f t="shared" si="344"/>
        <v>1.4100923951670219</v>
      </c>
      <c r="AF661">
        <f t="shared" si="345"/>
        <v>0.18336886993603413</v>
      </c>
      <c r="AG661" s="3">
        <v>39.68</v>
      </c>
      <c r="AH661">
        <v>18.649999999999999</v>
      </c>
      <c r="AI661" s="3">
        <v>50.47</v>
      </c>
    </row>
    <row r="662" spans="1:38" x14ac:dyDescent="0.5">
      <c r="A662">
        <v>60</v>
      </c>
      <c r="B662" s="4">
        <v>280</v>
      </c>
      <c r="C662">
        <v>0.1</v>
      </c>
      <c r="D662">
        <v>7</v>
      </c>
      <c r="E662">
        <v>250</v>
      </c>
      <c r="F662">
        <v>100</v>
      </c>
      <c r="G662" s="3">
        <f t="shared" si="402"/>
        <v>14.285714285714286</v>
      </c>
      <c r="O662">
        <v>67.47</v>
      </c>
      <c r="P662" s="3">
        <v>8.84</v>
      </c>
      <c r="Q662">
        <v>39.799999999999997</v>
      </c>
      <c r="R662">
        <v>6.08</v>
      </c>
      <c r="S662">
        <v>4.0999999999999996</v>
      </c>
      <c r="T662">
        <v>26</v>
      </c>
      <c r="U662">
        <v>0.39</v>
      </c>
      <c r="V662">
        <f t="shared" si="405"/>
        <v>1.8331658291457289</v>
      </c>
      <c r="W662">
        <f t="shared" si="406"/>
        <v>0.4899497487437186</v>
      </c>
      <c r="X662">
        <v>23.65</v>
      </c>
      <c r="Y662" s="3">
        <v>17.84</v>
      </c>
      <c r="Z662">
        <v>37.049999999999997</v>
      </c>
      <c r="AA662">
        <v>4.09</v>
      </c>
      <c r="AB662">
        <v>2.59</v>
      </c>
      <c r="AC662">
        <v>6.63</v>
      </c>
      <c r="AD662">
        <v>0.14000000000000001</v>
      </c>
      <c r="AE662">
        <f t="shared" si="344"/>
        <v>1.3246963562753036</v>
      </c>
      <c r="AF662">
        <f t="shared" si="345"/>
        <v>0.13421052631578947</v>
      </c>
      <c r="AG662" s="3">
        <v>49.49</v>
      </c>
      <c r="AH662">
        <v>16.010000000000002</v>
      </c>
      <c r="AI662" s="3">
        <v>38.89</v>
      </c>
    </row>
    <row r="663" spans="1:38" x14ac:dyDescent="0.5">
      <c r="A663">
        <v>60</v>
      </c>
      <c r="B663" s="4">
        <v>180</v>
      </c>
      <c r="C663">
        <v>0.1</v>
      </c>
      <c r="D663">
        <v>7</v>
      </c>
      <c r="E663">
        <v>250</v>
      </c>
      <c r="F663">
        <v>100</v>
      </c>
      <c r="G663" s="3">
        <f t="shared" ref="G663:G672" si="407">F663/D663</f>
        <v>14.285714285714286</v>
      </c>
      <c r="O663">
        <v>61.93</v>
      </c>
      <c r="P663" s="3">
        <v>7.36</v>
      </c>
      <c r="Q663">
        <v>35.86</v>
      </c>
      <c r="R663">
        <v>5.52</v>
      </c>
      <c r="S663">
        <v>4.45</v>
      </c>
      <c r="T663">
        <v>23</v>
      </c>
      <c r="U663">
        <v>0.52</v>
      </c>
      <c r="V663">
        <f t="shared" si="405"/>
        <v>1.8471834913552705</v>
      </c>
      <c r="W663">
        <f t="shared" si="406"/>
        <v>0.48103736754043502</v>
      </c>
      <c r="X663">
        <v>30.65</v>
      </c>
      <c r="Y663" s="3">
        <v>15.98</v>
      </c>
      <c r="Z663">
        <v>31.8</v>
      </c>
      <c r="AA663">
        <v>4.5999999999999996</v>
      </c>
      <c r="AB663">
        <v>2.41</v>
      </c>
      <c r="AC663">
        <v>11.14</v>
      </c>
      <c r="AD663">
        <v>0.3</v>
      </c>
      <c r="AE663">
        <f t="shared" si="344"/>
        <v>1.7358490566037734</v>
      </c>
      <c r="AF663">
        <f t="shared" si="345"/>
        <v>0.2627358490566038</v>
      </c>
      <c r="AG663" s="3">
        <v>49.75</v>
      </c>
      <c r="AH663">
        <v>14.32</v>
      </c>
      <c r="AI663" s="3">
        <v>54.44</v>
      </c>
    </row>
    <row r="664" spans="1:38" x14ac:dyDescent="0.5">
      <c r="A664">
        <v>60</v>
      </c>
      <c r="B664" s="4">
        <v>230</v>
      </c>
      <c r="C664">
        <v>0.1</v>
      </c>
      <c r="D664">
        <v>7</v>
      </c>
      <c r="E664">
        <v>250</v>
      </c>
      <c r="F664">
        <v>100</v>
      </c>
      <c r="G664" s="3">
        <f t="shared" si="407"/>
        <v>14.285714285714286</v>
      </c>
      <c r="O664">
        <v>61.93</v>
      </c>
      <c r="P664" s="3">
        <v>7.36</v>
      </c>
      <c r="Q664">
        <v>35.86</v>
      </c>
      <c r="R664">
        <v>5.52</v>
      </c>
      <c r="S664">
        <v>4.45</v>
      </c>
      <c r="T664">
        <v>23</v>
      </c>
      <c r="U664">
        <v>0.52</v>
      </c>
      <c r="V664">
        <f t="shared" ref="V664:V666" si="408">(R664/1)/(Q664/12)</f>
        <v>1.8471834913552705</v>
      </c>
      <c r="W664">
        <f t="shared" ref="W664:W666" si="409">(T664/16)/(Q664/12)</f>
        <v>0.48103736754043502</v>
      </c>
      <c r="X664">
        <v>30.65</v>
      </c>
      <c r="Y664" s="3">
        <v>15.98</v>
      </c>
      <c r="Z664">
        <v>31.88</v>
      </c>
      <c r="AA664">
        <v>3.99</v>
      </c>
      <c r="AB664">
        <v>2.3199999999999998</v>
      </c>
      <c r="AC664">
        <v>8.84</v>
      </c>
      <c r="AD664">
        <v>0.23</v>
      </c>
      <c r="AE664">
        <f t="shared" si="344"/>
        <v>1.5018820577164367</v>
      </c>
      <c r="AF664">
        <f t="shared" si="345"/>
        <v>0.20796737766624843</v>
      </c>
      <c r="AG664" s="3">
        <v>52.74</v>
      </c>
      <c r="AH664">
        <v>13.8</v>
      </c>
      <c r="AI664" s="3">
        <v>62.79</v>
      </c>
    </row>
    <row r="665" spans="1:38" x14ac:dyDescent="0.5">
      <c r="A665">
        <v>60</v>
      </c>
      <c r="B665" s="4">
        <v>280</v>
      </c>
      <c r="C665">
        <v>0.1</v>
      </c>
      <c r="D665">
        <v>7</v>
      </c>
      <c r="E665">
        <v>250</v>
      </c>
      <c r="F665">
        <v>100</v>
      </c>
      <c r="G665" s="3">
        <f t="shared" si="407"/>
        <v>14.285714285714286</v>
      </c>
      <c r="O665">
        <v>61.93</v>
      </c>
      <c r="P665" s="3">
        <v>7.36</v>
      </c>
      <c r="Q665">
        <v>35.86</v>
      </c>
      <c r="R665">
        <v>5.52</v>
      </c>
      <c r="S665">
        <v>4.45</v>
      </c>
      <c r="T665">
        <v>23</v>
      </c>
      <c r="U665">
        <v>0.52</v>
      </c>
      <c r="V665">
        <f t="shared" si="408"/>
        <v>1.8471834913552705</v>
      </c>
      <c r="W665">
        <f t="shared" si="409"/>
        <v>0.48103736754043502</v>
      </c>
      <c r="X665">
        <v>30.65</v>
      </c>
      <c r="Y665" s="3">
        <v>15.98</v>
      </c>
      <c r="Z665">
        <v>30.29</v>
      </c>
      <c r="AA665">
        <v>3.62</v>
      </c>
      <c r="AB665">
        <v>2.12</v>
      </c>
      <c r="AC665">
        <v>3.43</v>
      </c>
      <c r="AD665">
        <v>0.19</v>
      </c>
      <c r="AE665">
        <f t="shared" si="344"/>
        <v>1.4341366787718721</v>
      </c>
      <c r="AF665">
        <f t="shared" si="345"/>
        <v>8.4929019478375709E-2</v>
      </c>
      <c r="AG665" s="3">
        <v>60.35</v>
      </c>
      <c r="AH665">
        <v>13.21</v>
      </c>
      <c r="AI665" s="3">
        <v>48.19</v>
      </c>
    </row>
    <row r="666" spans="1:38" x14ac:dyDescent="0.5">
      <c r="A666">
        <v>120</v>
      </c>
      <c r="B666" s="4">
        <v>200</v>
      </c>
      <c r="C666">
        <v>0.1</v>
      </c>
      <c r="D666">
        <v>30</v>
      </c>
      <c r="E666">
        <v>1000</v>
      </c>
      <c r="F666">
        <v>300</v>
      </c>
      <c r="G666" s="3">
        <f t="shared" si="407"/>
        <v>10</v>
      </c>
      <c r="N666">
        <v>7.22</v>
      </c>
      <c r="O666">
        <v>76.58</v>
      </c>
      <c r="P666" s="3">
        <v>16.04</v>
      </c>
      <c r="Q666">
        <v>50.6</v>
      </c>
      <c r="R666">
        <v>5.62</v>
      </c>
      <c r="S666">
        <v>0.12</v>
      </c>
      <c r="T666">
        <v>43.49</v>
      </c>
      <c r="U666">
        <v>0.01</v>
      </c>
      <c r="V666">
        <f t="shared" si="408"/>
        <v>1.332806324110672</v>
      </c>
      <c r="W666">
        <f t="shared" si="409"/>
        <v>0.64461462450592888</v>
      </c>
      <c r="X666">
        <v>0.16</v>
      </c>
      <c r="Y666" s="3">
        <v>18.079999999999998</v>
      </c>
      <c r="Z666">
        <v>56.87</v>
      </c>
      <c r="AA666">
        <v>5.76</v>
      </c>
      <c r="AB666">
        <v>0.16700000000000001</v>
      </c>
      <c r="AC666">
        <v>37.1</v>
      </c>
      <c r="AD666">
        <v>0</v>
      </c>
      <c r="AE666">
        <f t="shared" si="344"/>
        <v>1.2154035519606119</v>
      </c>
      <c r="AF666">
        <f t="shared" si="345"/>
        <v>0.48927378231053281</v>
      </c>
      <c r="AG666" s="3">
        <v>0.1</v>
      </c>
      <c r="AH666">
        <v>21.63</v>
      </c>
      <c r="AI666" s="3">
        <v>71</v>
      </c>
      <c r="AJ666" s="2" t="s">
        <v>175</v>
      </c>
      <c r="AK666" t="s">
        <v>176</v>
      </c>
      <c r="AL666">
        <v>77</v>
      </c>
    </row>
    <row r="667" spans="1:38" x14ac:dyDescent="0.5">
      <c r="A667">
        <v>240</v>
      </c>
      <c r="B667" s="4">
        <v>200</v>
      </c>
      <c r="C667">
        <v>0.1</v>
      </c>
      <c r="D667">
        <v>30</v>
      </c>
      <c r="E667">
        <v>1000</v>
      </c>
      <c r="F667">
        <v>300</v>
      </c>
      <c r="G667" s="3">
        <f t="shared" si="407"/>
        <v>10</v>
      </c>
      <c r="N667">
        <v>7.22</v>
      </c>
      <c r="O667">
        <v>76.58</v>
      </c>
      <c r="P667" s="3">
        <v>16.04</v>
      </c>
      <c r="Q667">
        <v>50.6</v>
      </c>
      <c r="R667">
        <v>5.62</v>
      </c>
      <c r="S667">
        <v>0.12</v>
      </c>
      <c r="T667">
        <v>43.49</v>
      </c>
      <c r="U667">
        <v>0.01</v>
      </c>
      <c r="V667">
        <f t="shared" ref="V667:V674" si="410">(R667/1)/(Q667/12)</f>
        <v>1.332806324110672</v>
      </c>
      <c r="W667">
        <f t="shared" ref="W667:W674" si="411">(T667/16)/(Q667/12)</f>
        <v>0.64461462450592888</v>
      </c>
      <c r="X667">
        <v>0.16</v>
      </c>
      <c r="Y667" s="3">
        <v>18.079999999999998</v>
      </c>
      <c r="Z667">
        <v>60.6</v>
      </c>
      <c r="AA667">
        <v>5.87</v>
      </c>
      <c r="AB667">
        <v>0.192</v>
      </c>
      <c r="AC667">
        <v>33.08</v>
      </c>
      <c r="AD667">
        <v>0</v>
      </c>
      <c r="AE667">
        <f t="shared" si="344"/>
        <v>1.1623762376237625</v>
      </c>
      <c r="AF667">
        <f t="shared" si="345"/>
        <v>0.40940594059405938</v>
      </c>
      <c r="AG667" s="3">
        <v>0.26</v>
      </c>
      <c r="AH667">
        <v>21.81</v>
      </c>
      <c r="AI667" s="3">
        <v>73</v>
      </c>
    </row>
    <row r="668" spans="1:38" x14ac:dyDescent="0.5">
      <c r="A668">
        <v>240</v>
      </c>
      <c r="B668" s="4">
        <v>200</v>
      </c>
      <c r="C668">
        <v>0.1</v>
      </c>
      <c r="D668">
        <v>30</v>
      </c>
      <c r="E668">
        <v>1000</v>
      </c>
      <c r="F668">
        <v>240</v>
      </c>
      <c r="G668" s="3">
        <f t="shared" si="407"/>
        <v>8</v>
      </c>
      <c r="N668">
        <v>7.22</v>
      </c>
      <c r="O668">
        <v>76.58</v>
      </c>
      <c r="P668" s="3">
        <v>16.04</v>
      </c>
      <c r="Q668">
        <v>50.6</v>
      </c>
      <c r="R668">
        <v>5.62</v>
      </c>
      <c r="S668">
        <v>0.12</v>
      </c>
      <c r="T668">
        <v>43.49</v>
      </c>
      <c r="U668">
        <v>0.01</v>
      </c>
      <c r="V668">
        <f t="shared" si="410"/>
        <v>1.332806324110672</v>
      </c>
      <c r="W668">
        <f t="shared" si="411"/>
        <v>0.64461462450592888</v>
      </c>
      <c r="X668">
        <v>0.16</v>
      </c>
      <c r="Y668" s="3">
        <v>18.079999999999998</v>
      </c>
      <c r="Z668">
        <v>61.37</v>
      </c>
      <c r="AA668">
        <v>5.87</v>
      </c>
      <c r="AB668">
        <v>0.185</v>
      </c>
      <c r="AC668">
        <v>32.11</v>
      </c>
      <c r="AD668">
        <v>0</v>
      </c>
      <c r="AE668">
        <f t="shared" si="344"/>
        <v>1.1477920808212481</v>
      </c>
      <c r="AF668">
        <f t="shared" si="345"/>
        <v>0.39241486068111453</v>
      </c>
      <c r="AG668" s="3">
        <v>0.47</v>
      </c>
      <c r="AH668">
        <v>21.51</v>
      </c>
      <c r="AI668" s="3">
        <v>70</v>
      </c>
    </row>
    <row r="669" spans="1:38" x14ac:dyDescent="0.5">
      <c r="A669">
        <v>240</v>
      </c>
      <c r="B669" s="4">
        <v>200</v>
      </c>
      <c r="C669">
        <v>0.1</v>
      </c>
      <c r="D669">
        <v>30</v>
      </c>
      <c r="E669">
        <v>1000</v>
      </c>
      <c r="F669">
        <v>150</v>
      </c>
      <c r="G669" s="3">
        <f t="shared" si="407"/>
        <v>5</v>
      </c>
      <c r="N669">
        <v>7.22</v>
      </c>
      <c r="O669">
        <v>76.58</v>
      </c>
      <c r="P669" s="3">
        <v>16.04</v>
      </c>
      <c r="Q669">
        <v>50.6</v>
      </c>
      <c r="R669">
        <v>5.62</v>
      </c>
      <c r="S669">
        <v>0.12</v>
      </c>
      <c r="T669">
        <v>43.49</v>
      </c>
      <c r="U669">
        <v>0.01</v>
      </c>
      <c r="V669">
        <f t="shared" si="410"/>
        <v>1.332806324110672</v>
      </c>
      <c r="W669">
        <f t="shared" si="411"/>
        <v>0.64461462450592888</v>
      </c>
      <c r="X669">
        <v>0.16</v>
      </c>
      <c r="Y669" s="3">
        <v>18.079999999999998</v>
      </c>
      <c r="Z669">
        <v>61.56</v>
      </c>
      <c r="AA669">
        <v>5.77</v>
      </c>
      <c r="AB669">
        <v>0.2</v>
      </c>
      <c r="AC669">
        <v>32.28</v>
      </c>
      <c r="AD669">
        <v>0</v>
      </c>
      <c r="AE669">
        <f t="shared" si="344"/>
        <v>1.1247563352826511</v>
      </c>
      <c r="AF669">
        <f t="shared" si="345"/>
        <v>0.39327485380116961</v>
      </c>
      <c r="AG669" s="3">
        <v>0.19</v>
      </c>
      <c r="AH669">
        <v>22.44</v>
      </c>
      <c r="AI669" s="3">
        <v>70</v>
      </c>
    </row>
    <row r="670" spans="1:38" x14ac:dyDescent="0.5">
      <c r="A670">
        <v>240</v>
      </c>
      <c r="B670" s="4">
        <v>180</v>
      </c>
      <c r="C670">
        <v>0.1</v>
      </c>
      <c r="D670">
        <v>30</v>
      </c>
      <c r="E670">
        <v>1000</v>
      </c>
      <c r="F670">
        <v>300</v>
      </c>
      <c r="G670" s="3">
        <f t="shared" si="407"/>
        <v>10</v>
      </c>
      <c r="N670">
        <v>7.22</v>
      </c>
      <c r="O670">
        <v>76.58</v>
      </c>
      <c r="P670" s="3">
        <v>16.04</v>
      </c>
      <c r="Q670">
        <v>50.6</v>
      </c>
      <c r="R670">
        <v>5.62</v>
      </c>
      <c r="S670">
        <v>0.12</v>
      </c>
      <c r="T670">
        <v>43.49</v>
      </c>
      <c r="U670">
        <v>0.01</v>
      </c>
      <c r="V670">
        <f t="shared" si="410"/>
        <v>1.332806324110672</v>
      </c>
      <c r="W670">
        <f t="shared" si="411"/>
        <v>0.64461462450592888</v>
      </c>
      <c r="X670">
        <v>0.16</v>
      </c>
      <c r="Y670" s="3">
        <v>18.079999999999998</v>
      </c>
      <c r="Z670">
        <v>57.7</v>
      </c>
      <c r="AA670">
        <v>6.04</v>
      </c>
      <c r="AB670">
        <v>0.185</v>
      </c>
      <c r="AC670">
        <v>35.99</v>
      </c>
      <c r="AD670">
        <v>0</v>
      </c>
      <c r="AE670">
        <f t="shared" si="344"/>
        <v>1.2561525129982669</v>
      </c>
      <c r="AF670">
        <f t="shared" si="345"/>
        <v>0.46780762564991335</v>
      </c>
      <c r="AG670" s="3">
        <v>0.09</v>
      </c>
      <c r="AH670">
        <v>20.92</v>
      </c>
      <c r="AI670" s="3">
        <v>75</v>
      </c>
    </row>
    <row r="671" spans="1:38" x14ac:dyDescent="0.5">
      <c r="A671">
        <v>240</v>
      </c>
      <c r="B671" s="4">
        <v>220</v>
      </c>
      <c r="C671">
        <v>0.1</v>
      </c>
      <c r="D671">
        <v>30</v>
      </c>
      <c r="E671">
        <v>1000</v>
      </c>
      <c r="F671">
        <v>300</v>
      </c>
      <c r="G671" s="3">
        <f t="shared" si="407"/>
        <v>10</v>
      </c>
      <c r="N671">
        <v>7.22</v>
      </c>
      <c r="O671">
        <v>76.58</v>
      </c>
      <c r="P671" s="3">
        <v>16.04</v>
      </c>
      <c r="Q671">
        <v>50.6</v>
      </c>
      <c r="R671">
        <v>5.62</v>
      </c>
      <c r="S671">
        <v>0.12</v>
      </c>
      <c r="T671">
        <v>43.49</v>
      </c>
      <c r="U671">
        <v>0.01</v>
      </c>
      <c r="V671">
        <f t="shared" si="410"/>
        <v>1.332806324110672</v>
      </c>
      <c r="W671">
        <f t="shared" si="411"/>
        <v>0.64461462450592888</v>
      </c>
      <c r="X671">
        <v>0.16</v>
      </c>
      <c r="Y671" s="3">
        <v>18.079999999999998</v>
      </c>
      <c r="Z671">
        <v>66.7</v>
      </c>
      <c r="AA671">
        <v>5.7</v>
      </c>
      <c r="AB671">
        <v>0.223</v>
      </c>
      <c r="AC671">
        <v>27.28</v>
      </c>
      <c r="AD671">
        <v>0</v>
      </c>
      <c r="AE671">
        <f t="shared" si="344"/>
        <v>1.025487256371814</v>
      </c>
      <c r="AF671">
        <f t="shared" si="345"/>
        <v>0.3067466266866567</v>
      </c>
      <c r="AG671" s="3">
        <v>0.1</v>
      </c>
      <c r="AH671">
        <v>23.89</v>
      </c>
      <c r="AI671" s="3">
        <v>58</v>
      </c>
    </row>
    <row r="672" spans="1:38" x14ac:dyDescent="0.5">
      <c r="A672">
        <v>120</v>
      </c>
      <c r="B672" s="4">
        <v>250</v>
      </c>
      <c r="C672">
        <v>0.1</v>
      </c>
      <c r="D672">
        <v>35</v>
      </c>
      <c r="E672">
        <v>500</v>
      </c>
      <c r="F672">
        <v>350</v>
      </c>
      <c r="G672" s="3">
        <f t="shared" si="407"/>
        <v>10</v>
      </c>
      <c r="N672">
        <v>76.8</v>
      </c>
      <c r="O672">
        <v>65.7</v>
      </c>
      <c r="P672" s="3">
        <v>3.8</v>
      </c>
      <c r="Q672">
        <v>32.9</v>
      </c>
      <c r="R672">
        <v>3</v>
      </c>
      <c r="S672">
        <v>4</v>
      </c>
      <c r="T672">
        <v>29.4</v>
      </c>
      <c r="U672">
        <v>0.2</v>
      </c>
      <c r="V672">
        <f t="shared" si="410"/>
        <v>1.094224924012158</v>
      </c>
      <c r="W672">
        <f t="shared" si="411"/>
        <v>0.67021276595744672</v>
      </c>
      <c r="X672">
        <v>30.5</v>
      </c>
      <c r="Y672" s="3">
        <v>13.2</v>
      </c>
      <c r="Z672">
        <v>34.4</v>
      </c>
      <c r="AA672">
        <v>3.6</v>
      </c>
      <c r="AB672">
        <v>1.8</v>
      </c>
      <c r="AC672">
        <v>12</v>
      </c>
      <c r="AD672">
        <v>0.7</v>
      </c>
      <c r="AE672">
        <f t="shared" si="344"/>
        <v>1.2558139534883721</v>
      </c>
      <c r="AF672">
        <f t="shared" si="345"/>
        <v>0.26162790697674421</v>
      </c>
      <c r="AG672" s="3">
        <v>47.7</v>
      </c>
      <c r="AH672">
        <v>13.89</v>
      </c>
      <c r="AI672" s="3">
        <v>51</v>
      </c>
      <c r="AJ672" s="2" t="s">
        <v>74</v>
      </c>
      <c r="AK672" t="s">
        <v>28</v>
      </c>
      <c r="AL672">
        <v>78</v>
      </c>
    </row>
    <row r="673" spans="1:38" x14ac:dyDescent="0.5">
      <c r="A673">
        <v>120</v>
      </c>
      <c r="B673" s="4">
        <v>250</v>
      </c>
      <c r="C673">
        <v>0.1</v>
      </c>
      <c r="D673">
        <v>35</v>
      </c>
      <c r="E673">
        <v>500</v>
      </c>
      <c r="F673">
        <v>350</v>
      </c>
      <c r="G673" s="3">
        <f t="shared" ref="G673:G674" si="412">F673/D673</f>
        <v>10</v>
      </c>
      <c r="N673">
        <v>35</v>
      </c>
      <c r="O673">
        <v>74.099999999999994</v>
      </c>
      <c r="P673" s="3">
        <v>13.3</v>
      </c>
      <c r="Q673">
        <v>39.4</v>
      </c>
      <c r="R673">
        <v>5.3</v>
      </c>
      <c r="S673">
        <v>10</v>
      </c>
      <c r="T673">
        <v>41.3</v>
      </c>
      <c r="U673">
        <v>0.5</v>
      </c>
      <c r="V673">
        <f t="shared" si="410"/>
        <v>1.6142131979695431</v>
      </c>
      <c r="W673">
        <f t="shared" si="411"/>
        <v>0.78616751269035534</v>
      </c>
      <c r="X673">
        <v>12.6</v>
      </c>
      <c r="Y673" s="3">
        <v>16.7</v>
      </c>
      <c r="Z673">
        <v>54.5</v>
      </c>
      <c r="AA673">
        <v>5.2</v>
      </c>
      <c r="AB673">
        <v>0.8</v>
      </c>
      <c r="AC673">
        <v>18.899999999999999</v>
      </c>
      <c r="AD673">
        <v>0.6</v>
      </c>
      <c r="AE673">
        <f t="shared" si="344"/>
        <v>1.144954128440367</v>
      </c>
      <c r="AF673">
        <f t="shared" si="345"/>
        <v>0.26009174311926603</v>
      </c>
      <c r="AG673" s="3">
        <v>20</v>
      </c>
      <c r="AH673">
        <v>20.73</v>
      </c>
      <c r="AI673" s="3">
        <v>47</v>
      </c>
    </row>
    <row r="674" spans="1:38" x14ac:dyDescent="0.5">
      <c r="A674">
        <v>60</v>
      </c>
      <c r="B674" s="4">
        <v>200</v>
      </c>
      <c r="C674">
        <v>3</v>
      </c>
      <c r="D674">
        <v>100</v>
      </c>
      <c r="E674">
        <v>1000</v>
      </c>
      <c r="F674">
        <v>600</v>
      </c>
      <c r="G674" s="3">
        <f t="shared" si="412"/>
        <v>6</v>
      </c>
      <c r="Q674">
        <v>39.5</v>
      </c>
      <c r="R674">
        <v>7.3</v>
      </c>
      <c r="S674">
        <v>5.7</v>
      </c>
      <c r="T674">
        <v>47.7</v>
      </c>
      <c r="U674">
        <v>0.3</v>
      </c>
      <c r="V674">
        <f t="shared" si="410"/>
        <v>2.2177215189873416</v>
      </c>
      <c r="W674">
        <f t="shared" si="411"/>
        <v>0.90569620253164562</v>
      </c>
      <c r="X674">
        <v>6.4</v>
      </c>
      <c r="Y674" s="3">
        <v>15.1</v>
      </c>
      <c r="Z674">
        <v>62.7</v>
      </c>
      <c r="AA674">
        <v>7.2</v>
      </c>
      <c r="AB674">
        <v>4.3</v>
      </c>
      <c r="AC674">
        <v>24.8</v>
      </c>
      <c r="AD674">
        <v>0.3</v>
      </c>
      <c r="AE674">
        <f t="shared" si="344"/>
        <v>1.3779904306220094</v>
      </c>
      <c r="AF674">
        <f t="shared" si="345"/>
        <v>0.29665071770334928</v>
      </c>
      <c r="AG674" s="3">
        <v>4.5</v>
      </c>
      <c r="AH674">
        <v>20.8</v>
      </c>
      <c r="AI674" s="3">
        <v>7.6</v>
      </c>
      <c r="AJ674" s="2" t="s">
        <v>177</v>
      </c>
      <c r="AK674" t="s">
        <v>178</v>
      </c>
      <c r="AL674">
        <v>79</v>
      </c>
    </row>
    <row r="675" spans="1:38" x14ac:dyDescent="0.5">
      <c r="A675">
        <v>60</v>
      </c>
      <c r="B675" s="4">
        <v>250</v>
      </c>
      <c r="C675">
        <v>3</v>
      </c>
      <c r="D675">
        <v>100</v>
      </c>
      <c r="E675">
        <v>1000</v>
      </c>
      <c r="F675">
        <v>600</v>
      </c>
      <c r="G675" s="3">
        <f t="shared" ref="G675:G683" si="413">F675/D675</f>
        <v>6</v>
      </c>
      <c r="Q675">
        <v>39.5</v>
      </c>
      <c r="R675">
        <v>7.3</v>
      </c>
      <c r="S675">
        <v>5.7</v>
      </c>
      <c r="T675">
        <v>47.7</v>
      </c>
      <c r="U675">
        <v>0.3</v>
      </c>
      <c r="V675">
        <f t="shared" ref="V675:V677" si="414">(R675/1)/(Q675/12)</f>
        <v>2.2177215189873416</v>
      </c>
      <c r="W675">
        <f t="shared" ref="W675:W677" si="415">(T675/16)/(Q675/12)</f>
        <v>0.90569620253164562</v>
      </c>
      <c r="X675">
        <v>6.4</v>
      </c>
      <c r="Y675" s="3">
        <v>15.1</v>
      </c>
      <c r="Z675">
        <v>68</v>
      </c>
      <c r="AA675">
        <v>7</v>
      </c>
      <c r="AB675">
        <v>4.4000000000000004</v>
      </c>
      <c r="AC675">
        <v>20</v>
      </c>
      <c r="AD675">
        <v>0.3</v>
      </c>
      <c r="AE675">
        <f t="shared" si="344"/>
        <v>1.2352941176470587</v>
      </c>
      <c r="AF675">
        <f t="shared" si="345"/>
        <v>0.22058823529411764</v>
      </c>
      <c r="AG675" s="3">
        <v>3.1</v>
      </c>
      <c r="AH675">
        <v>28.8</v>
      </c>
      <c r="AI675" s="3">
        <v>6.7</v>
      </c>
    </row>
    <row r="676" spans="1:38" x14ac:dyDescent="0.5">
      <c r="A676">
        <v>60</v>
      </c>
      <c r="B676" s="4">
        <v>300</v>
      </c>
      <c r="C676">
        <v>3</v>
      </c>
      <c r="D676">
        <v>100</v>
      </c>
      <c r="E676">
        <v>1000</v>
      </c>
      <c r="F676">
        <v>600</v>
      </c>
      <c r="G676" s="3">
        <f t="shared" si="413"/>
        <v>6</v>
      </c>
      <c r="Q676">
        <v>39.5</v>
      </c>
      <c r="R676">
        <v>7.3</v>
      </c>
      <c r="S676">
        <v>5.7</v>
      </c>
      <c r="T676">
        <v>47.7</v>
      </c>
      <c r="U676">
        <v>0.3</v>
      </c>
      <c r="V676">
        <f t="shared" si="414"/>
        <v>2.2177215189873416</v>
      </c>
      <c r="W676">
        <f t="shared" si="415"/>
        <v>0.90569620253164562</v>
      </c>
      <c r="X676">
        <v>6.4</v>
      </c>
      <c r="Y676" s="3">
        <v>15.1</v>
      </c>
      <c r="Z676">
        <v>73.400000000000006</v>
      </c>
      <c r="AA676">
        <v>7</v>
      </c>
      <c r="AB676">
        <v>5.0999999999999996</v>
      </c>
      <c r="AC676">
        <v>17.100000000000001</v>
      </c>
      <c r="AD676">
        <v>0.3</v>
      </c>
      <c r="AE676">
        <f t="shared" si="344"/>
        <v>1.1444141689373295</v>
      </c>
      <c r="AF676">
        <f t="shared" si="345"/>
        <v>0.17472752043596732</v>
      </c>
      <c r="AG676" s="3">
        <v>2.2000000000000002</v>
      </c>
      <c r="AH676">
        <v>31.1</v>
      </c>
      <c r="AI676" s="3">
        <v>5.6</v>
      </c>
    </row>
    <row r="677" spans="1:38" x14ac:dyDescent="0.5">
      <c r="A677">
        <v>60</v>
      </c>
      <c r="B677" s="4">
        <v>200</v>
      </c>
      <c r="C677">
        <v>3</v>
      </c>
      <c r="D677">
        <v>100</v>
      </c>
      <c r="E677">
        <v>1000</v>
      </c>
      <c r="F677">
        <v>600</v>
      </c>
      <c r="G677" s="3">
        <f t="shared" si="413"/>
        <v>6</v>
      </c>
      <c r="Q677">
        <v>74</v>
      </c>
      <c r="R677">
        <v>5.5</v>
      </c>
      <c r="S677">
        <v>1.1000000000000001</v>
      </c>
      <c r="T677">
        <v>19.100000000000001</v>
      </c>
      <c r="U677">
        <v>0.3</v>
      </c>
      <c r="V677">
        <f t="shared" si="414"/>
        <v>0.89189189189189189</v>
      </c>
      <c r="W677">
        <f t="shared" si="415"/>
        <v>0.19358108108108107</v>
      </c>
      <c r="X677">
        <v>7.4</v>
      </c>
      <c r="Y677" s="3">
        <v>28.8</v>
      </c>
      <c r="Z677">
        <v>84.2</v>
      </c>
      <c r="AA677">
        <v>2.4</v>
      </c>
      <c r="AB677">
        <v>1.5</v>
      </c>
      <c r="AC677">
        <v>11.5</v>
      </c>
      <c r="AD677">
        <v>0.3</v>
      </c>
      <c r="AE677">
        <f t="shared" si="344"/>
        <v>0.34204275534441803</v>
      </c>
      <c r="AF677">
        <f t="shared" si="345"/>
        <v>0.10243467933491686</v>
      </c>
      <c r="AG677" s="3">
        <v>6.6</v>
      </c>
      <c r="AH677">
        <v>29.2</v>
      </c>
      <c r="AI677" s="3">
        <v>96</v>
      </c>
    </row>
    <row r="678" spans="1:38" x14ac:dyDescent="0.5">
      <c r="A678">
        <v>60</v>
      </c>
      <c r="B678" s="4">
        <v>250</v>
      </c>
      <c r="C678">
        <v>3</v>
      </c>
      <c r="D678">
        <v>100</v>
      </c>
      <c r="E678">
        <v>1000</v>
      </c>
      <c r="F678">
        <v>600</v>
      </c>
      <c r="G678" s="3">
        <f t="shared" si="413"/>
        <v>6</v>
      </c>
      <c r="Q678">
        <v>74</v>
      </c>
      <c r="R678">
        <v>5.5</v>
      </c>
      <c r="S678">
        <v>1.1000000000000001</v>
      </c>
      <c r="T678">
        <v>19.100000000000001</v>
      </c>
      <c r="U678">
        <v>0.3</v>
      </c>
      <c r="V678">
        <f t="shared" ref="V678:V680" si="416">(R678/1)/(Q678/12)</f>
        <v>0.89189189189189189</v>
      </c>
      <c r="W678">
        <f t="shared" ref="W678:W680" si="417">(T678/16)/(Q678/12)</f>
        <v>0.19358108108108107</v>
      </c>
      <c r="X678">
        <v>7.4</v>
      </c>
      <c r="Y678" s="3">
        <v>28.8</v>
      </c>
      <c r="Z678">
        <v>85.9</v>
      </c>
      <c r="AA678">
        <v>2.5</v>
      </c>
      <c r="AB678">
        <v>1.2</v>
      </c>
      <c r="AC678">
        <v>10</v>
      </c>
      <c r="AD678">
        <v>0.3</v>
      </c>
      <c r="AE678">
        <f t="shared" si="344"/>
        <v>0.34924330616996502</v>
      </c>
      <c r="AF678">
        <f t="shared" si="345"/>
        <v>8.7310826542491254E-2</v>
      </c>
      <c r="AG678" s="3">
        <v>6.8</v>
      </c>
      <c r="AH678">
        <v>30.1</v>
      </c>
      <c r="AI678" s="3">
        <v>94.2</v>
      </c>
    </row>
    <row r="679" spans="1:38" x14ac:dyDescent="0.5">
      <c r="A679">
        <v>60</v>
      </c>
      <c r="B679" s="4">
        <v>300</v>
      </c>
      <c r="C679">
        <v>3</v>
      </c>
      <c r="D679">
        <v>100</v>
      </c>
      <c r="E679">
        <v>1000</v>
      </c>
      <c r="F679">
        <v>600</v>
      </c>
      <c r="G679" s="3">
        <f t="shared" si="413"/>
        <v>6</v>
      </c>
      <c r="Q679">
        <v>74</v>
      </c>
      <c r="R679">
        <v>5.5</v>
      </c>
      <c r="S679">
        <v>1.1000000000000001</v>
      </c>
      <c r="T679">
        <v>19.100000000000001</v>
      </c>
      <c r="U679">
        <v>0.3</v>
      </c>
      <c r="V679">
        <f t="shared" si="416"/>
        <v>0.89189189189189189</v>
      </c>
      <c r="W679">
        <f t="shared" si="417"/>
        <v>0.19358108108108107</v>
      </c>
      <c r="X679">
        <v>7.4</v>
      </c>
      <c r="Y679" s="3">
        <v>28.8</v>
      </c>
      <c r="Z679">
        <v>87.4</v>
      </c>
      <c r="AA679">
        <v>2.7</v>
      </c>
      <c r="AB679">
        <v>1.7</v>
      </c>
      <c r="AC679">
        <v>7.8</v>
      </c>
      <c r="AD679">
        <v>0.3</v>
      </c>
      <c r="AE679">
        <f t="shared" si="344"/>
        <v>0.37070938215102972</v>
      </c>
      <c r="AF679">
        <f t="shared" si="345"/>
        <v>6.6933638443935919E-2</v>
      </c>
      <c r="AG679" s="3">
        <v>5.5</v>
      </c>
      <c r="AH679">
        <v>31.4</v>
      </c>
      <c r="AI679" s="3">
        <v>92.3</v>
      </c>
    </row>
    <row r="680" spans="1:38" x14ac:dyDescent="0.5">
      <c r="A680">
        <v>60</v>
      </c>
      <c r="B680" s="4">
        <v>200</v>
      </c>
      <c r="C680">
        <v>3</v>
      </c>
      <c r="D680">
        <v>100</v>
      </c>
      <c r="E680">
        <v>1000</v>
      </c>
      <c r="F680">
        <v>600</v>
      </c>
      <c r="G680" s="3">
        <f t="shared" si="413"/>
        <v>6</v>
      </c>
      <c r="Q680">
        <v>56.75</v>
      </c>
      <c r="R680">
        <v>6.4</v>
      </c>
      <c r="S680">
        <v>3.4</v>
      </c>
      <c r="T680">
        <v>33.4</v>
      </c>
      <c r="U680">
        <v>0.3</v>
      </c>
      <c r="V680">
        <f t="shared" si="416"/>
        <v>1.3533039647577092</v>
      </c>
      <c r="W680">
        <f t="shared" si="417"/>
        <v>0.44140969162995591</v>
      </c>
      <c r="X680">
        <v>6.9</v>
      </c>
      <c r="Y680" s="3">
        <v>21.95</v>
      </c>
      <c r="Z680">
        <v>65.400000000000006</v>
      </c>
      <c r="AA680">
        <v>5.6</v>
      </c>
      <c r="AB680">
        <v>4.5</v>
      </c>
      <c r="AC680">
        <v>24.1</v>
      </c>
      <c r="AD680">
        <v>0.3</v>
      </c>
      <c r="AE680">
        <f t="shared" si="344"/>
        <v>1.0275229357798163</v>
      </c>
      <c r="AF680">
        <f t="shared" si="345"/>
        <v>0.27637614678899081</v>
      </c>
      <c r="AG680" s="3">
        <v>4.3</v>
      </c>
      <c r="AH680">
        <v>25.3</v>
      </c>
      <c r="AI680" s="3">
        <v>79.5</v>
      </c>
    </row>
    <row r="681" spans="1:38" x14ac:dyDescent="0.5">
      <c r="A681">
        <v>60</v>
      </c>
      <c r="B681" s="4">
        <v>250</v>
      </c>
      <c r="C681">
        <v>3</v>
      </c>
      <c r="D681">
        <v>100</v>
      </c>
      <c r="E681">
        <v>1000</v>
      </c>
      <c r="F681">
        <v>600</v>
      </c>
      <c r="G681" s="3">
        <f t="shared" si="413"/>
        <v>6</v>
      </c>
      <c r="Q681">
        <v>56.75</v>
      </c>
      <c r="R681">
        <v>6.4</v>
      </c>
      <c r="S681">
        <v>3.4</v>
      </c>
      <c r="T681">
        <v>33.4</v>
      </c>
      <c r="U681">
        <v>0.3</v>
      </c>
      <c r="V681">
        <f t="shared" ref="V681:V683" si="418">(R681/1)/(Q681/12)</f>
        <v>1.3533039647577092</v>
      </c>
      <c r="W681">
        <f t="shared" ref="W681:W683" si="419">(T681/16)/(Q681/12)</f>
        <v>0.44140969162995591</v>
      </c>
      <c r="X681">
        <v>6.9</v>
      </c>
      <c r="Y681" s="3">
        <v>21.95</v>
      </c>
      <c r="Z681">
        <v>70.3</v>
      </c>
      <c r="AA681">
        <v>4.9000000000000004</v>
      </c>
      <c r="AB681">
        <v>0.8</v>
      </c>
      <c r="AC681">
        <v>23.6</v>
      </c>
      <c r="AD681">
        <v>0.3</v>
      </c>
      <c r="AE681">
        <f t="shared" si="344"/>
        <v>0.83641536273115225</v>
      </c>
      <c r="AF681">
        <f t="shared" si="345"/>
        <v>0.25177809388335703</v>
      </c>
      <c r="AG681" s="3">
        <v>4.5</v>
      </c>
      <c r="AH681">
        <v>26</v>
      </c>
      <c r="AI681" s="3">
        <v>74.099999999999994</v>
      </c>
    </row>
    <row r="682" spans="1:38" x14ac:dyDescent="0.5">
      <c r="A682">
        <v>60</v>
      </c>
      <c r="B682" s="4">
        <v>300</v>
      </c>
      <c r="C682">
        <v>3</v>
      </c>
      <c r="D682">
        <v>100</v>
      </c>
      <c r="E682">
        <v>1000</v>
      </c>
      <c r="F682">
        <v>600</v>
      </c>
      <c r="G682" s="3">
        <f t="shared" si="413"/>
        <v>6</v>
      </c>
      <c r="Q682">
        <v>56.75</v>
      </c>
      <c r="R682">
        <v>6.4</v>
      </c>
      <c r="S682">
        <v>3.4</v>
      </c>
      <c r="T682">
        <v>33.4</v>
      </c>
      <c r="U682">
        <v>0.3</v>
      </c>
      <c r="V682">
        <f t="shared" si="418"/>
        <v>1.3533039647577092</v>
      </c>
      <c r="W682">
        <f t="shared" si="419"/>
        <v>0.44140969162995591</v>
      </c>
      <c r="X682">
        <v>6.9</v>
      </c>
      <c r="Y682" s="3">
        <v>21.95</v>
      </c>
      <c r="Z682">
        <v>81.2</v>
      </c>
      <c r="AA682">
        <v>3.1</v>
      </c>
      <c r="AB682">
        <v>0.9</v>
      </c>
      <c r="AC682">
        <v>14.4</v>
      </c>
      <c r="AD682">
        <v>0.3</v>
      </c>
      <c r="AE682">
        <f t="shared" si="344"/>
        <v>0.45812807881773399</v>
      </c>
      <c r="AF682">
        <f t="shared" si="345"/>
        <v>0.13300492610837439</v>
      </c>
      <c r="AG682" s="3">
        <v>3.4</v>
      </c>
      <c r="AH682">
        <v>28.6</v>
      </c>
      <c r="AI682" s="3">
        <v>71.099999999999994</v>
      </c>
    </row>
    <row r="683" spans="1:38" x14ac:dyDescent="0.5">
      <c r="A683">
        <v>120</v>
      </c>
      <c r="B683">
        <v>160</v>
      </c>
      <c r="C683">
        <v>0.1</v>
      </c>
      <c r="D683">
        <v>4</v>
      </c>
      <c r="E683">
        <v>50</v>
      </c>
      <c r="F683">
        <v>40</v>
      </c>
      <c r="G683" s="3">
        <f t="shared" si="413"/>
        <v>10</v>
      </c>
      <c r="O683">
        <v>84.5</v>
      </c>
      <c r="P683" s="3">
        <v>6.98</v>
      </c>
      <c r="Q683">
        <v>44.2</v>
      </c>
      <c r="R683">
        <v>5.38</v>
      </c>
      <c r="S683">
        <v>0.6</v>
      </c>
      <c r="T683">
        <v>49.8</v>
      </c>
      <c r="U683">
        <v>0</v>
      </c>
      <c r="V683">
        <f t="shared" si="418"/>
        <v>1.4606334841628958</v>
      </c>
      <c r="W683">
        <f t="shared" si="419"/>
        <v>0.84502262443438902</v>
      </c>
      <c r="X683">
        <v>8.3000000000000007</v>
      </c>
      <c r="Y683" s="3">
        <v>15.37</v>
      </c>
      <c r="Z683">
        <v>45.1</v>
      </c>
      <c r="AA683">
        <v>5.18</v>
      </c>
      <c r="AB683">
        <v>0.5</v>
      </c>
      <c r="AC683">
        <v>49.2</v>
      </c>
      <c r="AD683">
        <v>0</v>
      </c>
      <c r="AE683">
        <f t="shared" ref="AE683:AE756" si="420">(AA683/1)/(Z683/12)</f>
        <v>1.378270509977827</v>
      </c>
      <c r="AF683">
        <f t="shared" ref="AF683:AF756" si="421">(AC683/16)/(Z683/12)</f>
        <v>0.81818181818181823</v>
      </c>
      <c r="AG683" s="3">
        <v>5.1100000000000003</v>
      </c>
      <c r="AH683">
        <v>15.72</v>
      </c>
      <c r="AI683" s="3">
        <v>78.5</v>
      </c>
      <c r="AJ683" s="2" t="s">
        <v>179</v>
      </c>
      <c r="AK683" t="s">
        <v>180</v>
      </c>
      <c r="AL683">
        <v>80</v>
      </c>
    </row>
    <row r="684" spans="1:38" x14ac:dyDescent="0.5">
      <c r="A684">
        <v>120</v>
      </c>
      <c r="B684">
        <v>180</v>
      </c>
      <c r="C684">
        <v>0.1</v>
      </c>
      <c r="D684">
        <v>4</v>
      </c>
      <c r="E684">
        <v>50</v>
      </c>
      <c r="F684">
        <v>40</v>
      </c>
      <c r="G684" s="3">
        <f t="shared" ref="G684:G690" si="422">F684/D684</f>
        <v>10</v>
      </c>
      <c r="O684">
        <v>84.5</v>
      </c>
      <c r="P684" s="3">
        <v>6.98</v>
      </c>
      <c r="Q684">
        <v>44.2</v>
      </c>
      <c r="R684">
        <v>5.38</v>
      </c>
      <c r="S684">
        <v>0.6</v>
      </c>
      <c r="T684">
        <v>49.8</v>
      </c>
      <c r="U684">
        <v>0</v>
      </c>
      <c r="V684">
        <f t="shared" ref="V684:V688" si="423">(R684/1)/(Q684/12)</f>
        <v>1.4606334841628958</v>
      </c>
      <c r="W684">
        <f t="shared" ref="W684:W688" si="424">(T684/16)/(Q684/12)</f>
        <v>0.84502262443438902</v>
      </c>
      <c r="X684">
        <v>8.3000000000000007</v>
      </c>
      <c r="Y684" s="3">
        <v>15.37</v>
      </c>
      <c r="Z684">
        <v>48.2</v>
      </c>
      <c r="AA684">
        <v>5.23</v>
      </c>
      <c r="AB684">
        <v>0.4</v>
      </c>
      <c r="AC684">
        <v>44.14</v>
      </c>
      <c r="AD684">
        <v>0</v>
      </c>
      <c r="AE684">
        <f t="shared" si="420"/>
        <v>1.3020746887966805</v>
      </c>
      <c r="AF684">
        <f t="shared" si="421"/>
        <v>0.68682572614107884</v>
      </c>
      <c r="AG684" s="3">
        <v>5.32</v>
      </c>
      <c r="AH684">
        <v>17.829999999999998</v>
      </c>
      <c r="AI684" s="3">
        <v>75.2</v>
      </c>
    </row>
    <row r="685" spans="1:38" x14ac:dyDescent="0.5">
      <c r="A685">
        <v>120</v>
      </c>
      <c r="B685">
        <v>200</v>
      </c>
      <c r="C685">
        <v>0.1</v>
      </c>
      <c r="D685">
        <v>4</v>
      </c>
      <c r="E685">
        <v>50</v>
      </c>
      <c r="F685">
        <v>40</v>
      </c>
      <c r="G685" s="3">
        <f t="shared" si="422"/>
        <v>10</v>
      </c>
      <c r="O685">
        <v>84.5</v>
      </c>
      <c r="P685" s="3">
        <v>6.98</v>
      </c>
      <c r="Q685">
        <v>44.2</v>
      </c>
      <c r="R685">
        <v>5.38</v>
      </c>
      <c r="S685">
        <v>0.6</v>
      </c>
      <c r="T685">
        <v>49.8</v>
      </c>
      <c r="U685">
        <v>0</v>
      </c>
      <c r="V685">
        <f t="shared" si="423"/>
        <v>1.4606334841628958</v>
      </c>
      <c r="W685">
        <f t="shared" si="424"/>
        <v>0.84502262443438902</v>
      </c>
      <c r="X685">
        <v>8.3000000000000007</v>
      </c>
      <c r="Y685" s="3">
        <v>15.37</v>
      </c>
      <c r="Z685">
        <v>50.39</v>
      </c>
      <c r="AA685">
        <v>5.13</v>
      </c>
      <c r="AB685">
        <v>0.4</v>
      </c>
      <c r="AC685">
        <v>43.02</v>
      </c>
      <c r="AD685">
        <v>0</v>
      </c>
      <c r="AE685">
        <f t="shared" si="420"/>
        <v>1.2216709664615995</v>
      </c>
      <c r="AF685">
        <f t="shared" si="421"/>
        <v>0.64030561619368931</v>
      </c>
      <c r="AG685" s="3">
        <v>6.06</v>
      </c>
      <c r="AH685">
        <v>19.600000000000001</v>
      </c>
      <c r="AI685" s="3">
        <v>61.8</v>
      </c>
    </row>
    <row r="686" spans="1:38" x14ac:dyDescent="0.5">
      <c r="A686">
        <v>240</v>
      </c>
      <c r="B686">
        <v>200</v>
      </c>
      <c r="C686">
        <v>0.1</v>
      </c>
      <c r="D686">
        <v>4</v>
      </c>
      <c r="E686">
        <v>50</v>
      </c>
      <c r="F686">
        <v>40</v>
      </c>
      <c r="G686" s="3">
        <f t="shared" si="422"/>
        <v>10</v>
      </c>
      <c r="O686">
        <v>84.5</v>
      </c>
      <c r="P686" s="3">
        <v>6.98</v>
      </c>
      <c r="Q686">
        <v>44.2</v>
      </c>
      <c r="R686">
        <v>5.38</v>
      </c>
      <c r="S686">
        <v>0.6</v>
      </c>
      <c r="T686">
        <v>49.8</v>
      </c>
      <c r="U686">
        <v>0</v>
      </c>
      <c r="V686">
        <f t="shared" si="423"/>
        <v>1.4606334841628958</v>
      </c>
      <c r="W686">
        <f t="shared" si="424"/>
        <v>0.84502262443438902</v>
      </c>
      <c r="X686">
        <v>8.3000000000000007</v>
      </c>
      <c r="Y686" s="3">
        <v>15.37</v>
      </c>
      <c r="Z686">
        <v>53.09</v>
      </c>
      <c r="AA686">
        <v>5.1100000000000003</v>
      </c>
      <c r="AB686">
        <v>0.3</v>
      </c>
      <c r="AC686">
        <v>41.08</v>
      </c>
      <c r="AD686">
        <v>0</v>
      </c>
      <c r="AE686">
        <f t="shared" si="420"/>
        <v>1.1550197777359201</v>
      </c>
      <c r="AF686">
        <f t="shared" si="421"/>
        <v>0.58033527971369359</v>
      </c>
      <c r="AG686" s="3">
        <v>6.11</v>
      </c>
      <c r="AH686">
        <v>19.63</v>
      </c>
      <c r="AI686" s="3">
        <v>56.3</v>
      </c>
    </row>
    <row r="687" spans="1:38" x14ac:dyDescent="0.5">
      <c r="A687">
        <v>480</v>
      </c>
      <c r="B687">
        <v>200</v>
      </c>
      <c r="C687">
        <v>0.1</v>
      </c>
      <c r="D687">
        <v>4</v>
      </c>
      <c r="E687">
        <v>50</v>
      </c>
      <c r="F687">
        <v>40</v>
      </c>
      <c r="G687" s="3">
        <f t="shared" si="422"/>
        <v>10</v>
      </c>
      <c r="O687">
        <v>84.5</v>
      </c>
      <c r="P687" s="3">
        <v>6.98</v>
      </c>
      <c r="Q687">
        <v>44.2</v>
      </c>
      <c r="R687">
        <v>5.38</v>
      </c>
      <c r="S687">
        <v>0.6</v>
      </c>
      <c r="T687">
        <v>49.8</v>
      </c>
      <c r="U687">
        <v>0</v>
      </c>
      <c r="V687">
        <f t="shared" si="423"/>
        <v>1.4606334841628958</v>
      </c>
      <c r="W687">
        <f t="shared" si="424"/>
        <v>0.84502262443438902</v>
      </c>
      <c r="X687">
        <v>8.3000000000000007</v>
      </c>
      <c r="Y687" s="3">
        <v>15.37</v>
      </c>
      <c r="Z687">
        <v>56.09</v>
      </c>
      <c r="AA687">
        <v>5.0599999999999996</v>
      </c>
      <c r="AB687">
        <v>0.2</v>
      </c>
      <c r="AC687">
        <v>37.68</v>
      </c>
      <c r="AD687">
        <v>0</v>
      </c>
      <c r="AE687">
        <f t="shared" si="420"/>
        <v>1.0825459083615616</v>
      </c>
      <c r="AF687">
        <f t="shared" si="421"/>
        <v>0.50383312533428415</v>
      </c>
      <c r="AG687" s="3">
        <v>6.62</v>
      </c>
      <c r="AH687">
        <v>20.16</v>
      </c>
      <c r="AI687" s="3">
        <v>51.5</v>
      </c>
    </row>
    <row r="688" spans="1:38" x14ac:dyDescent="0.5">
      <c r="A688">
        <v>720</v>
      </c>
      <c r="B688">
        <v>200</v>
      </c>
      <c r="C688">
        <v>0.1</v>
      </c>
      <c r="D688">
        <v>4</v>
      </c>
      <c r="E688">
        <v>50</v>
      </c>
      <c r="F688">
        <v>40</v>
      </c>
      <c r="G688" s="3">
        <f t="shared" si="422"/>
        <v>10</v>
      </c>
      <c r="O688">
        <v>84.5</v>
      </c>
      <c r="P688" s="3">
        <v>6.98</v>
      </c>
      <c r="Q688">
        <v>44.2</v>
      </c>
      <c r="R688">
        <v>5.38</v>
      </c>
      <c r="S688">
        <v>0.6</v>
      </c>
      <c r="T688">
        <v>49.8</v>
      </c>
      <c r="U688">
        <v>0</v>
      </c>
      <c r="V688">
        <f t="shared" si="423"/>
        <v>1.4606334841628958</v>
      </c>
      <c r="W688">
        <f t="shared" si="424"/>
        <v>0.84502262443438902</v>
      </c>
      <c r="X688">
        <v>8.3000000000000007</v>
      </c>
      <c r="Y688" s="3">
        <v>15.37</v>
      </c>
      <c r="Z688">
        <v>59.99</v>
      </c>
      <c r="AA688">
        <v>5.14</v>
      </c>
      <c r="AB688">
        <v>0.2</v>
      </c>
      <c r="AC688">
        <v>32.700000000000003</v>
      </c>
      <c r="AD688">
        <v>0</v>
      </c>
      <c r="AE688">
        <f t="shared" si="420"/>
        <v>1.028171361893649</v>
      </c>
      <c r="AF688">
        <f t="shared" si="421"/>
        <v>0.4088181363560594</v>
      </c>
      <c r="AG688" s="3">
        <v>7.74</v>
      </c>
      <c r="AH688">
        <v>23.33</v>
      </c>
      <c r="AI688" s="3">
        <v>50.5</v>
      </c>
    </row>
    <row r="689" spans="1:38" x14ac:dyDescent="0.5">
      <c r="A689">
        <v>1440</v>
      </c>
      <c r="B689">
        <v>200</v>
      </c>
      <c r="C689">
        <v>0.1</v>
      </c>
      <c r="D689">
        <v>4</v>
      </c>
      <c r="E689">
        <v>50</v>
      </c>
      <c r="F689">
        <v>40</v>
      </c>
      <c r="G689" s="3">
        <f t="shared" si="422"/>
        <v>10</v>
      </c>
      <c r="O689">
        <v>84.5</v>
      </c>
      <c r="P689" s="3">
        <v>6.98</v>
      </c>
      <c r="Q689">
        <v>44.2</v>
      </c>
      <c r="R689">
        <v>5.38</v>
      </c>
      <c r="S689">
        <v>0.6</v>
      </c>
      <c r="T689">
        <v>49.8</v>
      </c>
      <c r="U689">
        <v>0</v>
      </c>
      <c r="V689">
        <f t="shared" ref="V689:V690" si="425">(R689/1)/(Q689/12)</f>
        <v>1.4606334841628958</v>
      </c>
      <c r="W689">
        <f t="shared" ref="W689:W690" si="426">(T689/16)/(Q689/12)</f>
        <v>0.84502262443438902</v>
      </c>
      <c r="X689">
        <v>8.3000000000000007</v>
      </c>
      <c r="Y689" s="3">
        <v>15.37</v>
      </c>
      <c r="Z689">
        <v>60</v>
      </c>
      <c r="AA689">
        <v>5.19</v>
      </c>
      <c r="AB689">
        <v>0.1</v>
      </c>
      <c r="AC689">
        <v>32.479999999999997</v>
      </c>
      <c r="AD689">
        <v>0</v>
      </c>
      <c r="AE689">
        <f t="shared" si="420"/>
        <v>1.038</v>
      </c>
      <c r="AF689">
        <f t="shared" si="421"/>
        <v>0.40599999999999997</v>
      </c>
      <c r="AG689" s="3">
        <v>8.9600000000000009</v>
      </c>
      <c r="AH689">
        <v>24.59</v>
      </c>
      <c r="AI689" s="3">
        <v>45.6</v>
      </c>
    </row>
    <row r="690" spans="1:38" x14ac:dyDescent="0.5">
      <c r="A690">
        <v>60</v>
      </c>
      <c r="B690">
        <v>160</v>
      </c>
      <c r="C690">
        <v>0.1</v>
      </c>
      <c r="D690">
        <v>30</v>
      </c>
      <c r="E690">
        <v>200</v>
      </c>
      <c r="F690">
        <v>150</v>
      </c>
      <c r="G690" s="3">
        <f t="shared" si="422"/>
        <v>5</v>
      </c>
      <c r="O690">
        <v>84.59</v>
      </c>
      <c r="Q690">
        <v>43.79</v>
      </c>
      <c r="R690">
        <v>6.38</v>
      </c>
      <c r="S690">
        <v>9.58</v>
      </c>
      <c r="T690">
        <v>24.64</v>
      </c>
      <c r="U690">
        <v>0</v>
      </c>
      <c r="V690">
        <f t="shared" si="425"/>
        <v>1.7483443708609272</v>
      </c>
      <c r="W690">
        <f t="shared" si="426"/>
        <v>0.42201415848367213</v>
      </c>
      <c r="X690">
        <v>15.4</v>
      </c>
      <c r="Y690" s="3">
        <v>19.79</v>
      </c>
      <c r="Z690">
        <v>44.56</v>
      </c>
      <c r="AA690">
        <v>6.51</v>
      </c>
      <c r="AB690">
        <v>7.78</v>
      </c>
      <c r="AC690">
        <v>24.77</v>
      </c>
      <c r="AD690">
        <v>0</v>
      </c>
      <c r="AE690">
        <f t="shared" si="420"/>
        <v>1.7531418312387792</v>
      </c>
      <c r="AF690">
        <f t="shared" si="421"/>
        <v>0.4169097845601436</v>
      </c>
      <c r="AG690" s="3">
        <v>16.38</v>
      </c>
      <c r="AH690">
        <v>19.93</v>
      </c>
      <c r="AI690" s="3">
        <v>62.11</v>
      </c>
      <c r="AJ690" s="2" t="s">
        <v>181</v>
      </c>
      <c r="AK690" t="s">
        <v>182</v>
      </c>
      <c r="AL690">
        <v>81</v>
      </c>
    </row>
    <row r="691" spans="1:38" x14ac:dyDescent="0.5">
      <c r="A691">
        <v>60</v>
      </c>
      <c r="B691">
        <v>200</v>
      </c>
      <c r="C691">
        <v>0.1</v>
      </c>
      <c r="D691">
        <v>30</v>
      </c>
      <c r="E691">
        <v>200</v>
      </c>
      <c r="F691">
        <v>150</v>
      </c>
      <c r="G691" s="3">
        <f t="shared" ref="G691:G693" si="427">F691/D691</f>
        <v>5</v>
      </c>
      <c r="O691">
        <v>84.59</v>
      </c>
      <c r="Q691">
        <v>43.79</v>
      </c>
      <c r="R691">
        <v>6.38</v>
      </c>
      <c r="S691">
        <v>9.58</v>
      </c>
      <c r="T691">
        <v>24.64</v>
      </c>
      <c r="U691">
        <v>0</v>
      </c>
      <c r="V691">
        <f t="shared" ref="V691:V693" si="428">(R691/1)/(Q691/12)</f>
        <v>1.7483443708609272</v>
      </c>
      <c r="W691">
        <f t="shared" ref="W691:W693" si="429">(T691/16)/(Q691/12)</f>
        <v>0.42201415848367213</v>
      </c>
      <c r="X691">
        <v>15.4</v>
      </c>
      <c r="Y691" s="3">
        <v>19.79</v>
      </c>
      <c r="Z691">
        <v>46.16</v>
      </c>
      <c r="AA691">
        <v>6.55</v>
      </c>
      <c r="AB691">
        <v>6.99</v>
      </c>
      <c r="AC691">
        <v>18.46</v>
      </c>
      <c r="AD691">
        <v>0</v>
      </c>
      <c r="AE691">
        <f t="shared" si="420"/>
        <v>1.7027729636048528</v>
      </c>
      <c r="AF691">
        <f t="shared" si="421"/>
        <v>0.29993500866551132</v>
      </c>
      <c r="AG691" s="3">
        <v>21.84</v>
      </c>
      <c r="AH691">
        <v>21.65</v>
      </c>
      <c r="AI691" s="3">
        <v>43.15</v>
      </c>
    </row>
    <row r="692" spans="1:38" x14ac:dyDescent="0.5">
      <c r="A692">
        <v>60</v>
      </c>
      <c r="B692">
        <v>240</v>
      </c>
      <c r="C692">
        <v>0.1</v>
      </c>
      <c r="D692">
        <v>30</v>
      </c>
      <c r="E692">
        <v>200</v>
      </c>
      <c r="F692">
        <v>150</v>
      </c>
      <c r="G692" s="3">
        <f t="shared" si="427"/>
        <v>5</v>
      </c>
      <c r="O692">
        <v>84.59</v>
      </c>
      <c r="Q692">
        <v>43.79</v>
      </c>
      <c r="R692">
        <v>6.38</v>
      </c>
      <c r="S692">
        <v>9.58</v>
      </c>
      <c r="T692">
        <v>24.64</v>
      </c>
      <c r="U692">
        <v>0</v>
      </c>
      <c r="V692">
        <f t="shared" si="428"/>
        <v>1.7483443708609272</v>
      </c>
      <c r="W692">
        <f t="shared" si="429"/>
        <v>0.42201415848367213</v>
      </c>
      <c r="X692">
        <v>15.4</v>
      </c>
      <c r="Y692" s="3">
        <v>19.79</v>
      </c>
      <c r="Z692">
        <v>49.81</v>
      </c>
      <c r="AA692">
        <v>6.55</v>
      </c>
      <c r="AB692">
        <v>5.49</v>
      </c>
      <c r="AC692">
        <v>12.1</v>
      </c>
      <c r="AD692">
        <v>0</v>
      </c>
      <c r="AE692">
        <f t="shared" si="420"/>
        <v>1.5779963862678175</v>
      </c>
      <c r="AF692">
        <f t="shared" si="421"/>
        <v>0.18219233085725756</v>
      </c>
      <c r="AG692" s="3">
        <v>26.05</v>
      </c>
      <c r="AH692">
        <v>24.01</v>
      </c>
      <c r="AI692" s="3">
        <v>32.42</v>
      </c>
    </row>
    <row r="693" spans="1:38" x14ac:dyDescent="0.5">
      <c r="A693">
        <v>60</v>
      </c>
      <c r="B693">
        <v>200</v>
      </c>
      <c r="C693">
        <v>0.1</v>
      </c>
      <c r="D693">
        <v>60</v>
      </c>
      <c r="E693">
        <v>2000</v>
      </c>
      <c r="F693">
        <v>640</v>
      </c>
      <c r="G693" s="3">
        <f t="shared" si="427"/>
        <v>10.666666666666666</v>
      </c>
      <c r="N693">
        <v>70</v>
      </c>
      <c r="O693">
        <v>93.6</v>
      </c>
      <c r="P693" s="3">
        <v>2.4</v>
      </c>
      <c r="Q693">
        <v>46.6</v>
      </c>
      <c r="R693">
        <v>7.3</v>
      </c>
      <c r="S693">
        <v>2.2000000000000002</v>
      </c>
      <c r="T693">
        <v>39.9</v>
      </c>
      <c r="U693">
        <v>0</v>
      </c>
      <c r="V693">
        <f t="shared" si="428"/>
        <v>1.8798283261802575</v>
      </c>
      <c r="W693">
        <f t="shared" si="429"/>
        <v>0.64216738197424894</v>
      </c>
      <c r="X693">
        <v>4</v>
      </c>
      <c r="Y693" s="3">
        <v>18.2</v>
      </c>
      <c r="Z693">
        <v>58.4</v>
      </c>
      <c r="AA693">
        <v>6.4</v>
      </c>
      <c r="AB693">
        <v>2.8</v>
      </c>
      <c r="AC693">
        <v>29.7</v>
      </c>
      <c r="AD693">
        <v>0</v>
      </c>
      <c r="AE693">
        <f t="shared" si="420"/>
        <v>1.3150684931506851</v>
      </c>
      <c r="AF693">
        <f t="shared" si="421"/>
        <v>0.38142123287671237</v>
      </c>
      <c r="AG693" s="3">
        <v>2.7</v>
      </c>
      <c r="AH693">
        <v>22.7</v>
      </c>
      <c r="AI693" s="3">
        <v>50</v>
      </c>
      <c r="AJ693" s="2" t="s">
        <v>183</v>
      </c>
      <c r="AK693" t="s">
        <v>184</v>
      </c>
      <c r="AL693">
        <v>82</v>
      </c>
    </row>
    <row r="694" spans="1:38" x14ac:dyDescent="0.5">
      <c r="A694">
        <v>180</v>
      </c>
      <c r="B694">
        <v>200</v>
      </c>
      <c r="C694">
        <v>0.1</v>
      </c>
      <c r="D694">
        <v>60</v>
      </c>
      <c r="E694">
        <v>2000</v>
      </c>
      <c r="F694">
        <v>640</v>
      </c>
      <c r="G694" s="3">
        <f t="shared" ref="G694:G697" si="430">F694/D694</f>
        <v>10.666666666666666</v>
      </c>
      <c r="N694">
        <v>70</v>
      </c>
      <c r="O694">
        <v>93.6</v>
      </c>
      <c r="P694" s="3">
        <v>2.4</v>
      </c>
      <c r="Q694">
        <v>46.6</v>
      </c>
      <c r="R694">
        <v>7.3</v>
      </c>
      <c r="S694">
        <v>2.2000000000000002</v>
      </c>
      <c r="T694">
        <v>39.9</v>
      </c>
      <c r="U694">
        <v>0</v>
      </c>
      <c r="V694">
        <f t="shared" ref="V694:V697" si="431">(R694/1)/(Q694/12)</f>
        <v>1.8798283261802575</v>
      </c>
      <c r="W694">
        <f t="shared" ref="W694:W697" si="432">(T694/16)/(Q694/12)</f>
        <v>0.64216738197424894</v>
      </c>
      <c r="X694">
        <v>4</v>
      </c>
      <c r="Y694" s="3">
        <v>18.2</v>
      </c>
      <c r="Z694">
        <v>55.2</v>
      </c>
      <c r="AA694">
        <v>6.5</v>
      </c>
      <c r="AB694">
        <v>3.2</v>
      </c>
      <c r="AC694">
        <v>28.9</v>
      </c>
      <c r="AD694">
        <v>0</v>
      </c>
      <c r="AE694">
        <f t="shared" si="420"/>
        <v>1.4130434782608694</v>
      </c>
      <c r="AF694">
        <f t="shared" si="421"/>
        <v>0.39266304347826081</v>
      </c>
      <c r="AG694" s="3">
        <v>6.2</v>
      </c>
      <c r="AH694">
        <v>22.4</v>
      </c>
      <c r="AI694" s="3">
        <v>47.8</v>
      </c>
    </row>
    <row r="695" spans="1:38" x14ac:dyDescent="0.5">
      <c r="A695">
        <v>300</v>
      </c>
      <c r="B695">
        <v>200</v>
      </c>
      <c r="C695">
        <v>0.1</v>
      </c>
      <c r="D695">
        <v>60</v>
      </c>
      <c r="E695">
        <v>2000</v>
      </c>
      <c r="F695">
        <v>640</v>
      </c>
      <c r="G695" s="3">
        <f t="shared" si="430"/>
        <v>10.666666666666666</v>
      </c>
      <c r="N695">
        <v>70</v>
      </c>
      <c r="O695">
        <v>93.6</v>
      </c>
      <c r="P695" s="3">
        <v>2.4</v>
      </c>
      <c r="Q695">
        <v>46.6</v>
      </c>
      <c r="R695">
        <v>7.3</v>
      </c>
      <c r="S695">
        <v>2.2000000000000002</v>
      </c>
      <c r="T695">
        <v>39.9</v>
      </c>
      <c r="U695">
        <v>0</v>
      </c>
      <c r="V695">
        <f t="shared" si="431"/>
        <v>1.8798283261802575</v>
      </c>
      <c r="W695">
        <f t="shared" si="432"/>
        <v>0.64216738197424894</v>
      </c>
      <c r="X695">
        <v>4</v>
      </c>
      <c r="Y695" s="3">
        <v>18.2</v>
      </c>
      <c r="Z695">
        <v>58.4</v>
      </c>
      <c r="AA695">
        <v>6.1</v>
      </c>
      <c r="AB695">
        <v>2.6</v>
      </c>
      <c r="AC695">
        <v>27.4</v>
      </c>
      <c r="AD695">
        <v>0</v>
      </c>
      <c r="AE695">
        <f t="shared" si="420"/>
        <v>1.2534246575342467</v>
      </c>
      <c r="AF695">
        <f t="shared" si="421"/>
        <v>0.35188356164383561</v>
      </c>
      <c r="AG695" s="3">
        <v>5.5</v>
      </c>
      <c r="AH695">
        <v>22.5</v>
      </c>
      <c r="AI695" s="3">
        <v>53.7</v>
      </c>
    </row>
    <row r="696" spans="1:38" x14ac:dyDescent="0.5">
      <c r="A696">
        <v>480</v>
      </c>
      <c r="B696">
        <v>200</v>
      </c>
      <c r="C696">
        <v>0.1</v>
      </c>
      <c r="D696">
        <v>60</v>
      </c>
      <c r="E696">
        <v>2000</v>
      </c>
      <c r="F696">
        <v>640</v>
      </c>
      <c r="G696" s="3">
        <f t="shared" si="430"/>
        <v>10.666666666666666</v>
      </c>
      <c r="N696">
        <v>70</v>
      </c>
      <c r="O696">
        <v>93.6</v>
      </c>
      <c r="P696" s="3">
        <v>2.4</v>
      </c>
      <c r="Q696">
        <v>46.6</v>
      </c>
      <c r="R696">
        <v>7.3</v>
      </c>
      <c r="S696">
        <v>2.2000000000000002</v>
      </c>
      <c r="T696">
        <v>39.9</v>
      </c>
      <c r="U696">
        <v>0</v>
      </c>
      <c r="V696">
        <f t="shared" si="431"/>
        <v>1.8798283261802575</v>
      </c>
      <c r="W696">
        <f t="shared" si="432"/>
        <v>0.64216738197424894</v>
      </c>
      <c r="X696">
        <v>4</v>
      </c>
      <c r="Y696" s="3">
        <v>18.2</v>
      </c>
      <c r="Z696">
        <v>63.5</v>
      </c>
      <c r="AA696">
        <v>7.2</v>
      </c>
      <c r="AB696">
        <v>2.6</v>
      </c>
      <c r="AC696">
        <v>20.7</v>
      </c>
      <c r="AD696">
        <v>0</v>
      </c>
      <c r="AE696">
        <f t="shared" si="420"/>
        <v>1.3606299212598425</v>
      </c>
      <c r="AF696">
        <f t="shared" si="421"/>
        <v>0.24448818897637792</v>
      </c>
      <c r="AG696" s="3">
        <v>6</v>
      </c>
      <c r="AH696">
        <v>22.6</v>
      </c>
      <c r="AI696" s="3">
        <v>48.5</v>
      </c>
    </row>
    <row r="697" spans="1:38" x14ac:dyDescent="0.5">
      <c r="A697">
        <v>60</v>
      </c>
      <c r="B697">
        <v>180</v>
      </c>
      <c r="C697">
        <v>0.1</v>
      </c>
      <c r="D697">
        <v>15</v>
      </c>
      <c r="E697">
        <v>250</v>
      </c>
      <c r="F697">
        <v>75</v>
      </c>
      <c r="G697" s="3">
        <f t="shared" si="430"/>
        <v>5</v>
      </c>
      <c r="O697">
        <v>81.39</v>
      </c>
      <c r="P697" s="3">
        <v>13.53</v>
      </c>
      <c r="Q697">
        <v>46.2</v>
      </c>
      <c r="R697">
        <v>6.56</v>
      </c>
      <c r="S697">
        <v>0.22</v>
      </c>
      <c r="T697">
        <v>41.95</v>
      </c>
      <c r="U697">
        <v>0</v>
      </c>
      <c r="V697">
        <f t="shared" si="431"/>
        <v>1.7038961038961038</v>
      </c>
      <c r="W697">
        <f t="shared" si="432"/>
        <v>0.68100649350649356</v>
      </c>
      <c r="X697">
        <v>5.07</v>
      </c>
      <c r="Y697" s="3">
        <v>19.079999999999998</v>
      </c>
      <c r="Z697">
        <v>51.77</v>
      </c>
      <c r="AA697">
        <v>6.24</v>
      </c>
      <c r="AB697">
        <v>0.24</v>
      </c>
      <c r="AC697">
        <v>36.409999999999997</v>
      </c>
      <c r="AD697">
        <v>0</v>
      </c>
      <c r="AE697">
        <f t="shared" si="420"/>
        <v>1.446397527525594</v>
      </c>
      <c r="AF697">
        <f t="shared" si="421"/>
        <v>0.5274773034576008</v>
      </c>
      <c r="AG697" s="3">
        <v>5.35</v>
      </c>
      <c r="AH697">
        <v>21.16</v>
      </c>
      <c r="AI697" s="3">
        <v>63</v>
      </c>
      <c r="AJ697" s="2" t="s">
        <v>185</v>
      </c>
      <c r="AK697" t="s">
        <v>186</v>
      </c>
      <c r="AL697">
        <v>83</v>
      </c>
    </row>
    <row r="698" spans="1:38" x14ac:dyDescent="0.5">
      <c r="A698">
        <v>60</v>
      </c>
      <c r="B698">
        <v>200</v>
      </c>
      <c r="C698">
        <v>0.1</v>
      </c>
      <c r="D698">
        <v>15</v>
      </c>
      <c r="E698">
        <v>250</v>
      </c>
      <c r="F698">
        <v>75</v>
      </c>
      <c r="G698" s="3">
        <f t="shared" ref="G698:G712" si="433">F698/D698</f>
        <v>5</v>
      </c>
      <c r="O698">
        <v>81.39</v>
      </c>
      <c r="P698" s="3">
        <v>13.53</v>
      </c>
      <c r="Q698">
        <v>46.2</v>
      </c>
      <c r="R698">
        <v>6.56</v>
      </c>
      <c r="S698">
        <v>0.22</v>
      </c>
      <c r="T698">
        <v>41.95</v>
      </c>
      <c r="U698">
        <v>0</v>
      </c>
      <c r="V698">
        <f t="shared" ref="V698:V708" si="434">(R698/1)/(Q698/12)</f>
        <v>1.7038961038961038</v>
      </c>
      <c r="W698">
        <f t="shared" ref="W698:W708" si="435">(T698/16)/(Q698/12)</f>
        <v>0.68100649350649356</v>
      </c>
      <c r="X698">
        <v>5.07</v>
      </c>
      <c r="Y698" s="3">
        <v>19.079999999999998</v>
      </c>
      <c r="Z698">
        <v>53.99</v>
      </c>
      <c r="AA698">
        <v>6.05</v>
      </c>
      <c r="AB698">
        <v>0.23</v>
      </c>
      <c r="AC698">
        <v>34.21</v>
      </c>
      <c r="AD698">
        <v>0</v>
      </c>
      <c r="AE698">
        <f t="shared" si="420"/>
        <v>1.3446934617521764</v>
      </c>
      <c r="AF698">
        <f t="shared" si="421"/>
        <v>0.47522689386923506</v>
      </c>
      <c r="AG698" s="3">
        <v>5.52</v>
      </c>
      <c r="AH698">
        <v>21.93</v>
      </c>
      <c r="AI698" s="3">
        <v>63.79</v>
      </c>
    </row>
    <row r="699" spans="1:38" x14ac:dyDescent="0.5">
      <c r="A699">
        <v>60</v>
      </c>
      <c r="B699">
        <v>220</v>
      </c>
      <c r="C699">
        <v>0.1</v>
      </c>
      <c r="D699">
        <v>15</v>
      </c>
      <c r="E699">
        <v>250</v>
      </c>
      <c r="F699">
        <v>75</v>
      </c>
      <c r="G699" s="3">
        <f t="shared" si="433"/>
        <v>5</v>
      </c>
      <c r="O699">
        <v>81.39</v>
      </c>
      <c r="P699" s="3">
        <v>13.53</v>
      </c>
      <c r="Q699">
        <v>46.2</v>
      </c>
      <c r="R699">
        <v>6.56</v>
      </c>
      <c r="S699">
        <v>0.22</v>
      </c>
      <c r="T699">
        <v>41.95</v>
      </c>
      <c r="U699">
        <v>0</v>
      </c>
      <c r="V699">
        <f t="shared" si="434"/>
        <v>1.7038961038961038</v>
      </c>
      <c r="W699">
        <f t="shared" si="435"/>
        <v>0.68100649350649356</v>
      </c>
      <c r="X699">
        <v>5.07</v>
      </c>
      <c r="Y699" s="3">
        <v>19.079999999999998</v>
      </c>
      <c r="Z699">
        <v>57.45</v>
      </c>
      <c r="AA699">
        <v>5.84</v>
      </c>
      <c r="AB699">
        <v>0.25</v>
      </c>
      <c r="AC699">
        <v>30.18</v>
      </c>
      <c r="AD699">
        <v>0</v>
      </c>
      <c r="AE699">
        <f t="shared" si="420"/>
        <v>1.2198433420365533</v>
      </c>
      <c r="AF699">
        <f t="shared" si="421"/>
        <v>0.39399477806788508</v>
      </c>
      <c r="AG699" s="3">
        <v>6.28</v>
      </c>
      <c r="AH699">
        <v>23.27</v>
      </c>
      <c r="AI699" s="3">
        <v>61.79</v>
      </c>
    </row>
    <row r="700" spans="1:38" x14ac:dyDescent="0.5">
      <c r="A700">
        <v>60</v>
      </c>
      <c r="B700">
        <v>240</v>
      </c>
      <c r="C700">
        <v>0.1</v>
      </c>
      <c r="D700">
        <v>15</v>
      </c>
      <c r="E700">
        <v>250</v>
      </c>
      <c r="F700">
        <v>75</v>
      </c>
      <c r="G700" s="3">
        <f t="shared" si="433"/>
        <v>5</v>
      </c>
      <c r="O700">
        <v>81.39</v>
      </c>
      <c r="P700" s="3">
        <v>13.53</v>
      </c>
      <c r="Q700">
        <v>46.2</v>
      </c>
      <c r="R700">
        <v>6.56</v>
      </c>
      <c r="S700">
        <v>0.22</v>
      </c>
      <c r="T700">
        <v>41.95</v>
      </c>
      <c r="U700">
        <v>0</v>
      </c>
      <c r="V700">
        <f t="shared" si="434"/>
        <v>1.7038961038961038</v>
      </c>
      <c r="W700">
        <f t="shared" si="435"/>
        <v>0.68100649350649356</v>
      </c>
      <c r="X700">
        <v>5.07</v>
      </c>
      <c r="Y700" s="3">
        <v>19.079999999999998</v>
      </c>
      <c r="Z700">
        <v>62.17</v>
      </c>
      <c r="AA700">
        <v>5.45</v>
      </c>
      <c r="AB700">
        <v>0.28999999999999998</v>
      </c>
      <c r="AC700">
        <v>24.69</v>
      </c>
      <c r="AD700">
        <v>0</v>
      </c>
      <c r="AE700">
        <f t="shared" si="420"/>
        <v>1.0519543188032814</v>
      </c>
      <c r="AF700">
        <f t="shared" si="421"/>
        <v>0.29785266205565386</v>
      </c>
      <c r="AG700" s="3">
        <v>7.4</v>
      </c>
      <c r="AH700">
        <v>24.97</v>
      </c>
      <c r="AI700" s="3">
        <v>56.06</v>
      </c>
    </row>
    <row r="701" spans="1:38" x14ac:dyDescent="0.5">
      <c r="A701">
        <v>60</v>
      </c>
      <c r="B701">
        <v>260</v>
      </c>
      <c r="C701">
        <v>0.1</v>
      </c>
      <c r="D701">
        <v>15</v>
      </c>
      <c r="E701">
        <v>250</v>
      </c>
      <c r="F701">
        <v>75</v>
      </c>
      <c r="G701" s="3">
        <f t="shared" si="433"/>
        <v>5</v>
      </c>
      <c r="O701">
        <v>81.39</v>
      </c>
      <c r="P701" s="3">
        <v>13.53</v>
      </c>
      <c r="Q701">
        <v>46.2</v>
      </c>
      <c r="R701">
        <v>6.56</v>
      </c>
      <c r="S701">
        <v>0.22</v>
      </c>
      <c r="T701">
        <v>41.95</v>
      </c>
      <c r="U701">
        <v>0</v>
      </c>
      <c r="V701">
        <f t="shared" si="434"/>
        <v>1.7038961038961038</v>
      </c>
      <c r="W701">
        <f t="shared" si="435"/>
        <v>0.68100649350649356</v>
      </c>
      <c r="X701">
        <v>5.07</v>
      </c>
      <c r="Y701" s="3">
        <v>19.079999999999998</v>
      </c>
      <c r="Z701">
        <v>64.92</v>
      </c>
      <c r="AA701">
        <v>5.37</v>
      </c>
      <c r="AB701">
        <v>0.34</v>
      </c>
      <c r="AC701">
        <v>21.77</v>
      </c>
      <c r="AD701">
        <v>0</v>
      </c>
      <c r="AE701">
        <f t="shared" si="420"/>
        <v>0.99260628465804068</v>
      </c>
      <c r="AF701">
        <f t="shared" si="421"/>
        <v>0.25150184842883549</v>
      </c>
      <c r="AG701" s="3">
        <v>7.6</v>
      </c>
      <c r="AH701">
        <v>26.11</v>
      </c>
      <c r="AI701" s="3">
        <v>51.79</v>
      </c>
    </row>
    <row r="702" spans="1:38" x14ac:dyDescent="0.5">
      <c r="A702">
        <v>60</v>
      </c>
      <c r="B702">
        <v>280</v>
      </c>
      <c r="C702">
        <v>0.1</v>
      </c>
      <c r="D702">
        <v>15</v>
      </c>
      <c r="E702">
        <v>250</v>
      </c>
      <c r="F702">
        <v>75</v>
      </c>
      <c r="G702" s="3">
        <f t="shared" si="433"/>
        <v>5</v>
      </c>
      <c r="O702">
        <v>81.39</v>
      </c>
      <c r="P702" s="3">
        <v>13.53</v>
      </c>
      <c r="Q702">
        <v>46.2</v>
      </c>
      <c r="R702">
        <v>6.56</v>
      </c>
      <c r="S702">
        <v>0.22</v>
      </c>
      <c r="T702">
        <v>41.95</v>
      </c>
      <c r="U702">
        <v>0</v>
      </c>
      <c r="V702">
        <f t="shared" si="434"/>
        <v>1.7038961038961038</v>
      </c>
      <c r="W702">
        <f t="shared" si="435"/>
        <v>0.68100649350649356</v>
      </c>
      <c r="X702">
        <v>5.07</v>
      </c>
      <c r="Y702" s="3">
        <v>19.079999999999998</v>
      </c>
      <c r="Z702">
        <v>65.28</v>
      </c>
      <c r="AA702">
        <v>5.32</v>
      </c>
      <c r="AB702">
        <v>0.35</v>
      </c>
      <c r="AC702">
        <v>21.9</v>
      </c>
      <c r="AD702">
        <v>0</v>
      </c>
      <c r="AE702">
        <f t="shared" si="420"/>
        <v>0.9779411764705882</v>
      </c>
      <c r="AF702">
        <f t="shared" si="421"/>
        <v>0.25160845588235292</v>
      </c>
      <c r="AG702" s="3">
        <v>7.15</v>
      </c>
      <c r="AH702">
        <v>26.17</v>
      </c>
      <c r="AI702" s="3">
        <v>50.35</v>
      </c>
    </row>
    <row r="703" spans="1:38" x14ac:dyDescent="0.5">
      <c r="A703">
        <v>60</v>
      </c>
      <c r="B703">
        <v>300</v>
      </c>
      <c r="C703">
        <v>0.1</v>
      </c>
      <c r="D703">
        <v>15</v>
      </c>
      <c r="E703">
        <v>250</v>
      </c>
      <c r="F703">
        <v>75</v>
      </c>
      <c r="G703" s="3">
        <f t="shared" si="433"/>
        <v>5</v>
      </c>
      <c r="O703">
        <v>81.39</v>
      </c>
      <c r="P703" s="3">
        <v>13.53</v>
      </c>
      <c r="Q703">
        <v>46.2</v>
      </c>
      <c r="R703">
        <v>6.56</v>
      </c>
      <c r="S703">
        <v>0.22</v>
      </c>
      <c r="T703">
        <v>41.95</v>
      </c>
      <c r="U703">
        <v>0</v>
      </c>
      <c r="V703">
        <f t="shared" si="434"/>
        <v>1.7038961038961038</v>
      </c>
      <c r="W703">
        <f t="shared" si="435"/>
        <v>0.68100649350649356</v>
      </c>
      <c r="X703">
        <v>5.07</v>
      </c>
      <c r="Y703" s="3">
        <v>19.079999999999998</v>
      </c>
      <c r="Z703">
        <v>67.13</v>
      </c>
      <c r="AA703">
        <v>5.24</v>
      </c>
      <c r="AB703">
        <v>0.37</v>
      </c>
      <c r="AC703">
        <v>19.54</v>
      </c>
      <c r="AD703">
        <v>0</v>
      </c>
      <c r="AE703">
        <f t="shared" si="420"/>
        <v>0.93669000446894102</v>
      </c>
      <c r="AF703">
        <f t="shared" si="421"/>
        <v>0.21830776106062863</v>
      </c>
      <c r="AG703" s="3">
        <v>7.74</v>
      </c>
      <c r="AH703">
        <v>26.93</v>
      </c>
      <c r="AI703" s="3">
        <v>48.25</v>
      </c>
    </row>
    <row r="704" spans="1:38" x14ac:dyDescent="0.5">
      <c r="A704">
        <v>120</v>
      </c>
      <c r="B704">
        <v>240</v>
      </c>
      <c r="C704">
        <v>0.1</v>
      </c>
      <c r="D704">
        <v>15</v>
      </c>
      <c r="E704">
        <v>250</v>
      </c>
      <c r="F704">
        <v>75</v>
      </c>
      <c r="G704" s="3">
        <f t="shared" si="433"/>
        <v>5</v>
      </c>
      <c r="O704">
        <v>81.39</v>
      </c>
      <c r="P704" s="3">
        <v>13.53</v>
      </c>
      <c r="Q704">
        <v>46.2</v>
      </c>
      <c r="R704">
        <v>6.56</v>
      </c>
      <c r="S704">
        <v>0.22</v>
      </c>
      <c r="T704">
        <v>41.95</v>
      </c>
      <c r="U704">
        <v>0</v>
      </c>
      <c r="V704">
        <f t="shared" si="434"/>
        <v>1.7038961038961038</v>
      </c>
      <c r="W704">
        <f t="shared" si="435"/>
        <v>0.68100649350649356</v>
      </c>
      <c r="X704">
        <v>5.07</v>
      </c>
      <c r="Y704" s="3">
        <v>19.079999999999998</v>
      </c>
      <c r="Z704">
        <v>63.55</v>
      </c>
      <c r="AA704">
        <v>5.37</v>
      </c>
      <c r="AB704">
        <v>0.3</v>
      </c>
      <c r="AC704">
        <v>23.43</v>
      </c>
      <c r="AD704">
        <v>0</v>
      </c>
      <c r="AE704">
        <f t="shared" si="420"/>
        <v>1.0140047206923681</v>
      </c>
      <c r="AF704">
        <f t="shared" si="421"/>
        <v>0.2765145554681353</v>
      </c>
      <c r="AG704" s="3">
        <v>7.35</v>
      </c>
      <c r="AH704">
        <v>25.47</v>
      </c>
      <c r="AI704" s="3">
        <v>53.33</v>
      </c>
    </row>
    <row r="705" spans="1:38" x14ac:dyDescent="0.5">
      <c r="A705">
        <v>90</v>
      </c>
      <c r="B705">
        <v>240</v>
      </c>
      <c r="C705">
        <v>0.1</v>
      </c>
      <c r="D705">
        <v>15</v>
      </c>
      <c r="E705">
        <v>250</v>
      </c>
      <c r="F705">
        <v>75</v>
      </c>
      <c r="G705" s="3">
        <f t="shared" si="433"/>
        <v>5</v>
      </c>
      <c r="O705">
        <v>81.39</v>
      </c>
      <c r="P705" s="3">
        <v>13.53</v>
      </c>
      <c r="Q705">
        <v>46.2</v>
      </c>
      <c r="R705">
        <v>6.56</v>
      </c>
      <c r="S705">
        <v>0.22</v>
      </c>
      <c r="T705">
        <v>41.95</v>
      </c>
      <c r="U705">
        <v>0</v>
      </c>
      <c r="V705">
        <f t="shared" si="434"/>
        <v>1.7038961038961038</v>
      </c>
      <c r="W705">
        <f t="shared" si="435"/>
        <v>0.68100649350649356</v>
      </c>
      <c r="X705">
        <v>5.07</v>
      </c>
      <c r="Y705" s="3">
        <v>19.079999999999998</v>
      </c>
      <c r="Z705">
        <v>64.44</v>
      </c>
      <c r="AA705">
        <v>5.46</v>
      </c>
      <c r="AB705">
        <v>0.31</v>
      </c>
      <c r="AC705">
        <v>22.03</v>
      </c>
      <c r="AD705">
        <v>0</v>
      </c>
      <c r="AE705">
        <f t="shared" si="420"/>
        <v>1.0167597765363128</v>
      </c>
      <c r="AF705">
        <f t="shared" si="421"/>
        <v>0.25640130353817503</v>
      </c>
      <c r="AG705" s="3">
        <v>7.76</v>
      </c>
      <c r="AH705">
        <v>26.02</v>
      </c>
      <c r="AI705" s="3">
        <v>54.35</v>
      </c>
    </row>
    <row r="706" spans="1:38" x14ac:dyDescent="0.5">
      <c r="A706">
        <v>30</v>
      </c>
      <c r="B706">
        <v>240</v>
      </c>
      <c r="C706">
        <v>0.1</v>
      </c>
      <c r="D706">
        <v>15</v>
      </c>
      <c r="E706">
        <v>250</v>
      </c>
      <c r="F706">
        <v>75</v>
      </c>
      <c r="G706" s="3">
        <f t="shared" si="433"/>
        <v>5</v>
      </c>
      <c r="O706">
        <v>81.39</v>
      </c>
      <c r="P706" s="3">
        <v>13.53</v>
      </c>
      <c r="Q706">
        <v>46.2</v>
      </c>
      <c r="R706">
        <v>6.56</v>
      </c>
      <c r="S706">
        <v>0.22</v>
      </c>
      <c r="T706">
        <v>41.95</v>
      </c>
      <c r="U706">
        <v>0</v>
      </c>
      <c r="V706">
        <f t="shared" si="434"/>
        <v>1.7038961038961038</v>
      </c>
      <c r="W706">
        <f t="shared" si="435"/>
        <v>0.68100649350649356</v>
      </c>
      <c r="X706">
        <v>5.07</v>
      </c>
      <c r="Y706" s="3">
        <v>19.079999999999998</v>
      </c>
      <c r="Z706">
        <v>59.83</v>
      </c>
      <c r="AA706">
        <v>5.62</v>
      </c>
      <c r="AB706">
        <v>0.28000000000000003</v>
      </c>
      <c r="AC706">
        <v>27.03</v>
      </c>
      <c r="AD706">
        <v>0</v>
      </c>
      <c r="AE706">
        <f t="shared" si="420"/>
        <v>1.1271937155273275</v>
      </c>
      <c r="AF706">
        <f t="shared" si="421"/>
        <v>0.33883503259234504</v>
      </c>
      <c r="AG706" s="3">
        <v>7.25</v>
      </c>
      <c r="AH706">
        <v>24.13</v>
      </c>
      <c r="AI706" s="3">
        <v>57.03</v>
      </c>
    </row>
    <row r="707" spans="1:38" x14ac:dyDescent="0.5">
      <c r="A707">
        <v>0</v>
      </c>
      <c r="B707">
        <v>240</v>
      </c>
      <c r="C707">
        <v>0.1</v>
      </c>
      <c r="D707">
        <v>15</v>
      </c>
      <c r="E707">
        <v>250</v>
      </c>
      <c r="F707">
        <v>75</v>
      </c>
      <c r="G707" s="3">
        <f t="shared" si="433"/>
        <v>5</v>
      </c>
      <c r="O707">
        <v>81.39</v>
      </c>
      <c r="P707" s="3">
        <v>13.53</v>
      </c>
      <c r="Q707">
        <v>46.2</v>
      </c>
      <c r="R707">
        <v>6.56</v>
      </c>
      <c r="S707">
        <v>0.22</v>
      </c>
      <c r="T707">
        <v>41.95</v>
      </c>
      <c r="U707">
        <v>0</v>
      </c>
      <c r="V707">
        <f t="shared" si="434"/>
        <v>1.7038961038961038</v>
      </c>
      <c r="W707">
        <f t="shared" si="435"/>
        <v>0.68100649350649356</v>
      </c>
      <c r="X707">
        <v>5.07</v>
      </c>
      <c r="Y707" s="3">
        <v>19.079999999999998</v>
      </c>
      <c r="Z707">
        <v>53.71</v>
      </c>
      <c r="AA707">
        <v>5.85</v>
      </c>
      <c r="AB707">
        <v>0.22</v>
      </c>
      <c r="AC707">
        <v>33.39</v>
      </c>
      <c r="AD707">
        <v>0</v>
      </c>
      <c r="AE707">
        <f t="shared" si="420"/>
        <v>1.3070191770619997</v>
      </c>
      <c r="AF707">
        <f t="shared" si="421"/>
        <v>0.46625395643269413</v>
      </c>
      <c r="AG707" s="3">
        <v>6.83</v>
      </c>
      <c r="AH707">
        <v>21.65</v>
      </c>
      <c r="AI707" s="3">
        <v>60.53</v>
      </c>
    </row>
    <row r="708" spans="1:38" x14ac:dyDescent="0.5">
      <c r="A708">
        <v>60</v>
      </c>
      <c r="B708">
        <v>180</v>
      </c>
      <c r="C708">
        <v>0.1</v>
      </c>
      <c r="D708">
        <v>10</v>
      </c>
      <c r="E708">
        <v>500</v>
      </c>
      <c r="F708">
        <v>200</v>
      </c>
      <c r="G708" s="3">
        <f t="shared" si="433"/>
        <v>20</v>
      </c>
      <c r="N708">
        <v>69</v>
      </c>
      <c r="O708">
        <v>62.8</v>
      </c>
      <c r="P708" s="3">
        <v>4.0999999999999996</v>
      </c>
      <c r="Q708">
        <v>44.3</v>
      </c>
      <c r="R708">
        <v>5.7</v>
      </c>
      <c r="S708">
        <v>4.2</v>
      </c>
      <c r="T708">
        <v>42.8</v>
      </c>
      <c r="U708">
        <v>0.3</v>
      </c>
      <c r="V708">
        <f t="shared" si="434"/>
        <v>1.544018058690745</v>
      </c>
      <c r="W708">
        <f t="shared" si="435"/>
        <v>0.72460496613995484</v>
      </c>
      <c r="X708">
        <v>9.8000000000000007</v>
      </c>
      <c r="Y708" s="3">
        <f>(0.338*Q708)+1.428*(R708-(T708/8))</f>
        <v>15.4732</v>
      </c>
      <c r="Z708">
        <v>50.94</v>
      </c>
      <c r="AA708">
        <v>7.74</v>
      </c>
      <c r="AB708">
        <v>0.24</v>
      </c>
      <c r="AC708">
        <v>41.08</v>
      </c>
      <c r="AD708">
        <v>0</v>
      </c>
      <c r="AE708">
        <f t="shared" si="420"/>
        <v>1.8233215547703181</v>
      </c>
      <c r="AF708">
        <f t="shared" si="421"/>
        <v>0.60482921083627794</v>
      </c>
      <c r="AG708" s="3">
        <v>11.86</v>
      </c>
      <c r="AH708">
        <v>19.47</v>
      </c>
      <c r="AI708" s="3">
        <v>81.3</v>
      </c>
      <c r="AJ708" s="2" t="s">
        <v>187</v>
      </c>
      <c r="AK708" t="s">
        <v>188</v>
      </c>
      <c r="AL708">
        <v>84</v>
      </c>
    </row>
    <row r="709" spans="1:38" x14ac:dyDescent="0.5">
      <c r="A709">
        <v>60</v>
      </c>
      <c r="B709">
        <v>180</v>
      </c>
      <c r="C709">
        <v>0.1</v>
      </c>
      <c r="D709">
        <v>10</v>
      </c>
      <c r="E709">
        <v>500</v>
      </c>
      <c r="F709">
        <v>250</v>
      </c>
      <c r="G709" s="3">
        <f t="shared" si="433"/>
        <v>25</v>
      </c>
      <c r="N709">
        <v>69</v>
      </c>
      <c r="O709">
        <v>62.8</v>
      </c>
      <c r="P709" s="3">
        <v>4.0999999999999996</v>
      </c>
      <c r="Q709">
        <v>44.3</v>
      </c>
      <c r="R709">
        <v>5.7</v>
      </c>
      <c r="S709">
        <v>4.2</v>
      </c>
      <c r="T709">
        <v>42.8</v>
      </c>
      <c r="U709">
        <v>0.3</v>
      </c>
      <c r="V709">
        <f t="shared" ref="V709:V723" si="436">(R709/1)/(Q709/12)</f>
        <v>1.544018058690745</v>
      </c>
      <c r="W709">
        <f t="shared" ref="W709:W723" si="437">(T709/16)/(Q709/12)</f>
        <v>0.72460496613995484</v>
      </c>
      <c r="X709">
        <v>9.8000000000000007</v>
      </c>
      <c r="Y709" s="3">
        <f t="shared" ref="Y709:Y721" si="438">(0.338*Q709)+1.428*(R709-(T709/8))</f>
        <v>15.4732</v>
      </c>
      <c r="Z709">
        <v>51.25</v>
      </c>
      <c r="AA709">
        <v>8.69</v>
      </c>
      <c r="AB709">
        <v>0.55000000000000004</v>
      </c>
      <c r="AC709">
        <v>39.51</v>
      </c>
      <c r="AD709">
        <v>0</v>
      </c>
      <c r="AE709">
        <f t="shared" si="420"/>
        <v>2.0347317073170732</v>
      </c>
      <c r="AF709">
        <f t="shared" si="421"/>
        <v>0.57819512195121947</v>
      </c>
      <c r="AG709" s="3">
        <v>11.97</v>
      </c>
      <c r="AH709">
        <v>21.04</v>
      </c>
      <c r="AI709" s="3">
        <v>65.3</v>
      </c>
    </row>
    <row r="710" spans="1:38" x14ac:dyDescent="0.5">
      <c r="A710">
        <v>60</v>
      </c>
      <c r="B710">
        <v>180</v>
      </c>
      <c r="C710">
        <v>0.1</v>
      </c>
      <c r="D710">
        <v>10</v>
      </c>
      <c r="E710">
        <v>500</v>
      </c>
      <c r="F710">
        <v>300</v>
      </c>
      <c r="G710" s="3">
        <f t="shared" si="433"/>
        <v>30</v>
      </c>
      <c r="N710">
        <v>69</v>
      </c>
      <c r="O710">
        <v>62.8</v>
      </c>
      <c r="P710" s="3">
        <v>4.0999999999999996</v>
      </c>
      <c r="Q710">
        <v>44.3</v>
      </c>
      <c r="R710">
        <v>5.7</v>
      </c>
      <c r="S710">
        <v>4.2</v>
      </c>
      <c r="T710">
        <v>42.8</v>
      </c>
      <c r="U710">
        <v>0.3</v>
      </c>
      <c r="V710">
        <f t="shared" si="436"/>
        <v>1.544018058690745</v>
      </c>
      <c r="W710">
        <f t="shared" si="437"/>
        <v>0.72460496613995484</v>
      </c>
      <c r="X710">
        <v>9.8000000000000007</v>
      </c>
      <c r="Y710" s="3">
        <f t="shared" si="438"/>
        <v>15.4732</v>
      </c>
      <c r="Z710">
        <v>53.16</v>
      </c>
      <c r="AA710">
        <v>6.56</v>
      </c>
      <c r="AB710">
        <v>0.92</v>
      </c>
      <c r="AC710">
        <v>39.36</v>
      </c>
      <c r="AD710">
        <v>0</v>
      </c>
      <c r="AE710">
        <f t="shared" si="420"/>
        <v>1.4808126410835214</v>
      </c>
      <c r="AF710">
        <f t="shared" si="421"/>
        <v>0.55530474040632061</v>
      </c>
      <c r="AG710" s="3">
        <v>10.220000000000001</v>
      </c>
      <c r="AH710">
        <v>19.07</v>
      </c>
      <c r="AI710" s="3">
        <v>55.6</v>
      </c>
    </row>
    <row r="711" spans="1:38" x14ac:dyDescent="0.5">
      <c r="A711">
        <v>60</v>
      </c>
      <c r="B711">
        <v>180</v>
      </c>
      <c r="C711">
        <v>0.1</v>
      </c>
      <c r="D711">
        <v>10</v>
      </c>
      <c r="E711">
        <v>500</v>
      </c>
      <c r="F711">
        <v>350</v>
      </c>
      <c r="G711" s="3">
        <f t="shared" si="433"/>
        <v>35</v>
      </c>
      <c r="N711">
        <v>69</v>
      </c>
      <c r="O711">
        <v>62.8</v>
      </c>
      <c r="P711" s="3">
        <v>4.0999999999999996</v>
      </c>
      <c r="Q711">
        <v>44.3</v>
      </c>
      <c r="R711">
        <v>5.7</v>
      </c>
      <c r="S711">
        <v>4.2</v>
      </c>
      <c r="T711">
        <v>42.8</v>
      </c>
      <c r="U711">
        <v>0.3</v>
      </c>
      <c r="V711">
        <f t="shared" si="436"/>
        <v>1.544018058690745</v>
      </c>
      <c r="W711">
        <f t="shared" si="437"/>
        <v>0.72460496613995484</v>
      </c>
      <c r="X711">
        <v>9.8000000000000007</v>
      </c>
      <c r="Y711" s="3">
        <f t="shared" si="438"/>
        <v>15.4732</v>
      </c>
      <c r="Z711">
        <v>56.58</v>
      </c>
      <c r="AA711">
        <v>7.17</v>
      </c>
      <c r="AB711">
        <v>1.66</v>
      </c>
      <c r="AC711">
        <v>34.590000000000003</v>
      </c>
      <c r="AD711">
        <v>0</v>
      </c>
      <c r="AE711">
        <f t="shared" si="420"/>
        <v>1.5206786850477201</v>
      </c>
      <c r="AF711">
        <f t="shared" si="421"/>
        <v>0.45851007423117718</v>
      </c>
      <c r="AG711" s="3">
        <v>10.029999999999999</v>
      </c>
      <c r="AH711">
        <v>21.84</v>
      </c>
      <c r="AI711" s="3">
        <v>46.9</v>
      </c>
    </row>
    <row r="712" spans="1:38" x14ac:dyDescent="0.5">
      <c r="A712">
        <v>60</v>
      </c>
      <c r="B712">
        <v>180</v>
      </c>
      <c r="C712">
        <v>0.1</v>
      </c>
      <c r="D712">
        <v>10</v>
      </c>
      <c r="E712">
        <v>500</v>
      </c>
      <c r="F712">
        <v>400</v>
      </c>
      <c r="G712" s="3">
        <f t="shared" si="433"/>
        <v>40</v>
      </c>
      <c r="N712">
        <v>69</v>
      </c>
      <c r="O712">
        <v>62.8</v>
      </c>
      <c r="P712" s="3">
        <v>4.0999999999999996</v>
      </c>
      <c r="Q712">
        <v>44.3</v>
      </c>
      <c r="R712">
        <v>5.7</v>
      </c>
      <c r="S712">
        <v>4.2</v>
      </c>
      <c r="T712">
        <v>42.8</v>
      </c>
      <c r="U712">
        <v>0.3</v>
      </c>
      <c r="V712">
        <f t="shared" si="436"/>
        <v>1.544018058690745</v>
      </c>
      <c r="W712">
        <f t="shared" si="437"/>
        <v>0.72460496613995484</v>
      </c>
      <c r="X712">
        <v>9.8000000000000007</v>
      </c>
      <c r="Y712" s="3">
        <f t="shared" si="438"/>
        <v>15.4732</v>
      </c>
      <c r="Z712">
        <v>61.29</v>
      </c>
      <c r="AA712">
        <v>8.31</v>
      </c>
      <c r="AB712">
        <v>2.66</v>
      </c>
      <c r="AC712">
        <v>27.74</v>
      </c>
      <c r="AD712">
        <v>0</v>
      </c>
      <c r="AE712">
        <f t="shared" si="420"/>
        <v>1.6270190895741559</v>
      </c>
      <c r="AF712">
        <f t="shared" si="421"/>
        <v>0.33945178658835046</v>
      </c>
      <c r="AG712" s="3">
        <v>9.09</v>
      </c>
      <c r="AH712">
        <v>26.09</v>
      </c>
      <c r="AI712" s="3">
        <v>42.3</v>
      </c>
    </row>
    <row r="713" spans="1:38" x14ac:dyDescent="0.5">
      <c r="A713">
        <v>60</v>
      </c>
      <c r="B713">
        <v>220</v>
      </c>
      <c r="C713">
        <v>0.1</v>
      </c>
      <c r="D713">
        <v>10</v>
      </c>
      <c r="E713">
        <v>500</v>
      </c>
      <c r="F713">
        <v>200</v>
      </c>
      <c r="G713" s="3">
        <f t="shared" ref="G713:G723" si="439">F713/D713</f>
        <v>20</v>
      </c>
      <c r="N713">
        <v>69</v>
      </c>
      <c r="O713">
        <v>62.8</v>
      </c>
      <c r="P713" s="3">
        <v>4.0999999999999996</v>
      </c>
      <c r="Q713">
        <v>44.3</v>
      </c>
      <c r="R713">
        <v>5.7</v>
      </c>
      <c r="S713">
        <v>4.2</v>
      </c>
      <c r="T713">
        <v>42.8</v>
      </c>
      <c r="U713">
        <v>0.3</v>
      </c>
      <c r="V713">
        <f t="shared" si="436"/>
        <v>1.544018058690745</v>
      </c>
      <c r="W713">
        <f t="shared" si="437"/>
        <v>0.72460496613995484</v>
      </c>
      <c r="X713">
        <v>9.8000000000000007</v>
      </c>
      <c r="Y713" s="3">
        <f t="shared" si="438"/>
        <v>15.4732</v>
      </c>
      <c r="Z713">
        <v>53.37</v>
      </c>
      <c r="AA713">
        <v>8.27</v>
      </c>
      <c r="AB713">
        <v>0.19</v>
      </c>
      <c r="AC713">
        <v>38.17</v>
      </c>
      <c r="AD713">
        <v>0</v>
      </c>
      <c r="AE713">
        <f t="shared" si="420"/>
        <v>1.8594716132658797</v>
      </c>
      <c r="AF713">
        <f t="shared" si="421"/>
        <v>0.53639685216413724</v>
      </c>
      <c r="AG713" s="3">
        <v>10.119999999999999</v>
      </c>
      <c r="AH713">
        <v>21.47</v>
      </c>
      <c r="AI713" s="3">
        <v>61.5</v>
      </c>
    </row>
    <row r="714" spans="1:38" x14ac:dyDescent="0.5">
      <c r="A714">
        <v>60</v>
      </c>
      <c r="B714">
        <v>220</v>
      </c>
      <c r="C714">
        <v>0.1</v>
      </c>
      <c r="D714">
        <v>10</v>
      </c>
      <c r="E714">
        <v>500</v>
      </c>
      <c r="F714">
        <v>250</v>
      </c>
      <c r="G714" s="3">
        <f t="shared" si="439"/>
        <v>25</v>
      </c>
      <c r="N714">
        <v>69</v>
      </c>
      <c r="O714">
        <v>62.8</v>
      </c>
      <c r="P714" s="3">
        <v>4.0999999999999996</v>
      </c>
      <c r="Q714">
        <v>44.3</v>
      </c>
      <c r="R714">
        <v>5.7</v>
      </c>
      <c r="S714">
        <v>4.2</v>
      </c>
      <c r="T714">
        <v>42.8</v>
      </c>
      <c r="U714">
        <v>0.3</v>
      </c>
      <c r="V714">
        <f t="shared" si="436"/>
        <v>1.544018058690745</v>
      </c>
      <c r="W714">
        <f t="shared" si="437"/>
        <v>0.72460496613995484</v>
      </c>
      <c r="X714">
        <v>9.8000000000000007</v>
      </c>
      <c r="Y714" s="3">
        <f t="shared" si="438"/>
        <v>15.4732</v>
      </c>
      <c r="Z714">
        <v>56.01</v>
      </c>
      <c r="AA714">
        <v>8.17</v>
      </c>
      <c r="AB714">
        <v>0.67</v>
      </c>
      <c r="AC714">
        <v>35.15</v>
      </c>
      <c r="AD714">
        <v>0</v>
      </c>
      <c r="AE714">
        <f t="shared" si="420"/>
        <v>1.7504017139796466</v>
      </c>
      <c r="AF714">
        <f t="shared" si="421"/>
        <v>0.47067487948580611</v>
      </c>
      <c r="AG714" s="3">
        <v>10.220000000000001</v>
      </c>
      <c r="AH714">
        <v>22.79</v>
      </c>
      <c r="AI714" s="3">
        <v>59.2</v>
      </c>
    </row>
    <row r="715" spans="1:38" x14ac:dyDescent="0.5">
      <c r="A715">
        <v>60</v>
      </c>
      <c r="B715">
        <v>220</v>
      </c>
      <c r="C715">
        <v>0.1</v>
      </c>
      <c r="D715">
        <v>10</v>
      </c>
      <c r="E715">
        <v>500</v>
      </c>
      <c r="F715">
        <v>300</v>
      </c>
      <c r="G715" s="3">
        <f t="shared" si="439"/>
        <v>30</v>
      </c>
      <c r="N715">
        <v>69</v>
      </c>
      <c r="O715">
        <v>62.8</v>
      </c>
      <c r="P715" s="3">
        <v>4.0999999999999996</v>
      </c>
      <c r="Q715">
        <v>44.3</v>
      </c>
      <c r="R715">
        <v>5.7</v>
      </c>
      <c r="S715">
        <v>4.2</v>
      </c>
      <c r="T715">
        <v>42.8</v>
      </c>
      <c r="U715">
        <v>0.3</v>
      </c>
      <c r="V715">
        <f t="shared" si="436"/>
        <v>1.544018058690745</v>
      </c>
      <c r="W715">
        <f t="shared" si="437"/>
        <v>0.72460496613995484</v>
      </c>
      <c r="X715">
        <v>9.8000000000000007</v>
      </c>
      <c r="Y715" s="3">
        <f t="shared" si="438"/>
        <v>15.4732</v>
      </c>
      <c r="Z715">
        <v>60.92</v>
      </c>
      <c r="AA715">
        <v>6.08</v>
      </c>
      <c r="AB715">
        <v>1.42</v>
      </c>
      <c r="AC715">
        <v>31.58</v>
      </c>
      <c r="AD715">
        <v>0</v>
      </c>
      <c r="AE715">
        <f t="shared" si="420"/>
        <v>1.1976362442547603</v>
      </c>
      <c r="AF715">
        <f t="shared" si="421"/>
        <v>0.38878857518056464</v>
      </c>
      <c r="AG715" s="3">
        <v>9.32</v>
      </c>
      <c r="AH715">
        <v>22.51</v>
      </c>
      <c r="AI715" s="3">
        <v>53.7</v>
      </c>
    </row>
    <row r="716" spans="1:38" x14ac:dyDescent="0.5">
      <c r="A716">
        <v>60</v>
      </c>
      <c r="B716">
        <v>220</v>
      </c>
      <c r="C716">
        <v>0.1</v>
      </c>
      <c r="D716">
        <v>10</v>
      </c>
      <c r="E716">
        <v>500</v>
      </c>
      <c r="F716">
        <v>350</v>
      </c>
      <c r="G716" s="3">
        <f t="shared" si="439"/>
        <v>35</v>
      </c>
      <c r="N716">
        <v>69</v>
      </c>
      <c r="O716">
        <v>62.8</v>
      </c>
      <c r="P716" s="3">
        <v>4.0999999999999996</v>
      </c>
      <c r="Q716">
        <v>44.3</v>
      </c>
      <c r="R716">
        <v>5.7</v>
      </c>
      <c r="S716">
        <v>4.2</v>
      </c>
      <c r="T716">
        <v>42.8</v>
      </c>
      <c r="U716">
        <v>0.3</v>
      </c>
      <c r="V716">
        <f t="shared" si="436"/>
        <v>1.544018058690745</v>
      </c>
      <c r="W716">
        <f t="shared" si="437"/>
        <v>0.72460496613995484</v>
      </c>
      <c r="X716">
        <v>9.8000000000000007</v>
      </c>
      <c r="Y716" s="3">
        <f t="shared" si="438"/>
        <v>15.4732</v>
      </c>
      <c r="Z716">
        <v>62.51</v>
      </c>
      <c r="AA716">
        <v>6.36</v>
      </c>
      <c r="AB716">
        <v>2.16</v>
      </c>
      <c r="AC716">
        <v>28.97</v>
      </c>
      <c r="AD716">
        <v>0</v>
      </c>
      <c r="AE716">
        <f t="shared" si="420"/>
        <v>1.2209246520556711</v>
      </c>
      <c r="AF716">
        <f t="shared" si="421"/>
        <v>0.34758438649816031</v>
      </c>
      <c r="AG716" s="3">
        <v>6.57</v>
      </c>
      <c r="AH716">
        <v>23.86</v>
      </c>
      <c r="AI716" s="3">
        <v>52.4</v>
      </c>
    </row>
    <row r="717" spans="1:38" x14ac:dyDescent="0.5">
      <c r="A717">
        <v>60</v>
      </c>
      <c r="B717">
        <v>220</v>
      </c>
      <c r="C717">
        <v>0.1</v>
      </c>
      <c r="D717">
        <v>10</v>
      </c>
      <c r="E717">
        <v>500</v>
      </c>
      <c r="F717">
        <v>400</v>
      </c>
      <c r="G717" s="3">
        <f t="shared" si="439"/>
        <v>40</v>
      </c>
      <c r="N717">
        <v>69</v>
      </c>
      <c r="O717">
        <v>62.8</v>
      </c>
      <c r="P717" s="3">
        <v>4.0999999999999996</v>
      </c>
      <c r="Q717">
        <v>44.3</v>
      </c>
      <c r="R717">
        <v>5.7</v>
      </c>
      <c r="S717">
        <v>4.2</v>
      </c>
      <c r="T717">
        <v>42.8</v>
      </c>
      <c r="U717">
        <v>0.3</v>
      </c>
      <c r="V717">
        <f t="shared" si="436"/>
        <v>1.544018058690745</v>
      </c>
      <c r="W717">
        <f t="shared" si="437"/>
        <v>0.72460496613995484</v>
      </c>
      <c r="X717">
        <v>9.8000000000000007</v>
      </c>
      <c r="Y717" s="3">
        <f t="shared" si="438"/>
        <v>15.4732</v>
      </c>
      <c r="Z717">
        <v>67.02</v>
      </c>
      <c r="AA717">
        <v>6.92</v>
      </c>
      <c r="AB717">
        <v>2.83</v>
      </c>
      <c r="AC717">
        <v>23.23</v>
      </c>
      <c r="AD717">
        <v>0</v>
      </c>
      <c r="AE717">
        <f t="shared" si="420"/>
        <v>1.2390331244404655</v>
      </c>
      <c r="AF717">
        <f t="shared" si="421"/>
        <v>0.25995971351835273</v>
      </c>
      <c r="AG717" s="3">
        <v>6.67</v>
      </c>
      <c r="AH717">
        <v>27.12</v>
      </c>
      <c r="AI717" s="3">
        <v>40.200000000000003</v>
      </c>
    </row>
    <row r="718" spans="1:38" x14ac:dyDescent="0.5">
      <c r="A718">
        <v>60</v>
      </c>
      <c r="B718">
        <v>260</v>
      </c>
      <c r="C718">
        <v>0.1</v>
      </c>
      <c r="D718">
        <v>10</v>
      </c>
      <c r="E718">
        <v>500</v>
      </c>
      <c r="F718">
        <v>200</v>
      </c>
      <c r="G718" s="3">
        <f t="shared" si="439"/>
        <v>20</v>
      </c>
      <c r="N718">
        <v>69</v>
      </c>
      <c r="O718">
        <v>62.8</v>
      </c>
      <c r="P718" s="3">
        <v>4.0999999999999996</v>
      </c>
      <c r="Q718">
        <v>44.3</v>
      </c>
      <c r="R718">
        <v>5.7</v>
      </c>
      <c r="S718">
        <v>4.2</v>
      </c>
      <c r="T718">
        <v>42.8</v>
      </c>
      <c r="U718">
        <v>0.3</v>
      </c>
      <c r="V718">
        <f t="shared" si="436"/>
        <v>1.544018058690745</v>
      </c>
      <c r="W718">
        <f t="shared" si="437"/>
        <v>0.72460496613995484</v>
      </c>
      <c r="X718">
        <v>9.8000000000000007</v>
      </c>
      <c r="Y718" s="3">
        <f t="shared" si="438"/>
        <v>15.4732</v>
      </c>
      <c r="Z718">
        <v>67.75</v>
      </c>
      <c r="AA718">
        <v>7.24</v>
      </c>
      <c r="AB718">
        <v>7.0000000000000007E-2</v>
      </c>
      <c r="AC718">
        <v>24.94</v>
      </c>
      <c r="AD718">
        <v>0</v>
      </c>
      <c r="AE718">
        <f t="shared" si="420"/>
        <v>1.2823616236162363</v>
      </c>
      <c r="AF718">
        <f t="shared" si="421"/>
        <v>0.2760885608856089</v>
      </c>
      <c r="AG718" s="3">
        <v>9.14</v>
      </c>
      <c r="AH718">
        <v>27.46</v>
      </c>
      <c r="AI718" s="3">
        <v>44.7</v>
      </c>
    </row>
    <row r="719" spans="1:38" x14ac:dyDescent="0.5">
      <c r="A719">
        <v>60</v>
      </c>
      <c r="B719">
        <v>260</v>
      </c>
      <c r="C719">
        <v>0.1</v>
      </c>
      <c r="D719">
        <v>10</v>
      </c>
      <c r="E719">
        <v>500</v>
      </c>
      <c r="F719">
        <v>250</v>
      </c>
      <c r="G719" s="3">
        <f t="shared" si="439"/>
        <v>25</v>
      </c>
      <c r="N719">
        <v>69</v>
      </c>
      <c r="O719">
        <v>62.8</v>
      </c>
      <c r="P719" s="3">
        <v>4.0999999999999996</v>
      </c>
      <c r="Q719">
        <v>44.3</v>
      </c>
      <c r="R719">
        <v>5.7</v>
      </c>
      <c r="S719">
        <v>4.2</v>
      </c>
      <c r="T719">
        <v>42.8</v>
      </c>
      <c r="U719">
        <v>0.3</v>
      </c>
      <c r="V719">
        <f t="shared" si="436"/>
        <v>1.544018058690745</v>
      </c>
      <c r="W719">
        <f t="shared" si="437"/>
        <v>0.72460496613995484</v>
      </c>
      <c r="X719">
        <v>9.8000000000000007</v>
      </c>
      <c r="Y719" s="3">
        <f t="shared" si="438"/>
        <v>15.4732</v>
      </c>
      <c r="Z719">
        <v>67.62</v>
      </c>
      <c r="AA719">
        <v>7.5</v>
      </c>
      <c r="AB719">
        <v>1.1200000000000001</v>
      </c>
      <c r="AC719">
        <v>23.76</v>
      </c>
      <c r="AD719">
        <v>0</v>
      </c>
      <c r="AE719">
        <f t="shared" si="420"/>
        <v>1.3309671694764862</v>
      </c>
      <c r="AF719">
        <f t="shared" si="421"/>
        <v>0.26353149955634425</v>
      </c>
      <c r="AG719" s="3">
        <v>8.93</v>
      </c>
      <c r="AH719">
        <v>27.95</v>
      </c>
      <c r="AI719" s="3">
        <v>42.5</v>
      </c>
    </row>
    <row r="720" spans="1:38" x14ac:dyDescent="0.5">
      <c r="A720">
        <v>60</v>
      </c>
      <c r="B720">
        <v>260</v>
      </c>
      <c r="C720">
        <v>0.1</v>
      </c>
      <c r="D720">
        <v>10</v>
      </c>
      <c r="E720">
        <v>500</v>
      </c>
      <c r="F720">
        <v>300</v>
      </c>
      <c r="G720" s="3">
        <f t="shared" si="439"/>
        <v>30</v>
      </c>
      <c r="N720">
        <v>69</v>
      </c>
      <c r="O720">
        <v>62.8</v>
      </c>
      <c r="P720" s="3">
        <v>4.0999999999999996</v>
      </c>
      <c r="Q720">
        <v>44.3</v>
      </c>
      <c r="R720">
        <v>5.7</v>
      </c>
      <c r="S720">
        <v>4.2</v>
      </c>
      <c r="T720">
        <v>42.8</v>
      </c>
      <c r="U720">
        <v>0.3</v>
      </c>
      <c r="V720">
        <f t="shared" si="436"/>
        <v>1.544018058690745</v>
      </c>
      <c r="W720">
        <f t="shared" si="437"/>
        <v>0.72460496613995484</v>
      </c>
      <c r="X720">
        <v>9.8000000000000007</v>
      </c>
      <c r="Y720" s="3">
        <f t="shared" si="438"/>
        <v>15.4732</v>
      </c>
      <c r="Z720">
        <v>68.63</v>
      </c>
      <c r="AA720">
        <v>6.3</v>
      </c>
      <c r="AB720">
        <v>1.37</v>
      </c>
      <c r="AC720">
        <v>23.7</v>
      </c>
      <c r="AD720">
        <v>0</v>
      </c>
      <c r="AE720">
        <f t="shared" si="420"/>
        <v>1.1015590849482735</v>
      </c>
      <c r="AF720">
        <f t="shared" si="421"/>
        <v>0.25899752294914763</v>
      </c>
      <c r="AG720" s="3">
        <v>6.72</v>
      </c>
      <c r="AH720">
        <v>26.81</v>
      </c>
      <c r="AI720" s="3">
        <v>43.7</v>
      </c>
    </row>
    <row r="721" spans="1:38" x14ac:dyDescent="0.5">
      <c r="A721">
        <v>60</v>
      </c>
      <c r="B721">
        <v>260</v>
      </c>
      <c r="C721">
        <v>0.1</v>
      </c>
      <c r="D721">
        <v>10</v>
      </c>
      <c r="E721">
        <v>500</v>
      </c>
      <c r="F721">
        <v>350</v>
      </c>
      <c r="G721" s="3">
        <f t="shared" si="439"/>
        <v>35</v>
      </c>
      <c r="N721">
        <v>69</v>
      </c>
      <c r="O721">
        <v>62.8</v>
      </c>
      <c r="P721" s="3">
        <v>4.0999999999999996</v>
      </c>
      <c r="Q721">
        <v>44.3</v>
      </c>
      <c r="R721">
        <v>5.7</v>
      </c>
      <c r="S721">
        <v>4.2</v>
      </c>
      <c r="T721">
        <v>42.8</v>
      </c>
      <c r="U721">
        <v>0.3</v>
      </c>
      <c r="V721">
        <f t="shared" si="436"/>
        <v>1.544018058690745</v>
      </c>
      <c r="W721">
        <f t="shared" si="437"/>
        <v>0.72460496613995484</v>
      </c>
      <c r="X721">
        <v>9.8000000000000007</v>
      </c>
      <c r="Y721" s="3">
        <f t="shared" si="438"/>
        <v>15.4732</v>
      </c>
      <c r="Z721">
        <v>69.86</v>
      </c>
      <c r="AA721">
        <v>6.37</v>
      </c>
      <c r="AB721">
        <v>2.6</v>
      </c>
      <c r="AC721">
        <v>21.17</v>
      </c>
      <c r="AD721">
        <v>0</v>
      </c>
      <c r="AE721">
        <f t="shared" si="420"/>
        <v>1.094188376753507</v>
      </c>
      <c r="AF721">
        <f t="shared" si="421"/>
        <v>0.22727598053249359</v>
      </c>
      <c r="AG721" s="3">
        <v>7.67</v>
      </c>
      <c r="AH721">
        <v>27.78</v>
      </c>
      <c r="AI721" s="3">
        <v>42.2</v>
      </c>
    </row>
    <row r="722" spans="1:38" x14ac:dyDescent="0.5">
      <c r="A722">
        <v>60</v>
      </c>
      <c r="B722">
        <v>260</v>
      </c>
      <c r="C722">
        <v>0.1</v>
      </c>
      <c r="D722">
        <v>10</v>
      </c>
      <c r="E722">
        <v>500</v>
      </c>
      <c r="F722">
        <v>400</v>
      </c>
      <c r="G722" s="3">
        <f t="shared" si="439"/>
        <v>40</v>
      </c>
      <c r="N722">
        <v>69</v>
      </c>
      <c r="O722">
        <v>62.8</v>
      </c>
      <c r="P722" s="3">
        <v>4.0999999999999996</v>
      </c>
      <c r="Q722">
        <v>44.3</v>
      </c>
      <c r="R722">
        <v>5.7</v>
      </c>
      <c r="S722">
        <v>4.2</v>
      </c>
      <c r="T722">
        <v>42.8</v>
      </c>
      <c r="U722">
        <v>0.3</v>
      </c>
      <c r="V722">
        <f t="shared" si="436"/>
        <v>1.544018058690745</v>
      </c>
      <c r="W722">
        <f t="shared" si="437"/>
        <v>0.72460496613995484</v>
      </c>
      <c r="X722">
        <v>9.8000000000000007</v>
      </c>
      <c r="Y722" s="3">
        <f>(0.338*Q722)+1.428*(R722-(T722/8))</f>
        <v>15.4732</v>
      </c>
      <c r="Z722">
        <v>71.81</v>
      </c>
      <c r="AA722">
        <v>7.01</v>
      </c>
      <c r="AB722">
        <v>3.13</v>
      </c>
      <c r="AC722">
        <v>18.05</v>
      </c>
      <c r="AD722">
        <v>0</v>
      </c>
      <c r="AE722">
        <f t="shared" si="420"/>
        <v>1.1714245926751148</v>
      </c>
      <c r="AF722">
        <f t="shared" si="421"/>
        <v>0.18851831221278373</v>
      </c>
      <c r="AG722" s="3">
        <v>7.39</v>
      </c>
      <c r="AH722">
        <v>29.79</v>
      </c>
      <c r="AI722" s="3">
        <v>38.5</v>
      </c>
    </row>
    <row r="723" spans="1:38" x14ac:dyDescent="0.5">
      <c r="A723">
        <v>60</v>
      </c>
      <c r="B723">
        <v>200</v>
      </c>
      <c r="C723">
        <v>0.1</v>
      </c>
      <c r="D723">
        <v>20</v>
      </c>
      <c r="E723">
        <v>250</v>
      </c>
      <c r="F723">
        <v>200</v>
      </c>
      <c r="G723" s="3">
        <f t="shared" si="439"/>
        <v>10</v>
      </c>
      <c r="O723">
        <v>80.02</v>
      </c>
      <c r="P723" s="3">
        <v>17.579999999999998</v>
      </c>
      <c r="Q723">
        <v>47.11</v>
      </c>
      <c r="R723">
        <v>6.71</v>
      </c>
      <c r="S723">
        <v>0.22</v>
      </c>
      <c r="T723">
        <v>43.5</v>
      </c>
      <c r="U723">
        <v>0</v>
      </c>
      <c r="V723">
        <f t="shared" si="436"/>
        <v>1.7091912545107195</v>
      </c>
      <c r="W723">
        <f t="shared" si="437"/>
        <v>0.6925281256633411</v>
      </c>
      <c r="X723">
        <v>2.4</v>
      </c>
      <c r="Y723" s="3">
        <v>20.56</v>
      </c>
      <c r="Z723">
        <v>52.12</v>
      </c>
      <c r="AA723">
        <v>6.3</v>
      </c>
      <c r="AB723">
        <v>0.18</v>
      </c>
      <c r="AC723">
        <v>39.9</v>
      </c>
      <c r="AD723">
        <v>0</v>
      </c>
      <c r="AE723">
        <f t="shared" si="420"/>
        <v>1.4504988488104376</v>
      </c>
      <c r="AF723">
        <f t="shared" si="421"/>
        <v>0.57415579432079822</v>
      </c>
      <c r="AG723" s="3">
        <v>1.8</v>
      </c>
      <c r="AH723">
        <v>22.1</v>
      </c>
      <c r="AI723" s="3">
        <v>58.6</v>
      </c>
      <c r="AJ723" s="2" t="s">
        <v>189</v>
      </c>
      <c r="AK723" t="s">
        <v>190</v>
      </c>
      <c r="AL723">
        <v>85</v>
      </c>
    </row>
    <row r="724" spans="1:38" x14ac:dyDescent="0.5">
      <c r="A724">
        <v>60</v>
      </c>
      <c r="B724">
        <v>230</v>
      </c>
      <c r="C724">
        <v>0.1</v>
      </c>
      <c r="D724">
        <v>20</v>
      </c>
      <c r="E724">
        <v>250</v>
      </c>
      <c r="F724">
        <v>200</v>
      </c>
      <c r="G724" s="3">
        <f t="shared" ref="G724:G726" si="440">F724/D724</f>
        <v>10</v>
      </c>
      <c r="O724">
        <v>80.02</v>
      </c>
      <c r="P724" s="3">
        <v>17.579999999999998</v>
      </c>
      <c r="Q724">
        <v>47.11</v>
      </c>
      <c r="R724">
        <v>6.71</v>
      </c>
      <c r="S724">
        <v>0.22</v>
      </c>
      <c r="T724">
        <v>43.5</v>
      </c>
      <c r="U724">
        <v>0</v>
      </c>
      <c r="V724">
        <f t="shared" ref="V724:V726" si="441">(R724/1)/(Q724/12)</f>
        <v>1.7091912545107195</v>
      </c>
      <c r="W724">
        <f t="shared" ref="W724:W726" si="442">(T724/16)/(Q724/12)</f>
        <v>0.6925281256633411</v>
      </c>
      <c r="X724">
        <v>2.4</v>
      </c>
      <c r="Y724" s="3">
        <v>20.56</v>
      </c>
      <c r="Z724">
        <v>58.08</v>
      </c>
      <c r="AA724">
        <v>6.11</v>
      </c>
      <c r="AB724">
        <v>0.25</v>
      </c>
      <c r="AC724">
        <v>33.229999999999997</v>
      </c>
      <c r="AD724">
        <v>0</v>
      </c>
      <c r="AE724">
        <f t="shared" si="420"/>
        <v>1.2623966942148761</v>
      </c>
      <c r="AF724">
        <f t="shared" si="421"/>
        <v>0.42910640495867763</v>
      </c>
      <c r="AG724" s="3">
        <v>2.2999999999999998</v>
      </c>
      <c r="AH724">
        <v>24.89</v>
      </c>
      <c r="AI724" s="3">
        <v>50.6</v>
      </c>
    </row>
    <row r="725" spans="1:38" x14ac:dyDescent="0.5">
      <c r="A725">
        <v>60</v>
      </c>
      <c r="B725">
        <v>260</v>
      </c>
      <c r="C725">
        <v>0.1</v>
      </c>
      <c r="D725">
        <v>20</v>
      </c>
      <c r="E725">
        <v>250</v>
      </c>
      <c r="F725">
        <v>200</v>
      </c>
      <c r="G725" s="3">
        <f t="shared" si="440"/>
        <v>10</v>
      </c>
      <c r="O725">
        <v>80.02</v>
      </c>
      <c r="P725" s="3">
        <v>17.579999999999998</v>
      </c>
      <c r="Q725">
        <v>47.11</v>
      </c>
      <c r="R725">
        <v>6.71</v>
      </c>
      <c r="S725">
        <v>0.22</v>
      </c>
      <c r="T725">
        <v>43.5</v>
      </c>
      <c r="U725">
        <v>0</v>
      </c>
      <c r="V725">
        <f t="shared" si="441"/>
        <v>1.7091912545107195</v>
      </c>
      <c r="W725">
        <f t="shared" si="442"/>
        <v>0.6925281256633411</v>
      </c>
      <c r="X725">
        <v>2.4</v>
      </c>
      <c r="Y725" s="3">
        <v>20.56</v>
      </c>
      <c r="Z725">
        <v>67.510000000000005</v>
      </c>
      <c r="AA725">
        <v>5.56</v>
      </c>
      <c r="AB725">
        <v>0.35</v>
      </c>
      <c r="AC725">
        <v>22.41</v>
      </c>
      <c r="AD725">
        <v>0</v>
      </c>
      <c r="AE725">
        <f t="shared" si="420"/>
        <v>0.98829802992149307</v>
      </c>
      <c r="AF725">
        <f t="shared" si="421"/>
        <v>0.24896311657532216</v>
      </c>
      <c r="AG725" s="3">
        <v>4.0999999999999996</v>
      </c>
      <c r="AH725">
        <v>29.47</v>
      </c>
      <c r="AI725" s="3">
        <v>38.1</v>
      </c>
    </row>
    <row r="726" spans="1:38" x14ac:dyDescent="0.5">
      <c r="A726">
        <v>60</v>
      </c>
      <c r="B726">
        <v>200</v>
      </c>
      <c r="C726">
        <v>0.1</v>
      </c>
      <c r="D726">
        <v>20</v>
      </c>
      <c r="E726">
        <v>250</v>
      </c>
      <c r="F726">
        <v>200</v>
      </c>
      <c r="G726" s="3">
        <f t="shared" si="440"/>
        <v>10</v>
      </c>
      <c r="O726">
        <v>95.9</v>
      </c>
      <c r="P726" s="3">
        <v>4.0999999999999996</v>
      </c>
      <c r="Q726">
        <v>37.630000000000003</v>
      </c>
      <c r="R726">
        <v>5.21</v>
      </c>
      <c r="S726">
        <v>5.3</v>
      </c>
      <c r="T726">
        <v>20.8</v>
      </c>
      <c r="U726">
        <v>0.21</v>
      </c>
      <c r="V726">
        <f t="shared" si="441"/>
        <v>1.6614403401541322</v>
      </c>
      <c r="W726">
        <f t="shared" si="442"/>
        <v>0.41456284879085831</v>
      </c>
      <c r="X726">
        <v>1</v>
      </c>
      <c r="Y726" s="3">
        <v>22.96</v>
      </c>
      <c r="Z726">
        <v>39.07</v>
      </c>
      <c r="AA726">
        <v>5.23</v>
      </c>
      <c r="AB726">
        <v>0</v>
      </c>
      <c r="AC726">
        <v>12.91</v>
      </c>
      <c r="AD726">
        <v>0.18</v>
      </c>
      <c r="AE726">
        <f t="shared" si="420"/>
        <v>1.6063475812643973</v>
      </c>
      <c r="AF726">
        <f t="shared" si="421"/>
        <v>0.24782441771179933</v>
      </c>
      <c r="AG726" s="3">
        <v>0.09</v>
      </c>
      <c r="AH726">
        <v>17.43</v>
      </c>
      <c r="AI726" s="3">
        <v>96.1</v>
      </c>
    </row>
    <row r="727" spans="1:38" x14ac:dyDescent="0.5">
      <c r="A727">
        <v>60</v>
      </c>
      <c r="B727">
        <v>230</v>
      </c>
      <c r="C727">
        <v>0.1</v>
      </c>
      <c r="D727">
        <v>20</v>
      </c>
      <c r="E727">
        <v>250</v>
      </c>
      <c r="F727">
        <v>200</v>
      </c>
      <c r="G727" s="3">
        <f t="shared" ref="G727:G732" si="443">F727/D727</f>
        <v>10</v>
      </c>
      <c r="O727">
        <v>95.9</v>
      </c>
      <c r="P727" s="3">
        <v>4.0999999999999996</v>
      </c>
      <c r="Q727">
        <v>37.630000000000003</v>
      </c>
      <c r="R727">
        <v>5.21</v>
      </c>
      <c r="S727">
        <v>5.3</v>
      </c>
      <c r="T727">
        <v>20.8</v>
      </c>
      <c r="U727">
        <v>0.21</v>
      </c>
      <c r="V727">
        <f t="shared" ref="V727:V729" si="444">(R727/1)/(Q727/12)</f>
        <v>1.6614403401541322</v>
      </c>
      <c r="W727">
        <f t="shared" ref="W727:W729" si="445">(T727/16)/(Q727/12)</f>
        <v>0.41456284879085831</v>
      </c>
      <c r="X727">
        <v>1</v>
      </c>
      <c r="Y727" s="3">
        <v>22.96</v>
      </c>
      <c r="Z727">
        <v>57.04</v>
      </c>
      <c r="AA727">
        <v>5.73</v>
      </c>
      <c r="AB727">
        <v>0</v>
      </c>
      <c r="AC727">
        <v>7.52</v>
      </c>
      <c r="AD727">
        <v>0.17</v>
      </c>
      <c r="AE727">
        <f t="shared" si="420"/>
        <v>1.2054698457223003</v>
      </c>
      <c r="AF727">
        <f t="shared" si="421"/>
        <v>9.8877980364656379E-2</v>
      </c>
      <c r="AG727" s="3">
        <v>0.11</v>
      </c>
      <c r="AH727">
        <v>25.31</v>
      </c>
      <c r="AI727" s="3">
        <v>65.099999999999994</v>
      </c>
    </row>
    <row r="728" spans="1:38" x14ac:dyDescent="0.5">
      <c r="A728">
        <v>60</v>
      </c>
      <c r="B728">
        <v>260</v>
      </c>
      <c r="C728">
        <v>0.1</v>
      </c>
      <c r="D728">
        <v>20</v>
      </c>
      <c r="E728">
        <v>250</v>
      </c>
      <c r="F728">
        <v>200</v>
      </c>
      <c r="G728" s="3">
        <f t="shared" si="443"/>
        <v>10</v>
      </c>
      <c r="O728">
        <v>95.9</v>
      </c>
      <c r="P728" s="3">
        <v>4.0999999999999996</v>
      </c>
      <c r="Q728">
        <v>37.630000000000003</v>
      </c>
      <c r="R728">
        <v>5.21</v>
      </c>
      <c r="S728">
        <v>5.3</v>
      </c>
      <c r="T728">
        <v>20.8</v>
      </c>
      <c r="U728">
        <v>0.21</v>
      </c>
      <c r="V728">
        <f t="shared" si="444"/>
        <v>1.6614403401541322</v>
      </c>
      <c r="W728">
        <f t="shared" si="445"/>
        <v>0.41456284879085831</v>
      </c>
      <c r="X728">
        <v>1</v>
      </c>
      <c r="Y728" s="3">
        <v>22.96</v>
      </c>
      <c r="Z728">
        <v>82.54</v>
      </c>
      <c r="AA728">
        <v>7.03</v>
      </c>
      <c r="AB728">
        <v>0</v>
      </c>
      <c r="AC728">
        <v>6.65</v>
      </c>
      <c r="AD728">
        <v>0.03</v>
      </c>
      <c r="AE728">
        <f t="shared" si="420"/>
        <v>1.0220499151926339</v>
      </c>
      <c r="AF728">
        <f t="shared" si="421"/>
        <v>6.0425248364429369E-2</v>
      </c>
      <c r="AG728" s="3">
        <v>0.75</v>
      </c>
      <c r="AH728">
        <v>36.869999999999997</v>
      </c>
      <c r="AI728" s="3">
        <v>43.9</v>
      </c>
    </row>
    <row r="729" spans="1:38" x14ac:dyDescent="0.5">
      <c r="A729">
        <v>60</v>
      </c>
      <c r="B729">
        <v>200</v>
      </c>
      <c r="C729">
        <v>0.1</v>
      </c>
      <c r="D729">
        <v>20</v>
      </c>
      <c r="E729">
        <v>250</v>
      </c>
      <c r="F729">
        <v>200</v>
      </c>
      <c r="G729" s="3">
        <f t="shared" si="443"/>
        <v>10</v>
      </c>
      <c r="O729">
        <v>87.96</v>
      </c>
      <c r="P729" s="3">
        <v>10.84</v>
      </c>
      <c r="Q729">
        <v>42.37</v>
      </c>
      <c r="R729">
        <v>5.9</v>
      </c>
      <c r="S729">
        <v>2.76</v>
      </c>
      <c r="T729">
        <v>32.15</v>
      </c>
      <c r="U729">
        <v>0.1</v>
      </c>
      <c r="V729">
        <f t="shared" si="444"/>
        <v>1.6709936275666746</v>
      </c>
      <c r="W729">
        <f t="shared" si="445"/>
        <v>0.56909369837148926</v>
      </c>
      <c r="X729">
        <v>1.7</v>
      </c>
      <c r="Y729" s="3">
        <v>21.76</v>
      </c>
      <c r="Z729">
        <v>45.36</v>
      </c>
      <c r="AA729">
        <v>5.74</v>
      </c>
      <c r="AB729">
        <v>0.08</v>
      </c>
      <c r="AC729">
        <v>23.72</v>
      </c>
      <c r="AD729">
        <v>0.1</v>
      </c>
      <c r="AE729">
        <f t="shared" si="420"/>
        <v>1.5185185185185186</v>
      </c>
      <c r="AF729">
        <f t="shared" si="421"/>
        <v>0.39219576719576721</v>
      </c>
      <c r="AG729" s="3">
        <v>0</v>
      </c>
      <c r="AH729">
        <v>19.53</v>
      </c>
      <c r="AI729" s="3">
        <v>71.8</v>
      </c>
    </row>
    <row r="730" spans="1:38" x14ac:dyDescent="0.5">
      <c r="A730">
        <v>60</v>
      </c>
      <c r="B730">
        <v>230</v>
      </c>
      <c r="C730">
        <v>0.1</v>
      </c>
      <c r="D730">
        <v>20</v>
      </c>
      <c r="E730">
        <v>250</v>
      </c>
      <c r="F730">
        <v>200</v>
      </c>
      <c r="G730" s="3">
        <f t="shared" si="443"/>
        <v>10</v>
      </c>
      <c r="O730">
        <v>87.96</v>
      </c>
      <c r="P730" s="3">
        <v>10.84</v>
      </c>
      <c r="Q730">
        <v>42.37</v>
      </c>
      <c r="R730">
        <v>5.9</v>
      </c>
      <c r="S730">
        <v>2.76</v>
      </c>
      <c r="T730">
        <v>32.15</v>
      </c>
      <c r="U730">
        <v>0.1</v>
      </c>
      <c r="V730">
        <f t="shared" ref="V730:V731" si="446">(R730/1)/(Q730/12)</f>
        <v>1.6709936275666746</v>
      </c>
      <c r="W730">
        <f t="shared" ref="W730:W731" si="447">(T730/16)/(Q730/12)</f>
        <v>0.56909369837148926</v>
      </c>
      <c r="X730">
        <v>1.7</v>
      </c>
      <c r="Y730" s="3">
        <v>21.76</v>
      </c>
      <c r="Z730">
        <v>55.73</v>
      </c>
      <c r="AA730">
        <v>5.31</v>
      </c>
      <c r="AB730">
        <v>0.15</v>
      </c>
      <c r="AC730">
        <v>15.16</v>
      </c>
      <c r="AD730">
        <v>0.09</v>
      </c>
      <c r="AE730">
        <f t="shared" si="420"/>
        <v>1.1433698187690653</v>
      </c>
      <c r="AF730">
        <f t="shared" si="421"/>
        <v>0.20401937914947069</v>
      </c>
      <c r="AG730" s="3">
        <v>0.66</v>
      </c>
      <c r="AH730">
        <v>23.98</v>
      </c>
      <c r="AI730" s="3">
        <v>58.5</v>
      </c>
    </row>
    <row r="731" spans="1:38" x14ac:dyDescent="0.5">
      <c r="A731">
        <v>60</v>
      </c>
      <c r="B731">
        <v>260</v>
      </c>
      <c r="C731">
        <v>0.1</v>
      </c>
      <c r="D731">
        <v>20</v>
      </c>
      <c r="E731">
        <v>250</v>
      </c>
      <c r="F731">
        <v>200</v>
      </c>
      <c r="G731" s="3">
        <f t="shared" si="443"/>
        <v>10</v>
      </c>
      <c r="O731">
        <v>87.96</v>
      </c>
      <c r="P731" s="3">
        <v>10.84</v>
      </c>
      <c r="Q731">
        <v>42.37</v>
      </c>
      <c r="R731">
        <v>5.9</v>
      </c>
      <c r="S731">
        <v>2.76</v>
      </c>
      <c r="T731">
        <v>32.15</v>
      </c>
      <c r="U731">
        <v>0.1</v>
      </c>
      <c r="V731">
        <f t="shared" si="446"/>
        <v>1.6709936275666746</v>
      </c>
      <c r="W731">
        <f t="shared" si="447"/>
        <v>0.56909369837148926</v>
      </c>
      <c r="X731">
        <v>1.7</v>
      </c>
      <c r="Y731" s="3">
        <v>21.76</v>
      </c>
      <c r="Z731">
        <v>71</v>
      </c>
      <c r="AA731">
        <v>5.92</v>
      </c>
      <c r="AB731">
        <v>0.17</v>
      </c>
      <c r="AC731">
        <v>13.68</v>
      </c>
      <c r="AD731">
        <v>0.04</v>
      </c>
      <c r="AE731">
        <f t="shared" si="420"/>
        <v>1.00056338028169</v>
      </c>
      <c r="AF731">
        <f t="shared" si="421"/>
        <v>0.14450704225352112</v>
      </c>
      <c r="AG731" s="3">
        <v>4.78</v>
      </c>
      <c r="AH731">
        <v>32.19</v>
      </c>
      <c r="AI731" s="3">
        <v>41.2</v>
      </c>
    </row>
    <row r="732" spans="1:38" x14ac:dyDescent="0.5">
      <c r="A732">
        <v>30</v>
      </c>
      <c r="B732">
        <v>180</v>
      </c>
      <c r="C732">
        <v>0.1</v>
      </c>
      <c r="D732">
        <v>50</v>
      </c>
      <c r="E732">
        <v>1000</v>
      </c>
      <c r="F732">
        <v>500</v>
      </c>
      <c r="G732" s="3">
        <f t="shared" si="443"/>
        <v>10</v>
      </c>
      <c r="O732">
        <v>73</v>
      </c>
      <c r="P732" s="3">
        <v>6.9</v>
      </c>
      <c r="Q732">
        <v>48.3</v>
      </c>
      <c r="R732">
        <v>8.1</v>
      </c>
      <c r="S732">
        <v>2.2000000000000002</v>
      </c>
      <c r="T732">
        <v>25.2</v>
      </c>
      <c r="U732">
        <v>0.1</v>
      </c>
      <c r="V732">
        <f>(R732/1)/(Q732/12)</f>
        <v>2.0124223602484475</v>
      </c>
      <c r="W732">
        <f>(T732/16)/(Q732/12)</f>
        <v>0.39130434782608697</v>
      </c>
      <c r="X732">
        <v>20.100000000000001</v>
      </c>
      <c r="Y732" s="3">
        <f>(0.338*Q732)+1.428*(R732-(T732/8))</f>
        <v>23.394000000000002</v>
      </c>
      <c r="Z732">
        <v>53.7</v>
      </c>
      <c r="AA732">
        <v>8.5</v>
      </c>
      <c r="AB732">
        <v>1.1000000000000001</v>
      </c>
      <c r="AC732">
        <v>16.2</v>
      </c>
      <c r="AD732">
        <v>0.2</v>
      </c>
      <c r="AE732">
        <f t="shared" si="420"/>
        <v>1.8994413407821227</v>
      </c>
      <c r="AF732">
        <f t="shared" si="421"/>
        <v>0.22625698324022342</v>
      </c>
      <c r="AG732" s="3">
        <v>21.4</v>
      </c>
      <c r="AH732">
        <f>(0.338*Z732)+1.428*(AA732-(AC732/8))</f>
        <v>27.396900000000002</v>
      </c>
      <c r="AI732" s="3">
        <v>86.1</v>
      </c>
      <c r="AJ732" s="2" t="s">
        <v>191</v>
      </c>
      <c r="AK732" t="s">
        <v>192</v>
      </c>
      <c r="AL732">
        <v>86</v>
      </c>
    </row>
    <row r="733" spans="1:38" x14ac:dyDescent="0.5">
      <c r="A733">
        <v>30</v>
      </c>
      <c r="B733">
        <v>200</v>
      </c>
      <c r="C733">
        <v>0.1</v>
      </c>
      <c r="D733">
        <v>50</v>
      </c>
      <c r="E733">
        <v>1000</v>
      </c>
      <c r="F733">
        <v>500</v>
      </c>
      <c r="G733" s="3">
        <f t="shared" ref="G733:G739" si="448">F733/D733</f>
        <v>10</v>
      </c>
      <c r="O733">
        <v>73</v>
      </c>
      <c r="P733" s="3">
        <v>6.9</v>
      </c>
      <c r="Q733">
        <v>48.3</v>
      </c>
      <c r="R733">
        <v>8.1</v>
      </c>
      <c r="S733">
        <v>2.2000000000000002</v>
      </c>
      <c r="T733">
        <v>25.2</v>
      </c>
      <c r="U733">
        <v>0.1</v>
      </c>
      <c r="V733">
        <f t="shared" ref="V733:V739" si="449">(R733/1)/(Q733/12)</f>
        <v>2.0124223602484475</v>
      </c>
      <c r="W733">
        <f t="shared" ref="W733:W739" si="450">(T733/16)/(Q733/12)</f>
        <v>0.39130434782608697</v>
      </c>
      <c r="X733">
        <v>20.100000000000001</v>
      </c>
      <c r="Y733" s="3">
        <f t="shared" ref="Y733:Y737" si="451">(0.338*Q733)+1.428*(R733-(T733/8))</f>
        <v>23.394000000000002</v>
      </c>
      <c r="Z733">
        <v>54.5</v>
      </c>
      <c r="AA733">
        <v>8.6</v>
      </c>
      <c r="AB733">
        <v>1.1000000000000001</v>
      </c>
      <c r="AC733">
        <v>15</v>
      </c>
      <c r="AD733">
        <v>0.1</v>
      </c>
      <c r="AE733">
        <f t="shared" si="420"/>
        <v>1.893577981651376</v>
      </c>
      <c r="AF733">
        <f t="shared" si="421"/>
        <v>0.20642201834862384</v>
      </c>
      <c r="AG733" s="3">
        <v>21.5</v>
      </c>
      <c r="AH733">
        <f t="shared" ref="AH733:AH738" si="452">(0.338*Z733)+1.428*(AA733-(AC733/8))</f>
        <v>28.024300000000004</v>
      </c>
      <c r="AI733" s="3">
        <v>82.9</v>
      </c>
    </row>
    <row r="734" spans="1:38" x14ac:dyDescent="0.5">
      <c r="A734">
        <v>30</v>
      </c>
      <c r="B734">
        <v>220</v>
      </c>
      <c r="C734">
        <v>0.1</v>
      </c>
      <c r="D734">
        <v>50</v>
      </c>
      <c r="E734">
        <v>1000</v>
      </c>
      <c r="F734">
        <v>500</v>
      </c>
      <c r="G734" s="3">
        <f t="shared" si="448"/>
        <v>10</v>
      </c>
      <c r="O734">
        <v>73</v>
      </c>
      <c r="P734" s="3">
        <v>6.9</v>
      </c>
      <c r="Q734">
        <v>48.3</v>
      </c>
      <c r="R734">
        <v>8.1</v>
      </c>
      <c r="S734">
        <v>2.2000000000000002</v>
      </c>
      <c r="T734">
        <v>25.2</v>
      </c>
      <c r="U734">
        <v>0.1</v>
      </c>
      <c r="V734">
        <f t="shared" si="449"/>
        <v>2.0124223602484475</v>
      </c>
      <c r="W734">
        <f t="shared" si="450"/>
        <v>0.39130434782608697</v>
      </c>
      <c r="X734">
        <v>20.100000000000001</v>
      </c>
      <c r="Y734" s="3">
        <f t="shared" si="451"/>
        <v>23.394000000000002</v>
      </c>
      <c r="Z734">
        <v>52.7</v>
      </c>
      <c r="AA734">
        <v>8.1</v>
      </c>
      <c r="AB734">
        <v>1.2</v>
      </c>
      <c r="AC734">
        <v>15.9</v>
      </c>
      <c r="AD734">
        <v>0.1</v>
      </c>
      <c r="AE734">
        <f t="shared" si="420"/>
        <v>1.844402277039848</v>
      </c>
      <c r="AF734">
        <f t="shared" si="421"/>
        <v>0.22628083491461101</v>
      </c>
      <c r="AG734" s="3">
        <v>22.2</v>
      </c>
      <c r="AH734">
        <f t="shared" si="452"/>
        <v>26.541250000000005</v>
      </c>
      <c r="AI734" s="3">
        <v>78</v>
      </c>
    </row>
    <row r="735" spans="1:38" x14ac:dyDescent="0.5">
      <c r="A735">
        <v>30</v>
      </c>
      <c r="B735">
        <v>240</v>
      </c>
      <c r="C735">
        <v>0.1</v>
      </c>
      <c r="D735">
        <v>50</v>
      </c>
      <c r="E735">
        <v>1000</v>
      </c>
      <c r="F735">
        <v>500</v>
      </c>
      <c r="G735" s="3">
        <f t="shared" si="448"/>
        <v>10</v>
      </c>
      <c r="O735">
        <v>73</v>
      </c>
      <c r="P735" s="3">
        <v>6.9</v>
      </c>
      <c r="Q735">
        <v>48.3</v>
      </c>
      <c r="R735">
        <v>8.1</v>
      </c>
      <c r="S735">
        <v>2.2000000000000002</v>
      </c>
      <c r="T735">
        <v>25.2</v>
      </c>
      <c r="U735">
        <v>0.1</v>
      </c>
      <c r="V735">
        <f t="shared" si="449"/>
        <v>2.0124223602484475</v>
      </c>
      <c r="W735">
        <f t="shared" si="450"/>
        <v>0.39130434782608697</v>
      </c>
      <c r="X735">
        <v>20.100000000000001</v>
      </c>
      <c r="Y735" s="3">
        <f t="shared" si="451"/>
        <v>23.394000000000002</v>
      </c>
      <c r="Z735">
        <v>51.8</v>
      </c>
      <c r="AA735">
        <v>7.8</v>
      </c>
      <c r="AB735">
        <v>1.2</v>
      </c>
      <c r="AC735">
        <v>17</v>
      </c>
      <c r="AD735">
        <v>0.1</v>
      </c>
      <c r="AE735">
        <f t="shared" si="420"/>
        <v>1.8069498069498071</v>
      </c>
      <c r="AF735">
        <f t="shared" si="421"/>
        <v>0.24613899613899615</v>
      </c>
      <c r="AG735" s="3">
        <v>22.4</v>
      </c>
      <c r="AH735">
        <f>(0.338*Z735)+1.428*(AA735-(AC735/8))</f>
        <v>25.612300000000001</v>
      </c>
      <c r="AI735" s="3">
        <v>77.7</v>
      </c>
    </row>
    <row r="736" spans="1:38" x14ac:dyDescent="0.5">
      <c r="A736">
        <v>30</v>
      </c>
      <c r="B736">
        <v>260</v>
      </c>
      <c r="C736">
        <v>0.1</v>
      </c>
      <c r="D736">
        <v>50</v>
      </c>
      <c r="E736">
        <v>1000</v>
      </c>
      <c r="F736">
        <v>500</v>
      </c>
      <c r="G736" s="3">
        <f t="shared" si="448"/>
        <v>10</v>
      </c>
      <c r="O736">
        <v>73</v>
      </c>
      <c r="P736" s="3">
        <v>6.9</v>
      </c>
      <c r="Q736">
        <v>48.3</v>
      </c>
      <c r="R736">
        <v>8.1</v>
      </c>
      <c r="S736">
        <v>2.2000000000000002</v>
      </c>
      <c r="T736">
        <v>25.2</v>
      </c>
      <c r="U736">
        <v>0.1</v>
      </c>
      <c r="V736">
        <f t="shared" si="449"/>
        <v>2.0124223602484475</v>
      </c>
      <c r="W736">
        <f t="shared" si="450"/>
        <v>0.39130434782608697</v>
      </c>
      <c r="X736">
        <v>20.100000000000001</v>
      </c>
      <c r="Y736" s="3">
        <f t="shared" si="451"/>
        <v>23.394000000000002</v>
      </c>
      <c r="Z736">
        <v>51.7</v>
      </c>
      <c r="AA736">
        <v>7.8</v>
      </c>
      <c r="AB736">
        <v>1.4</v>
      </c>
      <c r="AC736">
        <v>17.2</v>
      </c>
      <c r="AD736">
        <v>0.2</v>
      </c>
      <c r="AE736">
        <f t="shared" si="420"/>
        <v>1.8104448742746613</v>
      </c>
      <c r="AF736">
        <f t="shared" si="421"/>
        <v>0.2495164410058027</v>
      </c>
      <c r="AG736" s="3">
        <v>23.1</v>
      </c>
      <c r="AH736">
        <f t="shared" si="452"/>
        <v>25.542800000000003</v>
      </c>
      <c r="AI736" s="3">
        <v>74.8</v>
      </c>
    </row>
    <row r="737" spans="1:38" x14ac:dyDescent="0.5">
      <c r="A737">
        <v>30</v>
      </c>
      <c r="B737">
        <v>280</v>
      </c>
      <c r="C737">
        <v>0.1</v>
      </c>
      <c r="D737">
        <v>50</v>
      </c>
      <c r="E737">
        <v>1000</v>
      </c>
      <c r="F737">
        <v>500</v>
      </c>
      <c r="G737" s="3">
        <f t="shared" si="448"/>
        <v>10</v>
      </c>
      <c r="O737">
        <v>73</v>
      </c>
      <c r="P737" s="3">
        <v>6.9</v>
      </c>
      <c r="Q737">
        <v>48.3</v>
      </c>
      <c r="R737">
        <v>8.1</v>
      </c>
      <c r="S737">
        <v>2.2000000000000002</v>
      </c>
      <c r="T737">
        <v>25.2</v>
      </c>
      <c r="U737">
        <v>0.1</v>
      </c>
      <c r="V737">
        <f t="shared" si="449"/>
        <v>2.0124223602484475</v>
      </c>
      <c r="W737">
        <f t="shared" si="450"/>
        <v>0.39130434782608697</v>
      </c>
      <c r="X737">
        <v>20.100000000000001</v>
      </c>
      <c r="Y737" s="3">
        <f t="shared" si="451"/>
        <v>23.394000000000002</v>
      </c>
      <c r="Z737">
        <v>50.4</v>
      </c>
      <c r="AA737">
        <v>7.5</v>
      </c>
      <c r="AB737">
        <v>1.2</v>
      </c>
      <c r="AC737">
        <v>17.399999999999999</v>
      </c>
      <c r="AD737">
        <v>0.2</v>
      </c>
      <c r="AE737">
        <f t="shared" si="420"/>
        <v>1.7857142857142856</v>
      </c>
      <c r="AF737">
        <f t="shared" si="421"/>
        <v>0.2589285714285714</v>
      </c>
      <c r="AG737" s="3">
        <v>24.1</v>
      </c>
      <c r="AH737">
        <f t="shared" si="452"/>
        <v>24.639299999999999</v>
      </c>
      <c r="AI737" s="3">
        <v>72.5</v>
      </c>
    </row>
    <row r="738" spans="1:38" x14ac:dyDescent="0.5">
      <c r="A738">
        <v>30</v>
      </c>
      <c r="B738">
        <v>300</v>
      </c>
      <c r="C738">
        <v>0.1</v>
      </c>
      <c r="D738">
        <v>50</v>
      </c>
      <c r="E738">
        <v>1000</v>
      </c>
      <c r="F738">
        <v>500</v>
      </c>
      <c r="G738" s="3">
        <f t="shared" si="448"/>
        <v>10</v>
      </c>
      <c r="O738">
        <v>73</v>
      </c>
      <c r="P738" s="3">
        <v>6.9</v>
      </c>
      <c r="Q738">
        <v>48.3</v>
      </c>
      <c r="R738">
        <v>8.1</v>
      </c>
      <c r="S738">
        <v>2.2000000000000002</v>
      </c>
      <c r="T738">
        <v>25.2</v>
      </c>
      <c r="U738">
        <v>0.1</v>
      </c>
      <c r="V738">
        <f t="shared" si="449"/>
        <v>2.0124223602484475</v>
      </c>
      <c r="W738">
        <f t="shared" si="450"/>
        <v>0.39130434782608697</v>
      </c>
      <c r="X738">
        <v>20.100000000000001</v>
      </c>
      <c r="Y738" s="3">
        <f>(0.338*Q738)+1.428*(R738-(T738/8))</f>
        <v>23.394000000000002</v>
      </c>
      <c r="Z738">
        <v>50.4</v>
      </c>
      <c r="AA738">
        <v>7.5</v>
      </c>
      <c r="AB738">
        <v>1.3</v>
      </c>
      <c r="AC738">
        <v>17.899999999999999</v>
      </c>
      <c r="AD738">
        <v>0.3</v>
      </c>
      <c r="AE738">
        <f t="shared" si="420"/>
        <v>1.7857142857142856</v>
      </c>
      <c r="AF738">
        <f t="shared" si="421"/>
        <v>0.26636904761904756</v>
      </c>
      <c r="AG738" s="3">
        <v>25.3</v>
      </c>
      <c r="AH738">
        <f t="shared" si="452"/>
        <v>24.550049999999999</v>
      </c>
      <c r="AI738" s="3">
        <v>70.7</v>
      </c>
    </row>
    <row r="739" spans="1:38" x14ac:dyDescent="0.5">
      <c r="A739">
        <v>30</v>
      </c>
      <c r="B739">
        <v>180</v>
      </c>
      <c r="C739">
        <v>0.1</v>
      </c>
      <c r="D739">
        <v>6</v>
      </c>
      <c r="E739">
        <v>50</v>
      </c>
      <c r="F739">
        <v>30</v>
      </c>
      <c r="G739" s="3">
        <f t="shared" si="448"/>
        <v>5</v>
      </c>
      <c r="O739">
        <v>70.62</v>
      </c>
      <c r="P739" s="3">
        <v>14.23</v>
      </c>
      <c r="Q739">
        <v>39.68</v>
      </c>
      <c r="R739">
        <v>4.7</v>
      </c>
      <c r="S739">
        <v>0.48</v>
      </c>
      <c r="T739">
        <v>39.979999999999997</v>
      </c>
      <c r="U739">
        <v>0</v>
      </c>
      <c r="V739">
        <f t="shared" si="449"/>
        <v>1.4213709677419355</v>
      </c>
      <c r="W739">
        <f t="shared" si="450"/>
        <v>0.75567036290322576</v>
      </c>
      <c r="X739">
        <v>15.15</v>
      </c>
      <c r="Y739" s="3">
        <v>13.87</v>
      </c>
      <c r="Z739">
        <v>44.82</v>
      </c>
      <c r="AA739">
        <v>4.91</v>
      </c>
      <c r="AB739">
        <v>0.75</v>
      </c>
      <c r="AC739">
        <v>37.11</v>
      </c>
      <c r="AD739">
        <v>0</v>
      </c>
      <c r="AE739">
        <f t="shared" si="420"/>
        <v>1.3145917001338689</v>
      </c>
      <c r="AF739">
        <f t="shared" si="421"/>
        <v>0.62098393574297195</v>
      </c>
      <c r="AG739" s="3">
        <v>12.42</v>
      </c>
      <c r="AH739">
        <v>16.8</v>
      </c>
      <c r="AI739" s="3">
        <v>80</v>
      </c>
      <c r="AJ739" s="2" t="s">
        <v>193</v>
      </c>
      <c r="AK739" t="s">
        <v>194</v>
      </c>
      <c r="AL739">
        <v>87</v>
      </c>
    </row>
    <row r="740" spans="1:38" x14ac:dyDescent="0.5">
      <c r="A740">
        <v>60</v>
      </c>
      <c r="B740">
        <v>180</v>
      </c>
      <c r="C740">
        <v>0.1</v>
      </c>
      <c r="D740">
        <v>6</v>
      </c>
      <c r="E740">
        <v>50</v>
      </c>
      <c r="F740">
        <v>30</v>
      </c>
      <c r="G740" s="3">
        <f t="shared" ref="G740:G757" si="453">F740/D740</f>
        <v>5</v>
      </c>
      <c r="O740">
        <v>70.62</v>
      </c>
      <c r="P740" s="3">
        <v>14.23</v>
      </c>
      <c r="Q740">
        <v>39.68</v>
      </c>
      <c r="R740">
        <v>4.7</v>
      </c>
      <c r="S740">
        <v>0.48</v>
      </c>
      <c r="T740">
        <v>39.979999999999997</v>
      </c>
      <c r="U740">
        <v>0</v>
      </c>
      <c r="V740">
        <f t="shared" ref="V740:V757" si="454">(R740/1)/(Q740/12)</f>
        <v>1.4213709677419355</v>
      </c>
      <c r="W740">
        <f t="shared" ref="W740:W757" si="455">(T740/16)/(Q740/12)</f>
        <v>0.75567036290322576</v>
      </c>
      <c r="X740">
        <v>15.15</v>
      </c>
      <c r="Y740" s="3">
        <v>13.87</v>
      </c>
      <c r="Z740">
        <v>49.38</v>
      </c>
      <c r="AA740">
        <v>4.71</v>
      </c>
      <c r="AB740">
        <v>0.72</v>
      </c>
      <c r="AC740">
        <v>31.07</v>
      </c>
      <c r="AD740">
        <v>0</v>
      </c>
      <c r="AE740">
        <f t="shared" si="420"/>
        <v>1.1445929526123937</v>
      </c>
      <c r="AF740">
        <f t="shared" si="421"/>
        <v>0.47190157958687728</v>
      </c>
      <c r="AG740" s="3">
        <v>14.12</v>
      </c>
      <c r="AH740">
        <v>17.309999999999999</v>
      </c>
      <c r="AI740" s="3">
        <v>81</v>
      </c>
    </row>
    <row r="741" spans="1:38" x14ac:dyDescent="0.5">
      <c r="A741">
        <v>180</v>
      </c>
      <c r="B741">
        <v>180</v>
      </c>
      <c r="C741">
        <v>0.1</v>
      </c>
      <c r="D741">
        <v>6</v>
      </c>
      <c r="E741">
        <v>50</v>
      </c>
      <c r="F741">
        <v>30</v>
      </c>
      <c r="G741" s="3">
        <f t="shared" si="453"/>
        <v>5</v>
      </c>
      <c r="O741">
        <v>70.62</v>
      </c>
      <c r="P741" s="3">
        <v>14.23</v>
      </c>
      <c r="Q741">
        <v>39.68</v>
      </c>
      <c r="R741">
        <v>4.7</v>
      </c>
      <c r="S741">
        <v>0.48</v>
      </c>
      <c r="T741">
        <v>39.979999999999997</v>
      </c>
      <c r="U741">
        <v>0</v>
      </c>
      <c r="V741">
        <f t="shared" si="454"/>
        <v>1.4213709677419355</v>
      </c>
      <c r="W741">
        <f t="shared" si="455"/>
        <v>0.75567036290322576</v>
      </c>
      <c r="X741">
        <v>15.15</v>
      </c>
      <c r="Y741" s="3">
        <v>13.87</v>
      </c>
      <c r="Z741">
        <v>50.23</v>
      </c>
      <c r="AA741">
        <v>4.63</v>
      </c>
      <c r="AB741">
        <v>0.77</v>
      </c>
      <c r="AC741">
        <v>27.74</v>
      </c>
      <c r="AD741">
        <v>0</v>
      </c>
      <c r="AE741">
        <f t="shared" si="420"/>
        <v>1.1061118853274936</v>
      </c>
      <c r="AF741">
        <f t="shared" si="421"/>
        <v>0.41419470435994427</v>
      </c>
      <c r="AG741" s="3">
        <v>14.61</v>
      </c>
      <c r="AH741">
        <v>17.93</v>
      </c>
      <c r="AI741" s="3">
        <v>83</v>
      </c>
    </row>
    <row r="742" spans="1:38" x14ac:dyDescent="0.5">
      <c r="A742">
        <v>30</v>
      </c>
      <c r="B742">
        <v>220</v>
      </c>
      <c r="C742">
        <v>0.1</v>
      </c>
      <c r="D742">
        <v>6</v>
      </c>
      <c r="E742">
        <v>50</v>
      </c>
      <c r="F742">
        <v>30</v>
      </c>
      <c r="G742" s="3">
        <f t="shared" si="453"/>
        <v>5</v>
      </c>
      <c r="O742">
        <v>70.62</v>
      </c>
      <c r="P742" s="3">
        <v>14.23</v>
      </c>
      <c r="Q742">
        <v>39.68</v>
      </c>
      <c r="R742">
        <v>4.7</v>
      </c>
      <c r="S742">
        <v>0.48</v>
      </c>
      <c r="T742">
        <v>39.979999999999997</v>
      </c>
      <c r="U742">
        <v>0</v>
      </c>
      <c r="V742">
        <f t="shared" si="454"/>
        <v>1.4213709677419355</v>
      </c>
      <c r="W742">
        <f t="shared" si="455"/>
        <v>0.75567036290322576</v>
      </c>
      <c r="X742">
        <v>15.15</v>
      </c>
      <c r="Y742" s="3">
        <v>13.87</v>
      </c>
      <c r="Z742">
        <v>46.2</v>
      </c>
      <c r="AA742">
        <v>4.59</v>
      </c>
      <c r="AB742">
        <v>0.8</v>
      </c>
      <c r="AC742">
        <v>35.24</v>
      </c>
      <c r="AD742">
        <v>0</v>
      </c>
      <c r="AE742">
        <f t="shared" si="420"/>
        <v>1.192207792207792</v>
      </c>
      <c r="AF742">
        <f t="shared" si="421"/>
        <v>0.57207792207792207</v>
      </c>
      <c r="AG742" s="3">
        <v>13.17</v>
      </c>
      <c r="AH742">
        <v>18.82</v>
      </c>
      <c r="AI742" s="3">
        <v>84</v>
      </c>
    </row>
    <row r="743" spans="1:38" x14ac:dyDescent="0.5">
      <c r="A743">
        <v>60</v>
      </c>
      <c r="B743">
        <v>220</v>
      </c>
      <c r="C743">
        <v>0.1</v>
      </c>
      <c r="D743">
        <v>6</v>
      </c>
      <c r="E743">
        <v>50</v>
      </c>
      <c r="F743">
        <v>30</v>
      </c>
      <c r="G743" s="3">
        <f t="shared" si="453"/>
        <v>5</v>
      </c>
      <c r="O743">
        <v>70.62</v>
      </c>
      <c r="P743" s="3">
        <v>14.23</v>
      </c>
      <c r="Q743">
        <v>39.68</v>
      </c>
      <c r="R743">
        <v>4.7</v>
      </c>
      <c r="S743">
        <v>0.48</v>
      </c>
      <c r="T743">
        <v>39.979999999999997</v>
      </c>
      <c r="U743">
        <v>0</v>
      </c>
      <c r="V743">
        <f t="shared" si="454"/>
        <v>1.4213709677419355</v>
      </c>
      <c r="W743">
        <f t="shared" si="455"/>
        <v>0.75567036290322576</v>
      </c>
      <c r="X743">
        <v>15.15</v>
      </c>
      <c r="Y743" s="3">
        <v>13.87</v>
      </c>
      <c r="Z743">
        <v>51.29</v>
      </c>
      <c r="AA743">
        <v>4.72</v>
      </c>
      <c r="AB743">
        <v>0.84</v>
      </c>
      <c r="AC743">
        <v>27.98</v>
      </c>
      <c r="AD743">
        <v>0</v>
      </c>
      <c r="AE743">
        <f t="shared" si="420"/>
        <v>1.1043088321310195</v>
      </c>
      <c r="AF743">
        <f t="shared" si="421"/>
        <v>0.40914408266718655</v>
      </c>
      <c r="AG743" s="3">
        <v>15.17</v>
      </c>
      <c r="AH743">
        <v>18.93</v>
      </c>
      <c r="AI743" s="3">
        <v>81</v>
      </c>
    </row>
    <row r="744" spans="1:38" x14ac:dyDescent="0.5">
      <c r="A744">
        <v>180</v>
      </c>
      <c r="B744">
        <v>220</v>
      </c>
      <c r="C744">
        <v>0.1</v>
      </c>
      <c r="D744">
        <v>6</v>
      </c>
      <c r="E744">
        <v>50</v>
      </c>
      <c r="F744">
        <v>30</v>
      </c>
      <c r="G744" s="3">
        <f t="shared" si="453"/>
        <v>5</v>
      </c>
      <c r="O744">
        <v>70.62</v>
      </c>
      <c r="P744" s="3">
        <v>14.23</v>
      </c>
      <c r="Q744">
        <v>39.68</v>
      </c>
      <c r="R744">
        <v>4.7</v>
      </c>
      <c r="S744">
        <v>0.48</v>
      </c>
      <c r="T744">
        <v>39.979999999999997</v>
      </c>
      <c r="U744">
        <v>0</v>
      </c>
      <c r="V744">
        <f t="shared" si="454"/>
        <v>1.4213709677419355</v>
      </c>
      <c r="W744">
        <f t="shared" si="455"/>
        <v>0.75567036290322576</v>
      </c>
      <c r="X744">
        <v>15.15</v>
      </c>
      <c r="Y744" s="3">
        <v>13.87</v>
      </c>
      <c r="Z744">
        <v>50.32</v>
      </c>
      <c r="AA744">
        <v>4.9000000000000004</v>
      </c>
      <c r="AB744">
        <v>0.77</v>
      </c>
      <c r="AC744">
        <v>29.05</v>
      </c>
      <c r="AD744">
        <v>0</v>
      </c>
      <c r="AE744">
        <f t="shared" si="420"/>
        <v>1.1685214626391098</v>
      </c>
      <c r="AF744">
        <f t="shared" si="421"/>
        <v>0.43297893481717015</v>
      </c>
      <c r="AG744" s="3">
        <v>14.96</v>
      </c>
      <c r="AH744">
        <v>19.48</v>
      </c>
      <c r="AI744" s="3">
        <v>83</v>
      </c>
    </row>
    <row r="745" spans="1:38" x14ac:dyDescent="0.5">
      <c r="A745">
        <v>30</v>
      </c>
      <c r="B745">
        <v>250</v>
      </c>
      <c r="C745">
        <v>0.1</v>
      </c>
      <c r="D745">
        <v>6</v>
      </c>
      <c r="E745">
        <v>50</v>
      </c>
      <c r="F745">
        <v>30</v>
      </c>
      <c r="G745" s="3">
        <f t="shared" si="453"/>
        <v>5</v>
      </c>
      <c r="O745">
        <v>70.62</v>
      </c>
      <c r="P745" s="3">
        <v>14.23</v>
      </c>
      <c r="Q745">
        <v>39.68</v>
      </c>
      <c r="R745">
        <v>4.7</v>
      </c>
      <c r="S745">
        <v>0.48</v>
      </c>
      <c r="T745">
        <v>39.979999999999997</v>
      </c>
      <c r="U745">
        <v>0</v>
      </c>
      <c r="V745">
        <f t="shared" si="454"/>
        <v>1.4213709677419355</v>
      </c>
      <c r="W745">
        <f t="shared" si="455"/>
        <v>0.75567036290322576</v>
      </c>
      <c r="X745">
        <v>15.15</v>
      </c>
      <c r="Y745" s="3">
        <v>13.87</v>
      </c>
      <c r="Z745">
        <v>47.47</v>
      </c>
      <c r="AA745">
        <v>4.6100000000000003</v>
      </c>
      <c r="AB745">
        <v>0.77</v>
      </c>
      <c r="AC745">
        <v>33.11</v>
      </c>
      <c r="AD745">
        <v>0</v>
      </c>
      <c r="AE745">
        <f t="shared" si="420"/>
        <v>1.1653676005898463</v>
      </c>
      <c r="AF745">
        <f t="shared" si="421"/>
        <v>0.52311986517800724</v>
      </c>
      <c r="AG745" s="3">
        <v>14.04</v>
      </c>
      <c r="AH745">
        <v>20.34</v>
      </c>
      <c r="AI745" s="3">
        <v>78</v>
      </c>
    </row>
    <row r="746" spans="1:38" x14ac:dyDescent="0.5">
      <c r="A746">
        <v>60</v>
      </c>
      <c r="B746">
        <v>250</v>
      </c>
      <c r="C746">
        <v>0.1</v>
      </c>
      <c r="D746">
        <v>6</v>
      </c>
      <c r="E746">
        <v>50</v>
      </c>
      <c r="F746">
        <v>30</v>
      </c>
      <c r="G746" s="3">
        <f t="shared" si="453"/>
        <v>5</v>
      </c>
      <c r="O746">
        <v>70.62</v>
      </c>
      <c r="P746" s="3">
        <v>14.23</v>
      </c>
      <c r="Q746">
        <v>39.68</v>
      </c>
      <c r="R746">
        <v>4.7</v>
      </c>
      <c r="S746">
        <v>0.48</v>
      </c>
      <c r="T746">
        <v>39.979999999999997</v>
      </c>
      <c r="U746">
        <v>0</v>
      </c>
      <c r="V746">
        <f t="shared" si="454"/>
        <v>1.4213709677419355</v>
      </c>
      <c r="W746">
        <f t="shared" si="455"/>
        <v>0.75567036290322576</v>
      </c>
      <c r="X746">
        <v>15.15</v>
      </c>
      <c r="Y746" s="3">
        <v>13.87</v>
      </c>
      <c r="Z746">
        <v>52.86</v>
      </c>
      <c r="AA746">
        <v>4.8099999999999996</v>
      </c>
      <c r="AB746">
        <v>0.89</v>
      </c>
      <c r="AC746">
        <v>27.25</v>
      </c>
      <c r="AD746">
        <v>0</v>
      </c>
      <c r="AE746">
        <f t="shared" si="420"/>
        <v>1.0919409761634504</v>
      </c>
      <c r="AF746">
        <f t="shared" si="421"/>
        <v>0.38663450624290574</v>
      </c>
      <c r="AG746" s="3">
        <v>14.19</v>
      </c>
      <c r="AH746">
        <v>21.03</v>
      </c>
      <c r="AI746" s="3">
        <v>80</v>
      </c>
    </row>
    <row r="747" spans="1:38" x14ac:dyDescent="0.5">
      <c r="A747">
        <v>180</v>
      </c>
      <c r="B747">
        <v>250</v>
      </c>
      <c r="C747">
        <v>0.1</v>
      </c>
      <c r="D747">
        <v>6</v>
      </c>
      <c r="E747">
        <v>50</v>
      </c>
      <c r="F747">
        <v>30</v>
      </c>
      <c r="G747" s="3">
        <f t="shared" si="453"/>
        <v>5</v>
      </c>
      <c r="O747">
        <v>70.62</v>
      </c>
      <c r="P747" s="3">
        <v>14.23</v>
      </c>
      <c r="Q747">
        <v>39.68</v>
      </c>
      <c r="R747">
        <v>4.7</v>
      </c>
      <c r="S747">
        <v>0.48</v>
      </c>
      <c r="T747">
        <v>39.979999999999997</v>
      </c>
      <c r="U747">
        <v>0</v>
      </c>
      <c r="V747">
        <f t="shared" si="454"/>
        <v>1.4213709677419355</v>
      </c>
      <c r="W747">
        <f t="shared" si="455"/>
        <v>0.75567036290322576</v>
      </c>
      <c r="X747">
        <v>15.15</v>
      </c>
      <c r="Y747" s="3">
        <v>13.87</v>
      </c>
      <c r="Z747">
        <v>50.48</v>
      </c>
      <c r="AA747">
        <v>4.83</v>
      </c>
      <c r="AB747">
        <v>0.81</v>
      </c>
      <c r="AC747">
        <v>28.94</v>
      </c>
      <c r="AD747">
        <v>0</v>
      </c>
      <c r="AE747">
        <f t="shared" si="420"/>
        <v>1.1481774960380351</v>
      </c>
      <c r="AF747">
        <f t="shared" si="421"/>
        <v>0.42997226624405716</v>
      </c>
      <c r="AG747" s="3">
        <v>14.95</v>
      </c>
      <c r="AH747">
        <v>22.39</v>
      </c>
      <c r="AI747" s="3">
        <v>83</v>
      </c>
    </row>
    <row r="748" spans="1:38" x14ac:dyDescent="0.5">
      <c r="A748">
        <v>30</v>
      </c>
      <c r="B748">
        <v>250</v>
      </c>
      <c r="C748">
        <v>0.1</v>
      </c>
      <c r="D748">
        <v>6</v>
      </c>
      <c r="E748">
        <v>50</v>
      </c>
      <c r="F748">
        <v>20</v>
      </c>
      <c r="G748" s="3">
        <f t="shared" si="453"/>
        <v>3.3333333333333335</v>
      </c>
      <c r="O748">
        <v>70.62</v>
      </c>
      <c r="P748" s="3">
        <v>14.23</v>
      </c>
      <c r="Q748">
        <v>39.68</v>
      </c>
      <c r="R748">
        <v>4.7</v>
      </c>
      <c r="S748">
        <v>0.48</v>
      </c>
      <c r="T748">
        <v>39.979999999999997</v>
      </c>
      <c r="U748">
        <v>0</v>
      </c>
      <c r="V748">
        <f t="shared" si="454"/>
        <v>1.4213709677419355</v>
      </c>
      <c r="W748">
        <f t="shared" si="455"/>
        <v>0.75567036290322576</v>
      </c>
      <c r="X748">
        <v>15.15</v>
      </c>
      <c r="Y748" s="3">
        <v>13.87</v>
      </c>
      <c r="Z748">
        <v>49.02</v>
      </c>
      <c r="AA748">
        <v>4.62</v>
      </c>
      <c r="AB748">
        <v>0.87</v>
      </c>
      <c r="AC748">
        <v>28.29</v>
      </c>
      <c r="AD748">
        <v>0</v>
      </c>
      <c r="AE748">
        <f t="shared" si="420"/>
        <v>1.1309669522643819</v>
      </c>
      <c r="AF748">
        <f t="shared" si="421"/>
        <v>0.43283353733170132</v>
      </c>
      <c r="AG748" s="3">
        <v>16.43</v>
      </c>
      <c r="AH748">
        <v>20.12</v>
      </c>
      <c r="AI748" s="3">
        <v>92</v>
      </c>
    </row>
    <row r="749" spans="1:38" x14ac:dyDescent="0.5">
      <c r="A749">
        <v>60</v>
      </c>
      <c r="B749">
        <v>250</v>
      </c>
      <c r="C749">
        <v>0.1</v>
      </c>
      <c r="D749">
        <v>6</v>
      </c>
      <c r="E749">
        <v>50</v>
      </c>
      <c r="F749">
        <v>20</v>
      </c>
      <c r="G749" s="3">
        <f t="shared" si="453"/>
        <v>3.3333333333333335</v>
      </c>
      <c r="O749">
        <v>70.62</v>
      </c>
      <c r="P749" s="3">
        <v>14.23</v>
      </c>
      <c r="Q749">
        <v>39.68</v>
      </c>
      <c r="R749">
        <v>4.7</v>
      </c>
      <c r="S749">
        <v>0.48</v>
      </c>
      <c r="T749">
        <v>39.979999999999997</v>
      </c>
      <c r="U749">
        <v>0</v>
      </c>
      <c r="V749">
        <f t="shared" si="454"/>
        <v>1.4213709677419355</v>
      </c>
      <c r="W749">
        <f t="shared" si="455"/>
        <v>0.75567036290322576</v>
      </c>
      <c r="X749">
        <v>15.15</v>
      </c>
      <c r="Y749" s="3">
        <v>13.87</v>
      </c>
      <c r="Z749">
        <v>52.53</v>
      </c>
      <c r="AA749">
        <v>4.6500000000000004</v>
      </c>
      <c r="AB749">
        <v>1.03</v>
      </c>
      <c r="AC749">
        <v>23.99</v>
      </c>
      <c r="AD749">
        <v>0</v>
      </c>
      <c r="AE749">
        <f t="shared" si="420"/>
        <v>1.0622501427755568</v>
      </c>
      <c r="AF749">
        <f t="shared" si="421"/>
        <v>0.34251856082238713</v>
      </c>
      <c r="AG749" s="3">
        <v>16.41</v>
      </c>
      <c r="AH749">
        <v>20.9</v>
      </c>
      <c r="AI749" s="3">
        <v>92</v>
      </c>
    </row>
    <row r="750" spans="1:38" x14ac:dyDescent="0.5">
      <c r="A750">
        <v>180</v>
      </c>
      <c r="B750">
        <v>250</v>
      </c>
      <c r="C750">
        <v>0.1</v>
      </c>
      <c r="D750">
        <v>6</v>
      </c>
      <c r="E750">
        <v>50</v>
      </c>
      <c r="F750">
        <v>20</v>
      </c>
      <c r="G750" s="3">
        <f t="shared" si="453"/>
        <v>3.3333333333333335</v>
      </c>
      <c r="O750">
        <v>70.62</v>
      </c>
      <c r="P750" s="3">
        <v>14.23</v>
      </c>
      <c r="Q750">
        <v>39.68</v>
      </c>
      <c r="R750">
        <v>4.7</v>
      </c>
      <c r="S750">
        <v>0.48</v>
      </c>
      <c r="T750">
        <v>39.979999999999997</v>
      </c>
      <c r="U750">
        <v>0</v>
      </c>
      <c r="V750">
        <f t="shared" si="454"/>
        <v>1.4213709677419355</v>
      </c>
      <c r="W750">
        <f t="shared" si="455"/>
        <v>0.75567036290322576</v>
      </c>
      <c r="X750">
        <v>15.15</v>
      </c>
      <c r="Y750" s="3">
        <v>13.87</v>
      </c>
      <c r="Z750">
        <v>50.91</v>
      </c>
      <c r="AA750">
        <v>4.7</v>
      </c>
      <c r="AB750">
        <v>0.97</v>
      </c>
      <c r="AC750">
        <v>26.23</v>
      </c>
      <c r="AD750">
        <v>0</v>
      </c>
      <c r="AE750">
        <f t="shared" si="420"/>
        <v>1.1078373600471421</v>
      </c>
      <c r="AF750">
        <f t="shared" si="421"/>
        <v>0.38641720683559228</v>
      </c>
      <c r="AG750" s="3">
        <v>15.27</v>
      </c>
      <c r="AH750">
        <v>21.07</v>
      </c>
      <c r="AI750" s="3">
        <v>92</v>
      </c>
    </row>
    <row r="751" spans="1:38" x14ac:dyDescent="0.5">
      <c r="A751">
        <v>30</v>
      </c>
      <c r="B751">
        <v>250</v>
      </c>
      <c r="C751">
        <v>0.1</v>
      </c>
      <c r="D751">
        <v>2.8</v>
      </c>
      <c r="E751">
        <v>50</v>
      </c>
      <c r="F751">
        <v>20</v>
      </c>
      <c r="G751" s="3">
        <f t="shared" si="453"/>
        <v>7.1428571428571432</v>
      </c>
      <c r="O751">
        <v>70.62</v>
      </c>
      <c r="P751" s="3">
        <v>14.23</v>
      </c>
      <c r="Q751">
        <v>39.68</v>
      </c>
      <c r="R751">
        <v>4.7</v>
      </c>
      <c r="S751">
        <v>0.48</v>
      </c>
      <c r="T751">
        <v>39.979999999999997</v>
      </c>
      <c r="U751">
        <v>0</v>
      </c>
      <c r="V751">
        <f t="shared" si="454"/>
        <v>1.4213709677419355</v>
      </c>
      <c r="W751">
        <f t="shared" si="455"/>
        <v>0.75567036290322576</v>
      </c>
      <c r="X751">
        <v>15.15</v>
      </c>
      <c r="Y751" s="3">
        <v>13.87</v>
      </c>
      <c r="Z751">
        <v>50.52</v>
      </c>
      <c r="AA751">
        <v>4.83</v>
      </c>
      <c r="AB751">
        <v>0.78</v>
      </c>
      <c r="AC751">
        <v>29.55</v>
      </c>
      <c r="AD751">
        <v>0</v>
      </c>
      <c r="AE751">
        <f t="shared" si="420"/>
        <v>1.1472684085510689</v>
      </c>
      <c r="AF751">
        <f t="shared" si="421"/>
        <v>0.43868764845605701</v>
      </c>
      <c r="AG751" s="3">
        <v>14.32</v>
      </c>
      <c r="AH751">
        <v>20.76</v>
      </c>
      <c r="AI751" s="3">
        <v>79</v>
      </c>
    </row>
    <row r="752" spans="1:38" x14ac:dyDescent="0.5">
      <c r="A752">
        <v>60</v>
      </c>
      <c r="B752">
        <v>250</v>
      </c>
      <c r="C752">
        <v>0.1</v>
      </c>
      <c r="D752">
        <v>2.8</v>
      </c>
      <c r="E752">
        <v>50</v>
      </c>
      <c r="F752">
        <v>20</v>
      </c>
      <c r="G752" s="3">
        <f t="shared" si="453"/>
        <v>7.1428571428571432</v>
      </c>
      <c r="O752">
        <v>70.62</v>
      </c>
      <c r="P752" s="3">
        <v>14.23</v>
      </c>
      <c r="Q752">
        <v>39.68</v>
      </c>
      <c r="R752">
        <v>4.7</v>
      </c>
      <c r="S752">
        <v>0.48</v>
      </c>
      <c r="T752">
        <v>39.979999999999997</v>
      </c>
      <c r="U752">
        <v>0</v>
      </c>
      <c r="V752">
        <f t="shared" si="454"/>
        <v>1.4213709677419355</v>
      </c>
      <c r="W752">
        <f t="shared" si="455"/>
        <v>0.75567036290322576</v>
      </c>
      <c r="X752">
        <v>15.15</v>
      </c>
      <c r="Y752" s="3">
        <v>13.87</v>
      </c>
      <c r="Z752">
        <v>51.08</v>
      </c>
      <c r="AA752">
        <v>4.88</v>
      </c>
      <c r="AB752">
        <v>0.84</v>
      </c>
      <c r="AC752">
        <v>29.07</v>
      </c>
      <c r="AD752">
        <v>0</v>
      </c>
      <c r="AE752">
        <f t="shared" si="420"/>
        <v>1.1464369616288175</v>
      </c>
      <c r="AF752">
        <f t="shared" si="421"/>
        <v>0.42683046202036024</v>
      </c>
      <c r="AG752" s="3">
        <v>14.13</v>
      </c>
      <c r="AH752">
        <v>20.96</v>
      </c>
      <c r="AI752" s="3">
        <v>72</v>
      </c>
    </row>
    <row r="753" spans="1:38" x14ac:dyDescent="0.5">
      <c r="A753">
        <v>180</v>
      </c>
      <c r="B753">
        <v>250</v>
      </c>
      <c r="C753">
        <v>0.1</v>
      </c>
      <c r="D753">
        <v>2.8</v>
      </c>
      <c r="E753">
        <v>50</v>
      </c>
      <c r="F753">
        <v>20</v>
      </c>
      <c r="G753" s="3">
        <f t="shared" si="453"/>
        <v>7.1428571428571432</v>
      </c>
      <c r="O753">
        <v>70.62</v>
      </c>
      <c r="P753" s="3">
        <v>14.23</v>
      </c>
      <c r="Q753">
        <v>39.68</v>
      </c>
      <c r="R753">
        <v>4.7</v>
      </c>
      <c r="S753">
        <v>0.48</v>
      </c>
      <c r="T753">
        <v>39.979999999999997</v>
      </c>
      <c r="U753">
        <v>0</v>
      </c>
      <c r="V753">
        <f t="shared" si="454"/>
        <v>1.4213709677419355</v>
      </c>
      <c r="W753">
        <f t="shared" si="455"/>
        <v>0.75567036290322576</v>
      </c>
      <c r="X753">
        <v>15.15</v>
      </c>
      <c r="Y753" s="3">
        <v>13.87</v>
      </c>
      <c r="Z753">
        <v>53.08</v>
      </c>
      <c r="AA753">
        <v>4.7699999999999996</v>
      </c>
      <c r="AB753">
        <v>0.95</v>
      </c>
      <c r="AC753">
        <v>27.35</v>
      </c>
      <c r="AD753">
        <v>0</v>
      </c>
      <c r="AE753">
        <f t="shared" si="420"/>
        <v>1.0783722682743029</v>
      </c>
      <c r="AF753">
        <f t="shared" si="421"/>
        <v>0.3864449886963075</v>
      </c>
      <c r="AG753" s="3">
        <v>13.84</v>
      </c>
      <c r="AH753">
        <v>22.31</v>
      </c>
      <c r="AI753" s="3">
        <v>73</v>
      </c>
    </row>
    <row r="754" spans="1:38" x14ac:dyDescent="0.5">
      <c r="A754">
        <v>30</v>
      </c>
      <c r="B754">
        <v>250</v>
      </c>
      <c r="C754">
        <v>0.1</v>
      </c>
      <c r="D754">
        <v>2.8</v>
      </c>
      <c r="E754">
        <v>50</v>
      </c>
      <c r="F754">
        <v>34</v>
      </c>
      <c r="G754" s="3">
        <f t="shared" si="453"/>
        <v>12.142857142857144</v>
      </c>
      <c r="O754">
        <v>70.62</v>
      </c>
      <c r="P754" s="3">
        <v>14.23</v>
      </c>
      <c r="Q754">
        <v>39.68</v>
      </c>
      <c r="R754">
        <v>4.7</v>
      </c>
      <c r="S754">
        <v>0.48</v>
      </c>
      <c r="T754">
        <v>39.979999999999997</v>
      </c>
      <c r="U754">
        <v>0</v>
      </c>
      <c r="V754">
        <f t="shared" si="454"/>
        <v>1.4213709677419355</v>
      </c>
      <c r="W754">
        <f t="shared" si="455"/>
        <v>0.75567036290322576</v>
      </c>
      <c r="X754">
        <v>15.15</v>
      </c>
      <c r="Y754" s="3">
        <v>13.87</v>
      </c>
      <c r="Z754">
        <v>49.64</v>
      </c>
      <c r="AA754">
        <v>4.88</v>
      </c>
      <c r="AB754">
        <v>0.75</v>
      </c>
      <c r="AC754">
        <v>31.69</v>
      </c>
      <c r="AD754">
        <v>0</v>
      </c>
      <c r="AE754">
        <f t="shared" si="420"/>
        <v>1.1796937953263498</v>
      </c>
      <c r="AF754">
        <f t="shared" si="421"/>
        <v>0.47879734085414988</v>
      </c>
      <c r="AG754" s="3">
        <v>13.04</v>
      </c>
      <c r="AH754">
        <v>19.170000000000002</v>
      </c>
      <c r="AI754" s="3">
        <v>64</v>
      </c>
    </row>
    <row r="755" spans="1:38" x14ac:dyDescent="0.5">
      <c r="A755">
        <v>60</v>
      </c>
      <c r="B755">
        <v>250</v>
      </c>
      <c r="C755">
        <v>0.1</v>
      </c>
      <c r="D755">
        <v>2.8</v>
      </c>
      <c r="E755">
        <v>50</v>
      </c>
      <c r="F755">
        <v>34</v>
      </c>
      <c r="G755" s="3">
        <f t="shared" si="453"/>
        <v>12.142857142857144</v>
      </c>
      <c r="O755">
        <v>70.62</v>
      </c>
      <c r="P755" s="3">
        <v>14.23</v>
      </c>
      <c r="Q755">
        <v>39.68</v>
      </c>
      <c r="R755">
        <v>4.7</v>
      </c>
      <c r="S755">
        <v>0.48</v>
      </c>
      <c r="T755">
        <v>39.979999999999997</v>
      </c>
      <c r="U755">
        <v>0</v>
      </c>
      <c r="V755">
        <f t="shared" si="454"/>
        <v>1.4213709677419355</v>
      </c>
      <c r="W755">
        <f t="shared" si="455"/>
        <v>0.75567036290322576</v>
      </c>
      <c r="X755">
        <v>15.15</v>
      </c>
      <c r="Y755" s="3">
        <v>13.87</v>
      </c>
      <c r="Z755">
        <v>53.95</v>
      </c>
      <c r="AA755">
        <v>4.74</v>
      </c>
      <c r="AB755">
        <v>0.91</v>
      </c>
      <c r="AC755">
        <v>26.28</v>
      </c>
      <c r="AD755">
        <v>0</v>
      </c>
      <c r="AE755">
        <f t="shared" si="420"/>
        <v>1.0543095458758109</v>
      </c>
      <c r="AF755">
        <f t="shared" si="421"/>
        <v>0.36533827618164966</v>
      </c>
      <c r="AG755" s="3">
        <v>14.13</v>
      </c>
      <c r="AH755">
        <v>19.53</v>
      </c>
      <c r="AI755" s="3">
        <v>63</v>
      </c>
    </row>
    <row r="756" spans="1:38" x14ac:dyDescent="0.5">
      <c r="A756">
        <v>180</v>
      </c>
      <c r="B756">
        <v>250</v>
      </c>
      <c r="C756">
        <v>0.1</v>
      </c>
      <c r="D756">
        <v>2.8</v>
      </c>
      <c r="E756">
        <v>50</v>
      </c>
      <c r="F756">
        <v>34</v>
      </c>
      <c r="G756" s="3">
        <f t="shared" si="453"/>
        <v>12.142857142857144</v>
      </c>
      <c r="O756">
        <v>70.62</v>
      </c>
      <c r="P756" s="3">
        <v>14.23</v>
      </c>
      <c r="Q756">
        <v>39.68</v>
      </c>
      <c r="R756">
        <v>4.7</v>
      </c>
      <c r="S756">
        <v>0.48</v>
      </c>
      <c r="T756">
        <v>39.979999999999997</v>
      </c>
      <c r="U756">
        <v>0</v>
      </c>
      <c r="V756">
        <f t="shared" si="454"/>
        <v>1.4213709677419355</v>
      </c>
      <c r="W756">
        <f t="shared" si="455"/>
        <v>0.75567036290322576</v>
      </c>
      <c r="X756">
        <v>15.15</v>
      </c>
      <c r="Y756" s="3">
        <v>13.87</v>
      </c>
      <c r="Z756">
        <v>52.77</v>
      </c>
      <c r="AA756">
        <v>4.6900000000000004</v>
      </c>
      <c r="AB756">
        <v>1.03</v>
      </c>
      <c r="AC756">
        <v>26.81</v>
      </c>
      <c r="AD756">
        <v>0</v>
      </c>
      <c r="AE756">
        <f t="shared" si="420"/>
        <v>1.0665150653780557</v>
      </c>
      <c r="AF756">
        <f t="shared" si="421"/>
        <v>0.38104036384309264</v>
      </c>
      <c r="AG756" s="3">
        <v>14.69</v>
      </c>
      <c r="AH756">
        <v>20.82</v>
      </c>
      <c r="AI756" s="3">
        <v>63</v>
      </c>
    </row>
    <row r="757" spans="1:38" x14ac:dyDescent="0.5">
      <c r="A757">
        <v>30</v>
      </c>
      <c r="B757">
        <v>220</v>
      </c>
      <c r="C757">
        <v>2</v>
      </c>
      <c r="D757">
        <v>10</v>
      </c>
      <c r="E757">
        <v>500</v>
      </c>
      <c r="F757">
        <v>150</v>
      </c>
      <c r="G757" s="3">
        <f t="shared" si="453"/>
        <v>15</v>
      </c>
      <c r="N757">
        <v>4.22</v>
      </c>
      <c r="O757">
        <v>79.72</v>
      </c>
      <c r="P757" s="3">
        <v>15.11</v>
      </c>
      <c r="Q757">
        <v>53</v>
      </c>
      <c r="R757">
        <v>5.6</v>
      </c>
      <c r="S757">
        <v>1.5</v>
      </c>
      <c r="T757">
        <v>39.619999999999997</v>
      </c>
      <c r="U757">
        <v>0</v>
      </c>
      <c r="V757">
        <f t="shared" si="454"/>
        <v>1.2679245283018867</v>
      </c>
      <c r="W757">
        <f t="shared" si="455"/>
        <v>0.5606603773584905</v>
      </c>
      <c r="X757">
        <v>0.95</v>
      </c>
      <c r="Y757" s="3">
        <v>19.87</v>
      </c>
      <c r="Z757">
        <v>59.58</v>
      </c>
      <c r="AA757">
        <v>5.46</v>
      </c>
      <c r="AB757">
        <v>1.57</v>
      </c>
      <c r="AC757">
        <v>29.74</v>
      </c>
      <c r="AD757">
        <v>0</v>
      </c>
      <c r="AE757">
        <f t="shared" ref="AE757:AE882" si="456">(AA757/1)/(Z757/12)</f>
        <v>1.0996978851963746</v>
      </c>
      <c r="AF757">
        <f t="shared" ref="AF757:AF850" si="457">(AC757/16)/(Z757/12)</f>
        <v>0.37437059415911378</v>
      </c>
      <c r="AG757" s="3">
        <v>0.66</v>
      </c>
      <c r="AH757">
        <v>24.27</v>
      </c>
      <c r="AI757" s="3">
        <v>64.010000000000005</v>
      </c>
      <c r="AJ757" s="2" t="s">
        <v>195</v>
      </c>
      <c r="AK757" t="s">
        <v>196</v>
      </c>
      <c r="AL757">
        <v>88</v>
      </c>
    </row>
    <row r="758" spans="1:38" x14ac:dyDescent="0.5">
      <c r="A758">
        <v>30</v>
      </c>
      <c r="B758">
        <v>240</v>
      </c>
      <c r="C758">
        <v>3.17</v>
      </c>
      <c r="D758">
        <v>10</v>
      </c>
      <c r="E758">
        <v>500</v>
      </c>
      <c r="F758">
        <v>150</v>
      </c>
      <c r="G758" s="3">
        <f t="shared" ref="G758:G764" si="458">F758/D758</f>
        <v>15</v>
      </c>
      <c r="N758">
        <v>4.22</v>
      </c>
      <c r="O758">
        <v>79.72</v>
      </c>
      <c r="P758" s="3">
        <v>15.11</v>
      </c>
      <c r="Q758">
        <v>53</v>
      </c>
      <c r="R758">
        <v>5.6</v>
      </c>
      <c r="S758">
        <v>1.5</v>
      </c>
      <c r="T758">
        <v>39.619999999999997</v>
      </c>
      <c r="U758">
        <v>0</v>
      </c>
      <c r="V758">
        <f t="shared" ref="V758:V764" si="459">(R758/1)/(Q758/12)</f>
        <v>1.2679245283018867</v>
      </c>
      <c r="W758">
        <f t="shared" ref="W758:W764" si="460">(T758/16)/(Q758/12)</f>
        <v>0.5606603773584905</v>
      </c>
      <c r="X758">
        <v>0.95</v>
      </c>
      <c r="Y758" s="3">
        <v>19.87</v>
      </c>
      <c r="Z758">
        <v>71.91</v>
      </c>
      <c r="AA758">
        <v>5.2</v>
      </c>
      <c r="AB758">
        <v>1.59</v>
      </c>
      <c r="AC758">
        <v>17.97</v>
      </c>
      <c r="AD758">
        <v>0</v>
      </c>
      <c r="AE758">
        <f t="shared" si="456"/>
        <v>0.86775135586149366</v>
      </c>
      <c r="AF758">
        <f t="shared" si="457"/>
        <v>0.18742177722152692</v>
      </c>
      <c r="AG758" s="3">
        <v>0.96</v>
      </c>
      <c r="AH758">
        <v>29.67</v>
      </c>
      <c r="AI758" s="3">
        <v>53.18</v>
      </c>
    </row>
    <row r="759" spans="1:38" x14ac:dyDescent="0.5">
      <c r="A759">
        <v>30</v>
      </c>
      <c r="B759">
        <v>260</v>
      </c>
      <c r="C759">
        <v>4.53</v>
      </c>
      <c r="D759">
        <v>10</v>
      </c>
      <c r="E759">
        <v>500</v>
      </c>
      <c r="F759">
        <v>150</v>
      </c>
      <c r="G759" s="3">
        <f t="shared" si="458"/>
        <v>15</v>
      </c>
      <c r="N759">
        <v>4.22</v>
      </c>
      <c r="O759">
        <v>79.72</v>
      </c>
      <c r="P759" s="3">
        <v>15.11</v>
      </c>
      <c r="Q759">
        <v>53</v>
      </c>
      <c r="R759">
        <v>5.6</v>
      </c>
      <c r="S759">
        <v>1.5</v>
      </c>
      <c r="T759">
        <v>39.619999999999997</v>
      </c>
      <c r="U759">
        <v>0</v>
      </c>
      <c r="V759">
        <f t="shared" si="459"/>
        <v>1.2679245283018867</v>
      </c>
      <c r="W759">
        <f t="shared" si="460"/>
        <v>0.5606603773584905</v>
      </c>
      <c r="X759">
        <v>0.95</v>
      </c>
      <c r="Y759" s="3">
        <v>19.87</v>
      </c>
      <c r="Z759">
        <v>73.41</v>
      </c>
      <c r="AA759">
        <v>4.5199999999999996</v>
      </c>
      <c r="AB759">
        <v>1.61</v>
      </c>
      <c r="AC759">
        <v>18.62</v>
      </c>
      <c r="AD759">
        <v>0</v>
      </c>
      <c r="AE759">
        <f t="shared" si="456"/>
        <v>0.73886391499795667</v>
      </c>
      <c r="AF759">
        <f t="shared" si="457"/>
        <v>0.19023293829178589</v>
      </c>
      <c r="AG759" s="3">
        <v>0.57999999999999996</v>
      </c>
      <c r="AH759">
        <v>29.42</v>
      </c>
      <c r="AI759" s="3">
        <v>49.1</v>
      </c>
    </row>
    <row r="760" spans="1:38" x14ac:dyDescent="0.5">
      <c r="A760">
        <v>30</v>
      </c>
      <c r="B760">
        <v>260</v>
      </c>
      <c r="C760">
        <v>4.53</v>
      </c>
      <c r="D760">
        <v>10</v>
      </c>
      <c r="E760">
        <v>500</v>
      </c>
      <c r="F760">
        <v>150</v>
      </c>
      <c r="G760" s="3">
        <f t="shared" si="458"/>
        <v>15</v>
      </c>
      <c r="N760">
        <v>4.22</v>
      </c>
      <c r="O760">
        <v>79.72</v>
      </c>
      <c r="P760" s="3">
        <v>15.11</v>
      </c>
      <c r="Q760">
        <v>53</v>
      </c>
      <c r="R760">
        <v>5.6</v>
      </c>
      <c r="S760">
        <v>1.5</v>
      </c>
      <c r="T760">
        <v>39.619999999999997</v>
      </c>
      <c r="U760">
        <v>0</v>
      </c>
      <c r="V760">
        <f t="shared" si="459"/>
        <v>1.2679245283018867</v>
      </c>
      <c r="W760">
        <f t="shared" si="460"/>
        <v>0.5606603773584905</v>
      </c>
      <c r="X760">
        <v>0.95</v>
      </c>
      <c r="Y760" s="3">
        <v>19.87</v>
      </c>
      <c r="Z760">
        <v>72.959999999999994</v>
      </c>
      <c r="AA760">
        <v>4.8</v>
      </c>
      <c r="AB760">
        <v>1.62</v>
      </c>
      <c r="AC760">
        <v>19.579999999999998</v>
      </c>
      <c r="AD760">
        <v>0</v>
      </c>
      <c r="AE760">
        <f t="shared" si="456"/>
        <v>0.78947368421052644</v>
      </c>
      <c r="AF760">
        <f t="shared" si="457"/>
        <v>0.20127467105263158</v>
      </c>
      <c r="AG760" s="3">
        <v>0.18</v>
      </c>
      <c r="AH760">
        <v>29.48</v>
      </c>
      <c r="AI760" s="3">
        <v>49.07</v>
      </c>
    </row>
    <row r="761" spans="1:38" x14ac:dyDescent="0.5">
      <c r="A761">
        <v>30</v>
      </c>
      <c r="B761">
        <v>260</v>
      </c>
      <c r="C761">
        <v>4.51</v>
      </c>
      <c r="D761">
        <v>10</v>
      </c>
      <c r="E761">
        <v>500</v>
      </c>
      <c r="F761">
        <v>150</v>
      </c>
      <c r="G761" s="3">
        <f t="shared" si="458"/>
        <v>15</v>
      </c>
      <c r="N761">
        <v>4.22</v>
      </c>
      <c r="O761">
        <v>79.72</v>
      </c>
      <c r="P761" s="3">
        <v>15.11</v>
      </c>
      <c r="Q761">
        <v>53</v>
      </c>
      <c r="R761">
        <v>5.6</v>
      </c>
      <c r="S761">
        <v>1.5</v>
      </c>
      <c r="T761">
        <v>39.619999999999997</v>
      </c>
      <c r="U761">
        <v>0</v>
      </c>
      <c r="V761">
        <f t="shared" si="459"/>
        <v>1.2679245283018867</v>
      </c>
      <c r="W761">
        <f t="shared" si="460"/>
        <v>0.5606603773584905</v>
      </c>
      <c r="X761">
        <v>0.95</v>
      </c>
      <c r="Y761" s="3">
        <v>19.87</v>
      </c>
      <c r="Z761">
        <v>72.44</v>
      </c>
      <c r="AA761">
        <v>5.21</v>
      </c>
      <c r="AB761">
        <v>1.66</v>
      </c>
      <c r="AC761">
        <v>19.350000000000001</v>
      </c>
      <c r="AD761">
        <v>0</v>
      </c>
      <c r="AE761">
        <f t="shared" si="456"/>
        <v>0.86305908337934845</v>
      </c>
      <c r="AF761">
        <f t="shared" si="457"/>
        <v>0.20033821093318613</v>
      </c>
      <c r="AG761" s="3">
        <v>0.57999999999999996</v>
      </c>
      <c r="AH761">
        <v>29.78</v>
      </c>
      <c r="AI761" s="3">
        <v>50.03</v>
      </c>
    </row>
    <row r="762" spans="1:38" x14ac:dyDescent="0.5">
      <c r="A762">
        <v>60</v>
      </c>
      <c r="B762">
        <v>260</v>
      </c>
      <c r="C762">
        <v>4.53</v>
      </c>
      <c r="D762">
        <v>10</v>
      </c>
      <c r="E762">
        <v>500</v>
      </c>
      <c r="F762">
        <v>150</v>
      </c>
      <c r="G762" s="3">
        <f t="shared" si="458"/>
        <v>15</v>
      </c>
      <c r="N762">
        <v>4.22</v>
      </c>
      <c r="O762">
        <v>79.72</v>
      </c>
      <c r="P762" s="3">
        <v>15.11</v>
      </c>
      <c r="Q762">
        <v>53</v>
      </c>
      <c r="R762">
        <v>5.6</v>
      </c>
      <c r="S762">
        <v>1.5</v>
      </c>
      <c r="T762">
        <v>39.619999999999997</v>
      </c>
      <c r="U762">
        <v>0</v>
      </c>
      <c r="V762">
        <f t="shared" si="459"/>
        <v>1.2679245283018867</v>
      </c>
      <c r="W762">
        <f t="shared" si="460"/>
        <v>0.5606603773584905</v>
      </c>
      <c r="X762">
        <v>0.95</v>
      </c>
      <c r="Y762" s="3">
        <v>19.87</v>
      </c>
      <c r="Z762">
        <v>74.650000000000006</v>
      </c>
      <c r="AA762">
        <v>4.53</v>
      </c>
      <c r="AB762">
        <v>1.62</v>
      </c>
      <c r="AC762">
        <v>17.739999999999998</v>
      </c>
      <c r="AD762">
        <v>0</v>
      </c>
      <c r="AE762">
        <f t="shared" si="456"/>
        <v>0.72819825853985265</v>
      </c>
      <c r="AF762">
        <f t="shared" si="457"/>
        <v>0.17823174815807097</v>
      </c>
      <c r="AG762" s="3">
        <v>0.78</v>
      </c>
      <c r="AH762">
        <v>29.98</v>
      </c>
      <c r="AI762" s="3">
        <v>47.9</v>
      </c>
    </row>
    <row r="763" spans="1:38" x14ac:dyDescent="0.5">
      <c r="A763">
        <v>90</v>
      </c>
      <c r="B763">
        <v>260</v>
      </c>
      <c r="C763">
        <v>4.55</v>
      </c>
      <c r="D763">
        <v>10</v>
      </c>
      <c r="E763">
        <v>500</v>
      </c>
      <c r="F763">
        <v>150</v>
      </c>
      <c r="G763" s="3">
        <f t="shared" si="458"/>
        <v>15</v>
      </c>
      <c r="N763">
        <v>4.22</v>
      </c>
      <c r="O763">
        <v>79.72</v>
      </c>
      <c r="P763" s="3">
        <v>15.11</v>
      </c>
      <c r="Q763">
        <v>53</v>
      </c>
      <c r="R763">
        <v>5.6</v>
      </c>
      <c r="S763">
        <v>1.5</v>
      </c>
      <c r="T763">
        <v>39.619999999999997</v>
      </c>
      <c r="U763">
        <v>0</v>
      </c>
      <c r="V763">
        <f t="shared" si="459"/>
        <v>1.2679245283018867</v>
      </c>
      <c r="W763">
        <f t="shared" si="460"/>
        <v>0.5606603773584905</v>
      </c>
      <c r="X763">
        <v>0.95</v>
      </c>
      <c r="Y763" s="3">
        <v>19.87</v>
      </c>
      <c r="Z763">
        <v>75.290000000000006</v>
      </c>
      <c r="AA763">
        <v>4.54</v>
      </c>
      <c r="AB763">
        <v>1.59</v>
      </c>
      <c r="AC763">
        <v>17.329999999999998</v>
      </c>
      <c r="AD763">
        <v>0</v>
      </c>
      <c r="AE763">
        <f t="shared" si="456"/>
        <v>0.72360207198831183</v>
      </c>
      <c r="AF763">
        <f t="shared" si="457"/>
        <v>0.17263248771417183</v>
      </c>
      <c r="AG763" s="3">
        <v>0.5</v>
      </c>
      <c r="AH763">
        <v>30.26</v>
      </c>
      <c r="AI763" s="3">
        <v>48.3</v>
      </c>
    </row>
    <row r="764" spans="1:38" x14ac:dyDescent="0.5">
      <c r="A764">
        <v>30</v>
      </c>
      <c r="B764">
        <v>180</v>
      </c>
      <c r="C764">
        <v>0.1</v>
      </c>
      <c r="D764">
        <v>20</v>
      </c>
      <c r="E764">
        <v>500</v>
      </c>
      <c r="F764">
        <v>200</v>
      </c>
      <c r="G764" s="3">
        <f t="shared" si="458"/>
        <v>10</v>
      </c>
      <c r="O764">
        <v>74.13</v>
      </c>
      <c r="P764" s="3">
        <v>11.71</v>
      </c>
      <c r="Q764">
        <v>38.270000000000003</v>
      </c>
      <c r="R764">
        <v>5.95</v>
      </c>
      <c r="S764">
        <v>0.76</v>
      </c>
      <c r="T764">
        <v>40.74</v>
      </c>
      <c r="U764">
        <v>0.12</v>
      </c>
      <c r="V764">
        <f t="shared" si="459"/>
        <v>1.8656911418865951</v>
      </c>
      <c r="W764">
        <f t="shared" si="460"/>
        <v>0.79840606218970467</v>
      </c>
      <c r="X764">
        <v>14.16</v>
      </c>
      <c r="Y764" s="3">
        <f>(0.338*Q764)+1.428*(R764-(T764/8))</f>
        <v>14.159770000000002</v>
      </c>
      <c r="Z764">
        <v>42.24</v>
      </c>
      <c r="AA764">
        <v>5.43</v>
      </c>
      <c r="AB764">
        <v>0.9</v>
      </c>
      <c r="AC764">
        <v>37.5</v>
      </c>
      <c r="AD764">
        <v>0.16</v>
      </c>
      <c r="AE764">
        <f t="shared" si="456"/>
        <v>1.5426136363636362</v>
      </c>
      <c r="AF764">
        <f t="shared" si="457"/>
        <v>0.66583806818181823</v>
      </c>
      <c r="AG764" s="3">
        <v>13.77</v>
      </c>
      <c r="AH764">
        <f>(0.338*Z764)+1.428*(AA764-(AC764/8))</f>
        <v>15.337410000000002</v>
      </c>
      <c r="AI764" s="3">
        <v>75</v>
      </c>
      <c r="AJ764" s="2" t="s">
        <v>197</v>
      </c>
      <c r="AK764" t="s">
        <v>198</v>
      </c>
      <c r="AL764">
        <v>89</v>
      </c>
    </row>
    <row r="765" spans="1:38" x14ac:dyDescent="0.5">
      <c r="A765">
        <v>30</v>
      </c>
      <c r="B765">
        <v>200</v>
      </c>
      <c r="C765">
        <v>0.1</v>
      </c>
      <c r="D765">
        <v>20</v>
      </c>
      <c r="E765">
        <v>500</v>
      </c>
      <c r="F765">
        <v>200</v>
      </c>
      <c r="G765" s="3">
        <f t="shared" ref="G765:G768" si="461">F765/D765</f>
        <v>10</v>
      </c>
      <c r="O765">
        <v>74.13</v>
      </c>
      <c r="P765" s="3">
        <v>11.71</v>
      </c>
      <c r="Q765">
        <v>38.270000000000003</v>
      </c>
      <c r="R765">
        <v>5.95</v>
      </c>
      <c r="S765">
        <v>0.76</v>
      </c>
      <c r="T765">
        <v>40.74</v>
      </c>
      <c r="U765">
        <v>0.12</v>
      </c>
      <c r="V765">
        <f t="shared" ref="V765:V776" si="462">(R765/1)/(Q765/12)</f>
        <v>1.8656911418865951</v>
      </c>
      <c r="W765">
        <f t="shared" ref="W765:W776" si="463">(T765/16)/(Q765/12)</f>
        <v>0.79840606218970467</v>
      </c>
      <c r="X765">
        <v>14.16</v>
      </c>
      <c r="Y765" s="3">
        <f t="shared" ref="Y765:Y766" si="464">(0.338*Q765)+1.428*(R765-(T765/8))</f>
        <v>14.159770000000002</v>
      </c>
      <c r="Z765">
        <v>45.57</v>
      </c>
      <c r="AA765">
        <v>5.39</v>
      </c>
      <c r="AB765">
        <v>0.83</v>
      </c>
      <c r="AC765">
        <v>35.6</v>
      </c>
      <c r="AD765">
        <v>0.15</v>
      </c>
      <c r="AE765">
        <f t="shared" si="456"/>
        <v>1.4193548387096775</v>
      </c>
      <c r="AF765">
        <f t="shared" si="457"/>
        <v>0.58591178406846611</v>
      </c>
      <c r="AG765" s="3">
        <v>12.46</v>
      </c>
      <c r="AH765">
        <f t="shared" ref="AH765:AH766" si="465">(0.338*Z765)+1.428*(AA765-(AC765/8))</f>
        <v>16.744980000000002</v>
      </c>
      <c r="AI765" s="3">
        <v>69</v>
      </c>
    </row>
    <row r="766" spans="1:38" x14ac:dyDescent="0.5">
      <c r="A766">
        <v>30</v>
      </c>
      <c r="B766">
        <v>220</v>
      </c>
      <c r="C766">
        <v>0.1</v>
      </c>
      <c r="D766">
        <v>20</v>
      </c>
      <c r="E766">
        <v>500</v>
      </c>
      <c r="F766">
        <v>200</v>
      </c>
      <c r="G766" s="3">
        <f t="shared" si="461"/>
        <v>10</v>
      </c>
      <c r="O766">
        <v>74.13</v>
      </c>
      <c r="P766" s="3">
        <v>11.71</v>
      </c>
      <c r="Q766">
        <v>38.270000000000003</v>
      </c>
      <c r="R766">
        <v>5.95</v>
      </c>
      <c r="S766">
        <v>0.76</v>
      </c>
      <c r="T766">
        <v>40.74</v>
      </c>
      <c r="U766">
        <v>0.12</v>
      </c>
      <c r="V766">
        <f t="shared" si="462"/>
        <v>1.8656911418865951</v>
      </c>
      <c r="W766">
        <f t="shared" si="463"/>
        <v>0.79840606218970467</v>
      </c>
      <c r="X766">
        <v>14.16</v>
      </c>
      <c r="Y766" s="3">
        <f t="shared" si="464"/>
        <v>14.159770000000002</v>
      </c>
      <c r="Z766">
        <v>49.04</v>
      </c>
      <c r="AA766">
        <v>5.21</v>
      </c>
      <c r="AB766">
        <v>0.8</v>
      </c>
      <c r="AC766">
        <v>33.5</v>
      </c>
      <c r="AD766">
        <v>0.15</v>
      </c>
      <c r="AE766">
        <f t="shared" si="456"/>
        <v>1.2748776508972266</v>
      </c>
      <c r="AF766">
        <f t="shared" si="457"/>
        <v>0.51233686786296895</v>
      </c>
      <c r="AG766" s="3">
        <v>11.3</v>
      </c>
      <c r="AH766">
        <f t="shared" si="465"/>
        <v>18.03565</v>
      </c>
      <c r="AI766" s="3">
        <v>64</v>
      </c>
    </row>
    <row r="767" spans="1:38" x14ac:dyDescent="0.5">
      <c r="A767">
        <v>30</v>
      </c>
      <c r="B767">
        <v>240</v>
      </c>
      <c r="C767">
        <v>0.1</v>
      </c>
      <c r="D767">
        <v>20</v>
      </c>
      <c r="E767">
        <v>500</v>
      </c>
      <c r="F767">
        <v>200</v>
      </c>
      <c r="G767" s="3">
        <f t="shared" si="461"/>
        <v>10</v>
      </c>
      <c r="O767">
        <v>74.13</v>
      </c>
      <c r="P767" s="3">
        <v>11.71</v>
      </c>
      <c r="Q767">
        <v>38.270000000000003</v>
      </c>
      <c r="R767">
        <v>5.95</v>
      </c>
      <c r="S767">
        <v>0.76</v>
      </c>
      <c r="T767">
        <v>40.74</v>
      </c>
      <c r="U767">
        <v>0.12</v>
      </c>
      <c r="V767">
        <f t="shared" si="462"/>
        <v>1.8656911418865951</v>
      </c>
      <c r="W767">
        <f t="shared" si="463"/>
        <v>0.79840606218970467</v>
      </c>
      <c r="X767">
        <v>14.16</v>
      </c>
      <c r="Y767" s="3">
        <f>(0.338*Q767)+1.428*(R767-(T767/8))</f>
        <v>14.159770000000002</v>
      </c>
      <c r="Z767">
        <v>52.44</v>
      </c>
      <c r="AA767">
        <v>4.75</v>
      </c>
      <c r="AB767">
        <v>0.83</v>
      </c>
      <c r="AC767">
        <v>30.5</v>
      </c>
      <c r="AD767">
        <v>0.22</v>
      </c>
      <c r="AE767">
        <f t="shared" si="456"/>
        <v>1.0869565217391304</v>
      </c>
      <c r="AF767">
        <f t="shared" si="457"/>
        <v>0.43621281464530892</v>
      </c>
      <c r="AG767" s="3">
        <v>11.26</v>
      </c>
      <c r="AH767">
        <f>(0.338*Z767)+1.428*(AA767-(AC767/8))</f>
        <v>19.063470000000002</v>
      </c>
      <c r="AI767" s="3">
        <v>55</v>
      </c>
    </row>
    <row r="768" spans="1:38" x14ac:dyDescent="0.5">
      <c r="A768">
        <v>90</v>
      </c>
      <c r="B768">
        <v>220</v>
      </c>
      <c r="C768">
        <v>0.1</v>
      </c>
      <c r="D768">
        <v>6</v>
      </c>
      <c r="E768">
        <v>100</v>
      </c>
      <c r="F768">
        <v>24</v>
      </c>
      <c r="G768" s="3">
        <f t="shared" si="461"/>
        <v>4</v>
      </c>
      <c r="M768">
        <v>28.5</v>
      </c>
      <c r="N768">
        <v>2.2999999999999998</v>
      </c>
      <c r="O768">
        <v>79.8</v>
      </c>
      <c r="P768" s="3">
        <v>10.5</v>
      </c>
      <c r="Q768">
        <v>45.6</v>
      </c>
      <c r="R768">
        <v>6.1</v>
      </c>
      <c r="S768">
        <v>0.09</v>
      </c>
      <c r="T768">
        <v>40.61</v>
      </c>
      <c r="U768">
        <v>0</v>
      </c>
      <c r="V768">
        <f t="shared" si="462"/>
        <v>1.6052631578947367</v>
      </c>
      <c r="W768">
        <f t="shared" si="463"/>
        <v>0.6679276315789473</v>
      </c>
      <c r="X768">
        <v>7.4</v>
      </c>
      <c r="Y768" s="3">
        <v>18.059999999999999</v>
      </c>
      <c r="Z768">
        <v>52</v>
      </c>
      <c r="AA768">
        <v>4.8</v>
      </c>
      <c r="AB768">
        <v>0.04</v>
      </c>
      <c r="AC768">
        <v>36.46</v>
      </c>
      <c r="AD768">
        <v>0</v>
      </c>
      <c r="AE768">
        <f t="shared" si="456"/>
        <v>1.1076923076923078</v>
      </c>
      <c r="AF768">
        <f t="shared" si="457"/>
        <v>0.52586538461538468</v>
      </c>
      <c r="AG768" s="3">
        <v>6.7</v>
      </c>
      <c r="AH768">
        <v>20.61</v>
      </c>
      <c r="AI768" s="3">
        <v>55.7</v>
      </c>
      <c r="AJ768" s="2" t="s">
        <v>199</v>
      </c>
      <c r="AK768" t="s">
        <v>200</v>
      </c>
      <c r="AL768">
        <v>90</v>
      </c>
    </row>
    <row r="769" spans="1:38" x14ac:dyDescent="0.5">
      <c r="A769">
        <v>90</v>
      </c>
      <c r="B769">
        <v>220</v>
      </c>
      <c r="C769">
        <v>0.1</v>
      </c>
      <c r="D769">
        <v>6</v>
      </c>
      <c r="E769">
        <v>100</v>
      </c>
      <c r="F769">
        <v>24</v>
      </c>
      <c r="G769" s="3">
        <f t="shared" ref="G769:G774" si="466">F769/D769</f>
        <v>4</v>
      </c>
      <c r="M769">
        <v>69.900000000000006</v>
      </c>
      <c r="N769">
        <v>5.2</v>
      </c>
      <c r="O769">
        <v>57.1</v>
      </c>
      <c r="P769" s="3">
        <v>33.4</v>
      </c>
      <c r="Q769">
        <v>44.6</v>
      </c>
      <c r="R769">
        <v>5.6</v>
      </c>
      <c r="S769">
        <v>0.66</v>
      </c>
      <c r="T769">
        <v>44.84</v>
      </c>
      <c r="U769">
        <v>0</v>
      </c>
      <c r="V769">
        <f t="shared" si="462"/>
        <v>1.506726457399103</v>
      </c>
      <c r="W769">
        <f t="shared" si="463"/>
        <v>0.75403587443946196</v>
      </c>
      <c r="X769">
        <v>4.3</v>
      </c>
      <c r="Y769" s="3">
        <v>17.53</v>
      </c>
      <c r="Z769">
        <v>53.7</v>
      </c>
      <c r="AA769">
        <v>5.3</v>
      </c>
      <c r="AB769">
        <v>0.87</v>
      </c>
      <c r="AC769">
        <v>40.130000000000003</v>
      </c>
      <c r="AD769">
        <v>0</v>
      </c>
      <c r="AE769">
        <f t="shared" si="456"/>
        <v>1.1843575418994412</v>
      </c>
      <c r="AF769">
        <f t="shared" si="457"/>
        <v>0.56047486033519545</v>
      </c>
      <c r="AG769" s="3">
        <v>0</v>
      </c>
      <c r="AH769">
        <v>21.46</v>
      </c>
      <c r="AI769" s="3">
        <v>64.8</v>
      </c>
    </row>
    <row r="770" spans="1:38" x14ac:dyDescent="0.5">
      <c r="A770">
        <v>90</v>
      </c>
      <c r="B770">
        <v>220</v>
      </c>
      <c r="C770">
        <v>0.1</v>
      </c>
      <c r="D770">
        <v>6</v>
      </c>
      <c r="E770">
        <v>100</v>
      </c>
      <c r="F770">
        <v>24</v>
      </c>
      <c r="G770" s="3">
        <f t="shared" si="466"/>
        <v>4</v>
      </c>
      <c r="M770">
        <v>61.3</v>
      </c>
      <c r="N770">
        <v>5.6</v>
      </c>
      <c r="O770">
        <v>60.8</v>
      </c>
      <c r="P770" s="3">
        <v>27.1</v>
      </c>
      <c r="Q770">
        <v>47.1</v>
      </c>
      <c r="R770">
        <v>5.8</v>
      </c>
      <c r="S770">
        <v>2.7</v>
      </c>
      <c r="T770">
        <v>37.9</v>
      </c>
      <c r="U770">
        <v>0</v>
      </c>
      <c r="V770">
        <f t="shared" si="462"/>
        <v>1.4777070063694266</v>
      </c>
      <c r="W770">
        <f t="shared" si="463"/>
        <v>0.60350318471337572</v>
      </c>
      <c r="X770">
        <v>6.5</v>
      </c>
      <c r="Y770" s="3">
        <v>19.25</v>
      </c>
      <c r="Z770">
        <v>54.8</v>
      </c>
      <c r="AA770">
        <v>5.4</v>
      </c>
      <c r="AB770">
        <v>2.9</v>
      </c>
      <c r="AC770">
        <v>28.5</v>
      </c>
      <c r="AD770">
        <v>0</v>
      </c>
      <c r="AE770">
        <f t="shared" si="456"/>
        <v>1.1824817518248176</v>
      </c>
      <c r="AF770">
        <f t="shared" si="457"/>
        <v>0.39005474452554745</v>
      </c>
      <c r="AG770" s="3">
        <v>8.4</v>
      </c>
      <c r="AH770">
        <v>22.53</v>
      </c>
      <c r="AI770" s="3">
        <v>71</v>
      </c>
    </row>
    <row r="771" spans="1:38" x14ac:dyDescent="0.5">
      <c r="A771">
        <v>90</v>
      </c>
      <c r="B771">
        <v>220</v>
      </c>
      <c r="C771">
        <v>0.1</v>
      </c>
      <c r="D771">
        <v>6</v>
      </c>
      <c r="E771">
        <v>100</v>
      </c>
      <c r="F771">
        <v>24</v>
      </c>
      <c r="G771" s="3">
        <f t="shared" si="466"/>
        <v>4</v>
      </c>
      <c r="M771">
        <v>48.9</v>
      </c>
      <c r="N771">
        <v>2.1</v>
      </c>
      <c r="O771">
        <v>73.099999999999994</v>
      </c>
      <c r="P771" s="3">
        <v>24.7</v>
      </c>
      <c r="Q771">
        <v>46.6</v>
      </c>
      <c r="R771">
        <v>5.9</v>
      </c>
      <c r="S771">
        <v>1.4</v>
      </c>
      <c r="T771">
        <v>46</v>
      </c>
      <c r="U771">
        <v>0</v>
      </c>
      <c r="V771">
        <f t="shared" si="462"/>
        <v>1.5193133047210301</v>
      </c>
      <c r="W771">
        <f t="shared" si="463"/>
        <v>0.74034334763948495</v>
      </c>
      <c r="X771">
        <v>0.1</v>
      </c>
      <c r="Y771" s="3">
        <v>19.66</v>
      </c>
      <c r="Z771">
        <v>61.1</v>
      </c>
      <c r="AA771">
        <v>6.4</v>
      </c>
      <c r="AB771">
        <v>0.9</v>
      </c>
      <c r="AC771">
        <v>26.1</v>
      </c>
      <c r="AD771">
        <v>0</v>
      </c>
      <c r="AE771">
        <f t="shared" si="456"/>
        <v>1.2569558101472995</v>
      </c>
      <c r="AF771">
        <f t="shared" si="457"/>
        <v>0.32037643207855976</v>
      </c>
      <c r="AG771" s="3">
        <v>5.5</v>
      </c>
      <c r="AH771">
        <v>25.56</v>
      </c>
      <c r="AI771" s="3">
        <v>65.8</v>
      </c>
    </row>
    <row r="772" spans="1:38" x14ac:dyDescent="0.5">
      <c r="A772">
        <v>90</v>
      </c>
      <c r="B772">
        <v>220</v>
      </c>
      <c r="C772">
        <v>0.1</v>
      </c>
      <c r="D772">
        <v>6</v>
      </c>
      <c r="E772">
        <v>100</v>
      </c>
      <c r="F772">
        <v>24</v>
      </c>
      <c r="G772" s="3">
        <f t="shared" si="466"/>
        <v>4</v>
      </c>
      <c r="M772">
        <v>40.200000000000003</v>
      </c>
      <c r="N772">
        <v>1.6</v>
      </c>
      <c r="O772">
        <v>78.599999999999994</v>
      </c>
      <c r="P772" s="3">
        <v>17.100000000000001</v>
      </c>
      <c r="Q772">
        <v>48.9</v>
      </c>
      <c r="R772">
        <v>5.9</v>
      </c>
      <c r="S772">
        <v>0.25</v>
      </c>
      <c r="T772">
        <v>42.25</v>
      </c>
      <c r="U772">
        <v>0</v>
      </c>
      <c r="V772">
        <f t="shared" si="462"/>
        <v>1.4478527607361964</v>
      </c>
      <c r="W772">
        <f t="shared" si="463"/>
        <v>0.64800613496932513</v>
      </c>
      <c r="X772">
        <v>2.7</v>
      </c>
      <c r="Y772" s="3">
        <v>19.739999999999998</v>
      </c>
      <c r="Z772">
        <v>57.6</v>
      </c>
      <c r="AA772">
        <v>5.7</v>
      </c>
      <c r="AB772">
        <v>0.33</v>
      </c>
      <c r="AC772">
        <v>27.07</v>
      </c>
      <c r="AD772">
        <v>0</v>
      </c>
      <c r="AE772">
        <f t="shared" si="456"/>
        <v>1.1875</v>
      </c>
      <c r="AF772">
        <f t="shared" si="457"/>
        <v>0.35247395833333334</v>
      </c>
      <c r="AG772" s="3">
        <v>9.3000000000000007</v>
      </c>
      <c r="AH772">
        <v>23.64</v>
      </c>
      <c r="AI772" s="3">
        <v>60.8</v>
      </c>
    </row>
    <row r="773" spans="1:38" x14ac:dyDescent="0.5">
      <c r="A773">
        <v>90</v>
      </c>
      <c r="B773">
        <v>220</v>
      </c>
      <c r="C773">
        <v>0.1</v>
      </c>
      <c r="D773">
        <v>6</v>
      </c>
      <c r="E773">
        <v>100</v>
      </c>
      <c r="F773">
        <v>24</v>
      </c>
      <c r="G773" s="3">
        <f t="shared" si="466"/>
        <v>4</v>
      </c>
      <c r="M773">
        <v>58.9</v>
      </c>
      <c r="N773">
        <v>4.4000000000000004</v>
      </c>
      <c r="O773">
        <v>54</v>
      </c>
      <c r="P773" s="3">
        <v>36.5</v>
      </c>
      <c r="Q773">
        <v>45.7</v>
      </c>
      <c r="R773">
        <v>5.3</v>
      </c>
      <c r="S773">
        <v>1.7</v>
      </c>
      <c r="T773">
        <v>42.2</v>
      </c>
      <c r="U773">
        <v>0</v>
      </c>
      <c r="V773">
        <f t="shared" si="462"/>
        <v>1.3916849015317285</v>
      </c>
      <c r="W773">
        <f t="shared" si="463"/>
        <v>0.69256017505470457</v>
      </c>
      <c r="X773">
        <v>5.0999999999999996</v>
      </c>
      <c r="Y773" s="3">
        <v>17.07</v>
      </c>
      <c r="Z773">
        <v>53.5</v>
      </c>
      <c r="AA773">
        <v>5.0999999999999996</v>
      </c>
      <c r="AB773">
        <v>1.5</v>
      </c>
      <c r="AC773">
        <v>28.1</v>
      </c>
      <c r="AD773">
        <v>0</v>
      </c>
      <c r="AE773">
        <f t="shared" si="456"/>
        <v>1.1439252336448598</v>
      </c>
      <c r="AF773">
        <f t="shared" si="457"/>
        <v>0.39392523364485987</v>
      </c>
      <c r="AG773" s="3">
        <v>11.8</v>
      </c>
      <c r="AH773">
        <v>20.99</v>
      </c>
      <c r="AI773" s="3">
        <v>65.8</v>
      </c>
    </row>
    <row r="774" spans="1:38" x14ac:dyDescent="0.5">
      <c r="A774">
        <v>160</v>
      </c>
      <c r="B774">
        <v>250</v>
      </c>
      <c r="C774">
        <v>0.1</v>
      </c>
      <c r="D774">
        <v>10</v>
      </c>
      <c r="E774">
        <v>250</v>
      </c>
      <c r="F774">
        <v>100</v>
      </c>
      <c r="G774" s="3">
        <f t="shared" si="466"/>
        <v>10</v>
      </c>
      <c r="K774">
        <v>37.42</v>
      </c>
      <c r="L774">
        <v>32.020000000000003</v>
      </c>
      <c r="M774">
        <v>20.96</v>
      </c>
      <c r="Q774">
        <v>46.84</v>
      </c>
      <c r="R774">
        <v>6.26</v>
      </c>
      <c r="S774">
        <v>1.17</v>
      </c>
      <c r="T774">
        <v>40.700000000000003</v>
      </c>
      <c r="U774">
        <v>0.4</v>
      </c>
      <c r="V774">
        <f t="shared" si="462"/>
        <v>1.6037574722459433</v>
      </c>
      <c r="W774">
        <f t="shared" si="463"/>
        <v>0.65168659265584972</v>
      </c>
      <c r="X774">
        <v>4.6399999999999997</v>
      </c>
      <c r="Y774" s="3">
        <v>17.510000000000002</v>
      </c>
      <c r="Z774">
        <v>71.36</v>
      </c>
      <c r="AA774">
        <v>5.6</v>
      </c>
      <c r="AB774">
        <v>2</v>
      </c>
      <c r="AC774">
        <v>16.27</v>
      </c>
      <c r="AD774">
        <v>0.4</v>
      </c>
      <c r="AE774">
        <f t="shared" si="456"/>
        <v>0.9417040358744394</v>
      </c>
      <c r="AF774">
        <f t="shared" si="457"/>
        <v>0.17099915919282513</v>
      </c>
      <c r="AG774" s="3">
        <v>4.3600000000000003</v>
      </c>
      <c r="AH774">
        <v>29.21</v>
      </c>
      <c r="AI774" s="3">
        <v>35.479999999999997</v>
      </c>
      <c r="AJ774" s="2" t="s">
        <v>201</v>
      </c>
      <c r="AK774" t="s">
        <v>202</v>
      </c>
      <c r="AL774">
        <v>91</v>
      </c>
    </row>
    <row r="775" spans="1:38" x14ac:dyDescent="0.5">
      <c r="A775">
        <v>160</v>
      </c>
      <c r="B775">
        <v>250</v>
      </c>
      <c r="C775">
        <v>0.1</v>
      </c>
      <c r="D775">
        <v>10</v>
      </c>
      <c r="E775">
        <v>250</v>
      </c>
      <c r="F775">
        <v>100</v>
      </c>
      <c r="G775" s="3">
        <f t="shared" ref="G775:G776" si="467">F775/D775</f>
        <v>10</v>
      </c>
      <c r="K775">
        <v>44.17</v>
      </c>
      <c r="L775">
        <v>24.11</v>
      </c>
      <c r="M775">
        <v>15.69</v>
      </c>
      <c r="Q775">
        <v>47.95</v>
      </c>
      <c r="R775">
        <v>6.62</v>
      </c>
      <c r="S775">
        <v>0.38</v>
      </c>
      <c r="T775">
        <v>43.37</v>
      </c>
      <c r="U775">
        <v>0.37</v>
      </c>
      <c r="V775">
        <f t="shared" si="462"/>
        <v>1.6567257559958288</v>
      </c>
      <c r="W775">
        <f t="shared" si="463"/>
        <v>0.67836287799791439</v>
      </c>
      <c r="X775">
        <v>1.31</v>
      </c>
      <c r="Y775" s="3">
        <v>17.93</v>
      </c>
      <c r="Z775">
        <v>72.08</v>
      </c>
      <c r="AA775">
        <v>5.42</v>
      </c>
      <c r="AB775">
        <v>0.96</v>
      </c>
      <c r="AC775">
        <v>20.87</v>
      </c>
      <c r="AD775">
        <v>0.27</v>
      </c>
      <c r="AE775">
        <f t="shared" si="456"/>
        <v>0.90233074361820198</v>
      </c>
      <c r="AF775">
        <f t="shared" si="457"/>
        <v>0.21715455049944507</v>
      </c>
      <c r="AG775" s="3">
        <v>0.41</v>
      </c>
      <c r="AH775">
        <v>28.38</v>
      </c>
      <c r="AI775" s="3">
        <v>38.1</v>
      </c>
    </row>
    <row r="776" spans="1:38" x14ac:dyDescent="0.5">
      <c r="A776">
        <v>30</v>
      </c>
      <c r="B776">
        <v>180</v>
      </c>
      <c r="C776">
        <v>0.1</v>
      </c>
      <c r="D776">
        <v>8</v>
      </c>
      <c r="E776">
        <v>250</v>
      </c>
      <c r="F776">
        <v>150</v>
      </c>
      <c r="G776" s="3">
        <f t="shared" si="467"/>
        <v>18.75</v>
      </c>
      <c r="O776">
        <v>77.2</v>
      </c>
      <c r="P776" s="3">
        <v>15.78</v>
      </c>
      <c r="Q776">
        <v>48.99</v>
      </c>
      <c r="R776">
        <v>7.6</v>
      </c>
      <c r="S776">
        <v>0.66</v>
      </c>
      <c r="T776">
        <v>36.06</v>
      </c>
      <c r="U776">
        <v>0</v>
      </c>
      <c r="V776">
        <f t="shared" si="462"/>
        <v>1.8616044090630739</v>
      </c>
      <c r="W776">
        <f t="shared" si="463"/>
        <v>0.55205143906919774</v>
      </c>
      <c r="X776">
        <v>7.02</v>
      </c>
      <c r="Y776" s="3">
        <v>20.440000000000001</v>
      </c>
      <c r="Z776">
        <v>55.2</v>
      </c>
      <c r="AA776">
        <v>7.74</v>
      </c>
      <c r="AB776">
        <v>0.55000000000000004</v>
      </c>
      <c r="AC776">
        <v>32.340000000000003</v>
      </c>
      <c r="AD776">
        <v>0</v>
      </c>
      <c r="AE776">
        <f t="shared" si="456"/>
        <v>1.6826086956521737</v>
      </c>
      <c r="AF776">
        <f t="shared" si="457"/>
        <v>0.43940217391304348</v>
      </c>
      <c r="AG776" s="3">
        <v>4.17</v>
      </c>
      <c r="AH776">
        <v>24.16</v>
      </c>
      <c r="AI776" s="3">
        <v>61</v>
      </c>
      <c r="AJ776" s="2" t="s">
        <v>203</v>
      </c>
      <c r="AK776" t="s">
        <v>204</v>
      </c>
      <c r="AL776">
        <v>92</v>
      </c>
    </row>
    <row r="777" spans="1:38" x14ac:dyDescent="0.5">
      <c r="A777">
        <v>60</v>
      </c>
      <c r="B777">
        <v>180</v>
      </c>
      <c r="C777">
        <v>0.1</v>
      </c>
      <c r="D777">
        <v>8</v>
      </c>
      <c r="E777">
        <v>250</v>
      </c>
      <c r="F777">
        <v>150</v>
      </c>
      <c r="G777" s="3">
        <f t="shared" ref="G777:G785" si="468">F777/D777</f>
        <v>18.75</v>
      </c>
      <c r="O777">
        <v>77.2</v>
      </c>
      <c r="P777" s="3">
        <v>15.78</v>
      </c>
      <c r="Q777">
        <v>48.99</v>
      </c>
      <c r="R777">
        <v>7.6</v>
      </c>
      <c r="S777">
        <v>0.66</v>
      </c>
      <c r="T777">
        <v>36.06</v>
      </c>
      <c r="U777">
        <v>0</v>
      </c>
      <c r="V777">
        <f t="shared" ref="V777:V785" si="469">(R777/1)/(Q777/12)</f>
        <v>1.8616044090630739</v>
      </c>
      <c r="W777">
        <f t="shared" ref="W777:W785" si="470">(T777/16)/(Q777/12)</f>
        <v>0.55205143906919774</v>
      </c>
      <c r="X777">
        <v>7.02</v>
      </c>
      <c r="Y777" s="3">
        <v>20.440000000000001</v>
      </c>
      <c r="Z777">
        <v>55.9</v>
      </c>
      <c r="AA777">
        <v>7.62</v>
      </c>
      <c r="AB777">
        <v>0.6</v>
      </c>
      <c r="AC777">
        <v>30.79</v>
      </c>
      <c r="AD777">
        <v>0</v>
      </c>
      <c r="AE777">
        <f t="shared" si="456"/>
        <v>1.6357781753130591</v>
      </c>
      <c r="AF777">
        <f t="shared" si="457"/>
        <v>0.41310375670840788</v>
      </c>
      <c r="AG777" s="3">
        <v>5.09</v>
      </c>
      <c r="AH777">
        <v>24.23</v>
      </c>
      <c r="AI777" s="3">
        <v>60</v>
      </c>
    </row>
    <row r="778" spans="1:38" x14ac:dyDescent="0.5">
      <c r="A778">
        <v>100</v>
      </c>
      <c r="B778">
        <v>180</v>
      </c>
      <c r="C778">
        <v>0.1</v>
      </c>
      <c r="D778">
        <v>8</v>
      </c>
      <c r="E778">
        <v>250</v>
      </c>
      <c r="F778">
        <v>150</v>
      </c>
      <c r="G778" s="3">
        <f t="shared" si="468"/>
        <v>18.75</v>
      </c>
      <c r="O778">
        <v>77.2</v>
      </c>
      <c r="P778" s="3">
        <v>15.78</v>
      </c>
      <c r="Q778">
        <v>48.99</v>
      </c>
      <c r="R778">
        <v>7.6</v>
      </c>
      <c r="S778">
        <v>0.66</v>
      </c>
      <c r="T778">
        <v>36.06</v>
      </c>
      <c r="U778">
        <v>0</v>
      </c>
      <c r="V778">
        <f t="shared" si="469"/>
        <v>1.8616044090630739</v>
      </c>
      <c r="W778">
        <f t="shared" si="470"/>
        <v>0.55205143906919774</v>
      </c>
      <c r="X778">
        <v>7.02</v>
      </c>
      <c r="Y778" s="3">
        <v>20.440000000000001</v>
      </c>
      <c r="Z778">
        <v>56.81</v>
      </c>
      <c r="AA778">
        <v>7.67</v>
      </c>
      <c r="AB778">
        <v>0.63</v>
      </c>
      <c r="AC778">
        <v>29.42</v>
      </c>
      <c r="AD778">
        <v>0</v>
      </c>
      <c r="AE778">
        <f t="shared" si="456"/>
        <v>1.6201372997711669</v>
      </c>
      <c r="AF778">
        <f t="shared" si="457"/>
        <v>0.38839992958986097</v>
      </c>
      <c r="AG778" s="3">
        <v>5.47</v>
      </c>
      <c r="AH778">
        <v>24.66</v>
      </c>
      <c r="AI778" s="3">
        <v>59</v>
      </c>
    </row>
    <row r="779" spans="1:38" x14ac:dyDescent="0.5">
      <c r="A779">
        <v>30</v>
      </c>
      <c r="B779">
        <v>210</v>
      </c>
      <c r="C779">
        <v>0.1</v>
      </c>
      <c r="D779">
        <v>8</v>
      </c>
      <c r="E779">
        <v>250</v>
      </c>
      <c r="F779">
        <v>150</v>
      </c>
      <c r="G779" s="3">
        <f t="shared" si="468"/>
        <v>18.75</v>
      </c>
      <c r="O779">
        <v>77.2</v>
      </c>
      <c r="P779" s="3">
        <v>15.78</v>
      </c>
      <c r="Q779">
        <v>48.99</v>
      </c>
      <c r="R779">
        <v>7.6</v>
      </c>
      <c r="S779">
        <v>0.66</v>
      </c>
      <c r="T779">
        <v>36.06</v>
      </c>
      <c r="U779">
        <v>0</v>
      </c>
      <c r="V779">
        <f t="shared" si="469"/>
        <v>1.8616044090630739</v>
      </c>
      <c r="W779">
        <f t="shared" si="470"/>
        <v>0.55205143906919774</v>
      </c>
      <c r="X779">
        <v>7.02</v>
      </c>
      <c r="Y779" s="3">
        <v>20.440000000000001</v>
      </c>
      <c r="Z779">
        <v>57.27</v>
      </c>
      <c r="AA779">
        <v>7.71</v>
      </c>
      <c r="AB779">
        <v>0.55000000000000004</v>
      </c>
      <c r="AC779">
        <v>28.81</v>
      </c>
      <c r="AD779">
        <v>0</v>
      </c>
      <c r="AE779">
        <f t="shared" si="456"/>
        <v>1.6155055002619172</v>
      </c>
      <c r="AF779">
        <f t="shared" si="457"/>
        <v>0.37729177579884754</v>
      </c>
      <c r="AG779" s="3">
        <v>5.66</v>
      </c>
      <c r="AH779">
        <v>24.9</v>
      </c>
      <c r="AI779" s="3">
        <v>58</v>
      </c>
    </row>
    <row r="780" spans="1:38" x14ac:dyDescent="0.5">
      <c r="A780">
        <v>60</v>
      </c>
      <c r="B780">
        <v>210</v>
      </c>
      <c r="C780">
        <v>0.1</v>
      </c>
      <c r="D780">
        <v>8</v>
      </c>
      <c r="E780">
        <v>250</v>
      </c>
      <c r="F780">
        <v>150</v>
      </c>
      <c r="G780" s="3">
        <f t="shared" si="468"/>
        <v>18.75</v>
      </c>
      <c r="O780">
        <v>77.2</v>
      </c>
      <c r="P780" s="3">
        <v>15.78</v>
      </c>
      <c r="Q780">
        <v>48.99</v>
      </c>
      <c r="R780">
        <v>7.6</v>
      </c>
      <c r="S780">
        <v>0.66</v>
      </c>
      <c r="T780">
        <v>36.06</v>
      </c>
      <c r="U780">
        <v>0</v>
      </c>
      <c r="V780">
        <f t="shared" si="469"/>
        <v>1.8616044090630739</v>
      </c>
      <c r="W780">
        <f t="shared" si="470"/>
        <v>0.55205143906919774</v>
      </c>
      <c r="X780">
        <v>7.02</v>
      </c>
      <c r="Y780" s="3">
        <v>20.440000000000001</v>
      </c>
      <c r="Z780">
        <v>58.05</v>
      </c>
      <c r="AA780">
        <v>7.75</v>
      </c>
      <c r="AB780">
        <v>0.5</v>
      </c>
      <c r="AC780">
        <v>28.08</v>
      </c>
      <c r="AD780">
        <v>0</v>
      </c>
      <c r="AE780">
        <f t="shared" si="456"/>
        <v>1.6020671834625324</v>
      </c>
      <c r="AF780">
        <f t="shared" si="457"/>
        <v>0.36279069767441863</v>
      </c>
      <c r="AG780" s="3">
        <v>5.62</v>
      </c>
      <c r="AH780">
        <v>25.3</v>
      </c>
      <c r="AI780" s="3">
        <v>57</v>
      </c>
    </row>
    <row r="781" spans="1:38" x14ac:dyDescent="0.5">
      <c r="A781">
        <v>100</v>
      </c>
      <c r="B781">
        <v>210</v>
      </c>
      <c r="C781">
        <v>0.1</v>
      </c>
      <c r="D781">
        <v>8</v>
      </c>
      <c r="E781">
        <v>250</v>
      </c>
      <c r="F781">
        <v>150</v>
      </c>
      <c r="G781" s="3">
        <f t="shared" si="468"/>
        <v>18.75</v>
      </c>
      <c r="O781">
        <v>77.2</v>
      </c>
      <c r="P781" s="3">
        <v>15.78</v>
      </c>
      <c r="Q781">
        <v>48.99</v>
      </c>
      <c r="R781">
        <v>7.6</v>
      </c>
      <c r="S781">
        <v>0.66</v>
      </c>
      <c r="T781">
        <v>36.06</v>
      </c>
      <c r="U781">
        <v>0</v>
      </c>
      <c r="V781">
        <f t="shared" si="469"/>
        <v>1.8616044090630739</v>
      </c>
      <c r="W781">
        <f t="shared" si="470"/>
        <v>0.55205143906919774</v>
      </c>
      <c r="X781">
        <v>7.02</v>
      </c>
      <c r="Y781" s="3">
        <v>20.440000000000001</v>
      </c>
      <c r="Z781">
        <v>59.56</v>
      </c>
      <c r="AA781">
        <v>8.0299999999999994</v>
      </c>
      <c r="AB781">
        <v>0.53</v>
      </c>
      <c r="AC781">
        <v>25.36</v>
      </c>
      <c r="AD781">
        <v>0</v>
      </c>
      <c r="AE781">
        <f t="shared" si="456"/>
        <v>1.6178643384822025</v>
      </c>
      <c r="AF781">
        <f t="shared" si="457"/>
        <v>0.31934184016118194</v>
      </c>
      <c r="AG781" s="3">
        <v>6.51</v>
      </c>
      <c r="AH781">
        <v>26.25</v>
      </c>
      <c r="AI781" s="3">
        <v>57</v>
      </c>
    </row>
    <row r="782" spans="1:38" x14ac:dyDescent="0.5">
      <c r="A782">
        <v>30</v>
      </c>
      <c r="B782">
        <v>240</v>
      </c>
      <c r="C782">
        <v>0.1</v>
      </c>
      <c r="D782">
        <v>8</v>
      </c>
      <c r="E782">
        <v>250</v>
      </c>
      <c r="F782">
        <v>150</v>
      </c>
      <c r="G782" s="3">
        <f t="shared" si="468"/>
        <v>18.75</v>
      </c>
      <c r="O782">
        <v>77.2</v>
      </c>
      <c r="P782" s="3">
        <v>15.78</v>
      </c>
      <c r="Q782">
        <v>48.99</v>
      </c>
      <c r="R782">
        <v>7.6</v>
      </c>
      <c r="S782">
        <v>0.66</v>
      </c>
      <c r="T782">
        <v>36.06</v>
      </c>
      <c r="U782">
        <v>0</v>
      </c>
      <c r="V782">
        <f t="shared" si="469"/>
        <v>1.8616044090630739</v>
      </c>
      <c r="W782">
        <f t="shared" si="470"/>
        <v>0.55205143906919774</v>
      </c>
      <c r="X782">
        <v>7.02</v>
      </c>
      <c r="Y782" s="3">
        <v>20.440000000000001</v>
      </c>
      <c r="Z782">
        <v>61.91</v>
      </c>
      <c r="AA782">
        <v>8</v>
      </c>
      <c r="AB782">
        <v>0.56999999999999995</v>
      </c>
      <c r="AC782">
        <v>23.17</v>
      </c>
      <c r="AD782">
        <v>0</v>
      </c>
      <c r="AE782">
        <f t="shared" si="456"/>
        <v>1.5506380229365206</v>
      </c>
      <c r="AF782">
        <f t="shared" si="457"/>
        <v>0.28068971087061867</v>
      </c>
      <c r="AG782" s="3">
        <v>6.35</v>
      </c>
      <c r="AH782">
        <v>27.29</v>
      </c>
      <c r="AI782" s="3">
        <v>52</v>
      </c>
    </row>
    <row r="783" spans="1:38" x14ac:dyDescent="0.5">
      <c r="A783">
        <v>60</v>
      </c>
      <c r="B783">
        <v>240</v>
      </c>
      <c r="C783">
        <v>0.1</v>
      </c>
      <c r="D783">
        <v>8</v>
      </c>
      <c r="E783">
        <v>250</v>
      </c>
      <c r="F783">
        <v>150</v>
      </c>
      <c r="G783" s="3">
        <f t="shared" si="468"/>
        <v>18.75</v>
      </c>
      <c r="O783">
        <v>77.2</v>
      </c>
      <c r="P783" s="3">
        <v>15.78</v>
      </c>
      <c r="Q783">
        <v>48.99</v>
      </c>
      <c r="R783">
        <v>7.6</v>
      </c>
      <c r="S783">
        <v>0.66</v>
      </c>
      <c r="T783">
        <v>36.06</v>
      </c>
      <c r="U783">
        <v>0</v>
      </c>
      <c r="V783">
        <f t="shared" si="469"/>
        <v>1.8616044090630739</v>
      </c>
      <c r="W783">
        <f t="shared" si="470"/>
        <v>0.55205143906919774</v>
      </c>
      <c r="X783">
        <v>7.02</v>
      </c>
      <c r="Y783" s="3">
        <v>20.440000000000001</v>
      </c>
      <c r="Z783">
        <v>64.05</v>
      </c>
      <c r="AA783">
        <v>8.02</v>
      </c>
      <c r="AB783">
        <v>0.65</v>
      </c>
      <c r="AC783">
        <v>19.399999999999999</v>
      </c>
      <c r="AD783">
        <v>0</v>
      </c>
      <c r="AE783">
        <f t="shared" si="456"/>
        <v>1.5025761124121781</v>
      </c>
      <c r="AF783">
        <f t="shared" si="457"/>
        <v>0.22716627634660422</v>
      </c>
      <c r="AG783" s="3">
        <v>7.89</v>
      </c>
      <c r="AH783">
        <v>28.13</v>
      </c>
      <c r="AI783" s="3">
        <v>48</v>
      </c>
    </row>
    <row r="784" spans="1:38" x14ac:dyDescent="0.5">
      <c r="A784">
        <v>100</v>
      </c>
      <c r="B784">
        <v>240</v>
      </c>
      <c r="C784">
        <v>0.1</v>
      </c>
      <c r="D784">
        <v>8</v>
      </c>
      <c r="E784">
        <v>250</v>
      </c>
      <c r="F784">
        <v>150</v>
      </c>
      <c r="G784" s="3">
        <f t="shared" si="468"/>
        <v>18.75</v>
      </c>
      <c r="O784">
        <v>77.2</v>
      </c>
      <c r="P784" s="3">
        <v>15.78</v>
      </c>
      <c r="Q784">
        <v>48.99</v>
      </c>
      <c r="R784">
        <v>7.6</v>
      </c>
      <c r="S784">
        <v>0.66</v>
      </c>
      <c r="T784">
        <v>36.06</v>
      </c>
      <c r="U784">
        <v>0</v>
      </c>
      <c r="V784">
        <f t="shared" si="469"/>
        <v>1.8616044090630739</v>
      </c>
      <c r="W784">
        <f t="shared" si="470"/>
        <v>0.55205143906919774</v>
      </c>
      <c r="X784">
        <v>7.02</v>
      </c>
      <c r="Y784" s="3">
        <v>20.440000000000001</v>
      </c>
      <c r="Z784">
        <v>66.52</v>
      </c>
      <c r="AA784">
        <v>8.17</v>
      </c>
      <c r="AB784">
        <v>0.73</v>
      </c>
      <c r="AC784">
        <v>16.309999999999999</v>
      </c>
      <c r="AD784">
        <v>0</v>
      </c>
      <c r="AE784">
        <f t="shared" si="456"/>
        <v>1.4738424533974746</v>
      </c>
      <c r="AF784">
        <f t="shared" si="457"/>
        <v>0.18389206253758267</v>
      </c>
      <c r="AG784" s="3">
        <v>8.27</v>
      </c>
      <c r="AH784">
        <v>29.41</v>
      </c>
      <c r="AI784" s="3">
        <v>46</v>
      </c>
    </row>
    <row r="785" spans="1:38" x14ac:dyDescent="0.5">
      <c r="A785">
        <v>60</v>
      </c>
      <c r="B785">
        <v>190</v>
      </c>
      <c r="C785">
        <v>0.1</v>
      </c>
      <c r="D785">
        <v>60</v>
      </c>
      <c r="E785">
        <v>2000</v>
      </c>
      <c r="F785">
        <v>540</v>
      </c>
      <c r="G785" s="3">
        <f t="shared" si="468"/>
        <v>9</v>
      </c>
      <c r="Q785">
        <v>41.18</v>
      </c>
      <c r="R785">
        <v>6.56</v>
      </c>
      <c r="S785">
        <v>1.63</v>
      </c>
      <c r="T785">
        <v>41.45</v>
      </c>
      <c r="U785">
        <v>0</v>
      </c>
      <c r="V785">
        <f t="shared" si="469"/>
        <v>1.9116075764934433</v>
      </c>
      <c r="W785">
        <f t="shared" si="470"/>
        <v>0.7549174356483731</v>
      </c>
      <c r="X785">
        <v>9.17</v>
      </c>
      <c r="Y785" s="3">
        <f>(0.338*Q785)+1.428*(R785-(T785/8))</f>
        <v>15.887695000000001</v>
      </c>
      <c r="Z785">
        <v>57.44</v>
      </c>
      <c r="AA785">
        <v>5.85</v>
      </c>
      <c r="AB785">
        <v>2.5099999999999998</v>
      </c>
      <c r="AC785">
        <v>29</v>
      </c>
      <c r="AD785">
        <v>0</v>
      </c>
      <c r="AE785">
        <f t="shared" si="456"/>
        <v>1.2221448467966574</v>
      </c>
      <c r="AF785">
        <f t="shared" si="457"/>
        <v>0.37865598885793877</v>
      </c>
      <c r="AG785" s="3">
        <v>5.2</v>
      </c>
      <c r="AH785">
        <f>(0.338*Z785)+1.428*(AA785-(AC785/8))</f>
        <v>22.592019999999998</v>
      </c>
      <c r="AI785" s="3">
        <v>65.73</v>
      </c>
      <c r="AJ785" s="2" t="s">
        <v>205</v>
      </c>
      <c r="AK785" t="s">
        <v>206</v>
      </c>
      <c r="AL785">
        <v>93</v>
      </c>
    </row>
    <row r="786" spans="1:38" x14ac:dyDescent="0.5">
      <c r="A786">
        <v>360</v>
      </c>
      <c r="B786">
        <v>190</v>
      </c>
      <c r="C786">
        <v>0.1</v>
      </c>
      <c r="D786">
        <v>60</v>
      </c>
      <c r="E786">
        <v>2000</v>
      </c>
      <c r="F786">
        <v>540</v>
      </c>
      <c r="G786" s="3">
        <f t="shared" ref="G786:G791" si="471">F786/D786</f>
        <v>9</v>
      </c>
      <c r="Q786">
        <v>41.18</v>
      </c>
      <c r="R786">
        <v>6.56</v>
      </c>
      <c r="S786">
        <v>1.63</v>
      </c>
      <c r="T786">
        <v>41.45</v>
      </c>
      <c r="U786">
        <v>0</v>
      </c>
      <c r="V786">
        <f t="shared" ref="V786:V791" si="472">(R786/1)/(Q786/12)</f>
        <v>1.9116075764934433</v>
      </c>
      <c r="W786">
        <f t="shared" ref="W786:W791" si="473">(T786/16)/(Q786/12)</f>
        <v>0.7549174356483731</v>
      </c>
      <c r="X786">
        <v>9.17</v>
      </c>
      <c r="Y786" s="3">
        <f t="shared" ref="Y786:Y791" si="474">(0.338*Q786)+1.428*(R786-(T786/8))</f>
        <v>15.887695000000001</v>
      </c>
      <c r="Z786">
        <v>58.8</v>
      </c>
      <c r="AA786">
        <v>5.95</v>
      </c>
      <c r="AB786">
        <v>2.2200000000000002</v>
      </c>
      <c r="AC786">
        <v>26.79</v>
      </c>
      <c r="AD786">
        <v>0</v>
      </c>
      <c r="AE786">
        <f t="shared" si="456"/>
        <v>1.2142857142857144</v>
      </c>
      <c r="AF786">
        <f t="shared" si="457"/>
        <v>0.34170918367346942</v>
      </c>
      <c r="AG786" s="3">
        <v>6.24</v>
      </c>
      <c r="AH786">
        <f t="shared" ref="AH786:AH799" si="475">(0.338*Z786)+1.428*(AA786-(AC786/8))</f>
        <v>23.588985000000001</v>
      </c>
      <c r="AI786" s="3">
        <v>90.32</v>
      </c>
    </row>
    <row r="787" spans="1:38" x14ac:dyDescent="0.5">
      <c r="A787">
        <v>720</v>
      </c>
      <c r="B787">
        <v>190</v>
      </c>
      <c r="C787">
        <v>0.1</v>
      </c>
      <c r="D787">
        <v>60</v>
      </c>
      <c r="E787">
        <v>2000</v>
      </c>
      <c r="F787">
        <v>540</v>
      </c>
      <c r="G787" s="3">
        <f t="shared" si="471"/>
        <v>9</v>
      </c>
      <c r="Q787">
        <v>41.18</v>
      </c>
      <c r="R787">
        <v>6.56</v>
      </c>
      <c r="S787">
        <v>1.63</v>
      </c>
      <c r="T787">
        <v>41.45</v>
      </c>
      <c r="U787">
        <v>0</v>
      </c>
      <c r="V787">
        <f t="shared" si="472"/>
        <v>1.9116075764934433</v>
      </c>
      <c r="W787">
        <f t="shared" si="473"/>
        <v>0.7549174356483731</v>
      </c>
      <c r="X787">
        <v>9.17</v>
      </c>
      <c r="Y787" s="3">
        <f t="shared" si="474"/>
        <v>15.887695000000001</v>
      </c>
      <c r="Z787">
        <v>60.99</v>
      </c>
      <c r="AA787">
        <v>6</v>
      </c>
      <c r="AB787">
        <v>2.66</v>
      </c>
      <c r="AC787">
        <v>26.16</v>
      </c>
      <c r="AD787">
        <v>0</v>
      </c>
      <c r="AE787">
        <f t="shared" si="456"/>
        <v>1.1805213969503197</v>
      </c>
      <c r="AF787">
        <f t="shared" si="457"/>
        <v>0.3216920806689621</v>
      </c>
      <c r="AG787" s="3">
        <v>4.1900000000000004</v>
      </c>
      <c r="AH787">
        <f t="shared" si="475"/>
        <v>24.513060000000003</v>
      </c>
      <c r="AI787" s="3">
        <v>94.76</v>
      </c>
    </row>
    <row r="788" spans="1:38" x14ac:dyDescent="0.5">
      <c r="A788">
        <v>60</v>
      </c>
      <c r="B788">
        <v>260</v>
      </c>
      <c r="C788">
        <v>0.1</v>
      </c>
      <c r="D788">
        <v>60</v>
      </c>
      <c r="E788">
        <v>2000</v>
      </c>
      <c r="F788">
        <v>540</v>
      </c>
      <c r="G788" s="3">
        <f t="shared" si="471"/>
        <v>9</v>
      </c>
      <c r="Q788">
        <v>41.18</v>
      </c>
      <c r="R788">
        <v>6.56</v>
      </c>
      <c r="S788">
        <v>1.63</v>
      </c>
      <c r="T788">
        <v>41.45</v>
      </c>
      <c r="U788">
        <v>0</v>
      </c>
      <c r="V788">
        <f t="shared" si="472"/>
        <v>1.9116075764934433</v>
      </c>
      <c r="W788">
        <f t="shared" si="473"/>
        <v>0.7549174356483731</v>
      </c>
      <c r="X788">
        <v>9.17</v>
      </c>
      <c r="Y788" s="3">
        <f t="shared" si="474"/>
        <v>15.887695000000001</v>
      </c>
      <c r="Z788">
        <v>69.930000000000007</v>
      </c>
      <c r="AA788">
        <v>6.01</v>
      </c>
      <c r="AB788">
        <v>3.12</v>
      </c>
      <c r="AC788">
        <v>15.62</v>
      </c>
      <c r="AD788">
        <v>0</v>
      </c>
      <c r="AE788">
        <f t="shared" si="456"/>
        <v>1.0313170313170312</v>
      </c>
      <c r="AF788">
        <f t="shared" si="457"/>
        <v>0.16752466752466749</v>
      </c>
      <c r="AG788" s="3">
        <v>5.33</v>
      </c>
      <c r="AH788">
        <f t="shared" si="475"/>
        <v>29.430450000000004</v>
      </c>
      <c r="AI788" s="3">
        <v>53.83</v>
      </c>
    </row>
    <row r="789" spans="1:38" x14ac:dyDescent="0.5">
      <c r="A789">
        <v>360</v>
      </c>
      <c r="B789">
        <v>260</v>
      </c>
      <c r="C789">
        <v>0.1</v>
      </c>
      <c r="D789">
        <v>60</v>
      </c>
      <c r="E789">
        <v>2000</v>
      </c>
      <c r="F789">
        <v>540</v>
      </c>
      <c r="G789" s="3">
        <f t="shared" si="471"/>
        <v>9</v>
      </c>
      <c r="Q789">
        <v>41.18</v>
      </c>
      <c r="R789">
        <v>6.56</v>
      </c>
      <c r="S789">
        <v>1.63</v>
      </c>
      <c r="T789">
        <v>41.45</v>
      </c>
      <c r="U789">
        <v>0</v>
      </c>
      <c r="V789">
        <f t="shared" si="472"/>
        <v>1.9116075764934433</v>
      </c>
      <c r="W789">
        <f t="shared" si="473"/>
        <v>0.7549174356483731</v>
      </c>
      <c r="X789">
        <v>9.17</v>
      </c>
      <c r="Y789" s="3">
        <f t="shared" si="474"/>
        <v>15.887695000000001</v>
      </c>
      <c r="Z789">
        <v>71.19</v>
      </c>
      <c r="AA789">
        <v>6.14</v>
      </c>
      <c r="AB789">
        <v>2.65</v>
      </c>
      <c r="AC789">
        <v>13.84</v>
      </c>
      <c r="AD789">
        <v>0</v>
      </c>
      <c r="AE789">
        <f t="shared" si="456"/>
        <v>1.0349768225874421</v>
      </c>
      <c r="AF789">
        <f t="shared" si="457"/>
        <v>0.14580699536451749</v>
      </c>
      <c r="AG789" s="3">
        <v>6.18</v>
      </c>
      <c r="AH789">
        <f t="shared" si="475"/>
        <v>30.3597</v>
      </c>
      <c r="AI789" s="3">
        <v>45.77</v>
      </c>
    </row>
    <row r="790" spans="1:38" x14ac:dyDescent="0.5">
      <c r="A790">
        <v>720</v>
      </c>
      <c r="B790">
        <v>260</v>
      </c>
      <c r="C790">
        <v>0.1</v>
      </c>
      <c r="D790">
        <v>60</v>
      </c>
      <c r="E790">
        <v>2000</v>
      </c>
      <c r="F790">
        <v>540</v>
      </c>
      <c r="G790" s="3">
        <f t="shared" si="471"/>
        <v>9</v>
      </c>
      <c r="Q790">
        <v>41.18</v>
      </c>
      <c r="R790">
        <v>6.56</v>
      </c>
      <c r="S790">
        <v>1.63</v>
      </c>
      <c r="T790">
        <v>41.45</v>
      </c>
      <c r="U790">
        <v>0</v>
      </c>
      <c r="V790">
        <f t="shared" si="472"/>
        <v>1.9116075764934433</v>
      </c>
      <c r="W790">
        <f t="shared" si="473"/>
        <v>0.7549174356483731</v>
      </c>
      <c r="X790">
        <v>9.17</v>
      </c>
      <c r="Y790" s="3">
        <f t="shared" si="474"/>
        <v>15.887695000000001</v>
      </c>
      <c r="Z790">
        <v>72.11</v>
      </c>
      <c r="AA790">
        <v>5.87</v>
      </c>
      <c r="AB790">
        <v>3.25</v>
      </c>
      <c r="AC790">
        <v>12.16</v>
      </c>
      <c r="AD790">
        <v>0</v>
      </c>
      <c r="AE790">
        <f t="shared" si="456"/>
        <v>0.97684093745666345</v>
      </c>
      <c r="AF790">
        <f t="shared" si="457"/>
        <v>0.12647344335043684</v>
      </c>
      <c r="AG790" s="3">
        <v>6.61</v>
      </c>
      <c r="AH790">
        <f t="shared" si="475"/>
        <v>30.584980000000002</v>
      </c>
      <c r="AI790" s="3">
        <v>56.45</v>
      </c>
    </row>
    <row r="791" spans="1:38" x14ac:dyDescent="0.5">
      <c r="A791">
        <v>60</v>
      </c>
      <c r="B791">
        <v>180</v>
      </c>
      <c r="C791">
        <v>0.1</v>
      </c>
      <c r="D791">
        <v>5.4</v>
      </c>
      <c r="E791">
        <v>50</v>
      </c>
      <c r="F791">
        <v>27</v>
      </c>
      <c r="G791" s="3">
        <f t="shared" si="471"/>
        <v>5</v>
      </c>
      <c r="Q791">
        <v>49.71</v>
      </c>
      <c r="R791">
        <v>6.15</v>
      </c>
      <c r="S791">
        <v>2.4300000000000002</v>
      </c>
      <c r="T791">
        <v>35.57</v>
      </c>
      <c r="U791">
        <v>0</v>
      </c>
      <c r="V791">
        <f t="shared" si="472"/>
        <v>1.4846107423053712</v>
      </c>
      <c r="W791">
        <f t="shared" si="473"/>
        <v>0.53666264333132163</v>
      </c>
      <c r="X791">
        <v>6</v>
      </c>
      <c r="Y791" s="3">
        <f t="shared" si="474"/>
        <v>19.234935</v>
      </c>
      <c r="Z791">
        <v>56.21</v>
      </c>
      <c r="AA791">
        <v>5.88</v>
      </c>
      <c r="AB791">
        <v>2.5299999999999998</v>
      </c>
      <c r="AC791">
        <v>31.99</v>
      </c>
      <c r="AD791">
        <v>0</v>
      </c>
      <c r="AE791">
        <f t="shared" si="456"/>
        <v>1.2552926525529264</v>
      </c>
      <c r="AF791">
        <f t="shared" si="457"/>
        <v>0.42683686176836855</v>
      </c>
      <c r="AG791" s="3">
        <v>3.38</v>
      </c>
      <c r="AH791">
        <f t="shared" si="475"/>
        <v>21.685405000000003</v>
      </c>
      <c r="AI791" s="3">
        <v>76</v>
      </c>
      <c r="AJ791" s="2" t="s">
        <v>207</v>
      </c>
      <c r="AK791" t="s">
        <v>208</v>
      </c>
      <c r="AL791">
        <v>94</v>
      </c>
    </row>
    <row r="792" spans="1:38" x14ac:dyDescent="0.5">
      <c r="A792">
        <v>180</v>
      </c>
      <c r="B792">
        <v>180</v>
      </c>
      <c r="C792">
        <v>0.1</v>
      </c>
      <c r="D792">
        <v>5.4</v>
      </c>
      <c r="E792">
        <v>50</v>
      </c>
      <c r="F792">
        <v>27</v>
      </c>
      <c r="G792" s="3">
        <f t="shared" ref="G792:G800" si="476">F792/D792</f>
        <v>5</v>
      </c>
      <c r="Q792">
        <v>49.71</v>
      </c>
      <c r="R792">
        <v>6.15</v>
      </c>
      <c r="S792">
        <v>2.4300000000000002</v>
      </c>
      <c r="T792">
        <v>35.57</v>
      </c>
      <c r="U792">
        <v>0</v>
      </c>
      <c r="V792">
        <f t="shared" ref="V792:V805" si="477">(R792/1)/(Q792/12)</f>
        <v>1.4846107423053712</v>
      </c>
      <c r="W792">
        <f t="shared" ref="W792:W805" si="478">(T792/16)/(Q792/12)</f>
        <v>0.53666264333132163</v>
      </c>
      <c r="X792">
        <v>6</v>
      </c>
      <c r="Y792" s="3">
        <f t="shared" ref="Y792:Y798" si="479">(0.338*Q792)+1.428*(R792-(T792/8))</f>
        <v>19.234935</v>
      </c>
      <c r="Z792">
        <v>56.98</v>
      </c>
      <c r="AA792">
        <v>5.64</v>
      </c>
      <c r="AB792">
        <v>2.58</v>
      </c>
      <c r="AC792">
        <v>30.18</v>
      </c>
      <c r="AD792">
        <v>0</v>
      </c>
      <c r="AE792">
        <f t="shared" si="456"/>
        <v>1.1877851877851877</v>
      </c>
      <c r="AF792">
        <f t="shared" si="457"/>
        <v>0.39724464724464725</v>
      </c>
      <c r="AG792" s="3">
        <v>4.62</v>
      </c>
      <c r="AH792">
        <f t="shared" si="475"/>
        <v>21.926030000000001</v>
      </c>
      <c r="AI792" s="3">
        <v>72</v>
      </c>
    </row>
    <row r="793" spans="1:38" x14ac:dyDescent="0.5">
      <c r="A793">
        <v>480</v>
      </c>
      <c r="B793">
        <v>180</v>
      </c>
      <c r="C793">
        <v>0.1</v>
      </c>
      <c r="D793">
        <v>5.4</v>
      </c>
      <c r="E793">
        <v>50</v>
      </c>
      <c r="F793">
        <v>27</v>
      </c>
      <c r="G793" s="3">
        <f t="shared" si="476"/>
        <v>5</v>
      </c>
      <c r="Q793">
        <v>49.71</v>
      </c>
      <c r="R793">
        <v>6.15</v>
      </c>
      <c r="S793">
        <v>2.4300000000000002</v>
      </c>
      <c r="T793">
        <v>35.57</v>
      </c>
      <c r="U793">
        <v>0</v>
      </c>
      <c r="V793">
        <f t="shared" si="477"/>
        <v>1.4846107423053712</v>
      </c>
      <c r="W793">
        <f t="shared" si="478"/>
        <v>0.53666264333132163</v>
      </c>
      <c r="X793">
        <v>6</v>
      </c>
      <c r="Y793" s="3">
        <f t="shared" si="479"/>
        <v>19.234935</v>
      </c>
      <c r="Z793">
        <v>57.23</v>
      </c>
      <c r="AA793">
        <v>5.71</v>
      </c>
      <c r="AB793">
        <v>2.78</v>
      </c>
      <c r="AC793">
        <v>29.67</v>
      </c>
      <c r="AD793">
        <v>0</v>
      </c>
      <c r="AE793">
        <f t="shared" si="456"/>
        <v>1.1972741569107113</v>
      </c>
      <c r="AF793">
        <f t="shared" si="457"/>
        <v>0.38882579066922951</v>
      </c>
      <c r="AG793" s="3">
        <v>4.62</v>
      </c>
      <c r="AH793">
        <f>(0.338*Z793)+1.428*(AA793-(AC793/8))</f>
        <v>22.201525</v>
      </c>
      <c r="AI793" s="3">
        <v>74</v>
      </c>
    </row>
    <row r="794" spans="1:38" x14ac:dyDescent="0.5">
      <c r="A794">
        <v>60</v>
      </c>
      <c r="B794">
        <v>220</v>
      </c>
      <c r="C794">
        <v>0.1</v>
      </c>
      <c r="D794">
        <v>5.4</v>
      </c>
      <c r="E794">
        <v>50</v>
      </c>
      <c r="F794">
        <v>27</v>
      </c>
      <c r="G794" s="3">
        <f t="shared" si="476"/>
        <v>5</v>
      </c>
      <c r="Q794">
        <v>49.71</v>
      </c>
      <c r="R794">
        <v>6.15</v>
      </c>
      <c r="S794">
        <v>2.4300000000000002</v>
      </c>
      <c r="T794">
        <v>35.57</v>
      </c>
      <c r="U794">
        <v>0</v>
      </c>
      <c r="V794">
        <f t="shared" si="477"/>
        <v>1.4846107423053712</v>
      </c>
      <c r="W794">
        <f t="shared" si="478"/>
        <v>0.53666264333132163</v>
      </c>
      <c r="X794">
        <v>6</v>
      </c>
      <c r="Y794" s="3">
        <f t="shared" si="479"/>
        <v>19.234935</v>
      </c>
      <c r="Z794">
        <v>59.85</v>
      </c>
      <c r="AA794">
        <v>5.74</v>
      </c>
      <c r="AB794">
        <v>2.59</v>
      </c>
      <c r="AC794">
        <v>28</v>
      </c>
      <c r="AD794">
        <v>0</v>
      </c>
      <c r="AE794">
        <f t="shared" si="456"/>
        <v>1.1508771929824562</v>
      </c>
      <c r="AF794">
        <f t="shared" si="457"/>
        <v>0.35087719298245618</v>
      </c>
      <c r="AG794" s="3">
        <v>3.83</v>
      </c>
      <c r="AH794">
        <f t="shared" si="475"/>
        <v>23.428020000000004</v>
      </c>
      <c r="AI794" s="3">
        <v>70</v>
      </c>
    </row>
    <row r="795" spans="1:38" x14ac:dyDescent="0.5">
      <c r="A795">
        <v>180</v>
      </c>
      <c r="B795">
        <v>220</v>
      </c>
      <c r="C795">
        <v>0.1</v>
      </c>
      <c r="D795">
        <v>5.4</v>
      </c>
      <c r="E795">
        <v>50</v>
      </c>
      <c r="F795">
        <v>27</v>
      </c>
      <c r="G795" s="3">
        <f t="shared" si="476"/>
        <v>5</v>
      </c>
      <c r="Q795">
        <v>49.71</v>
      </c>
      <c r="R795">
        <v>6.15</v>
      </c>
      <c r="S795">
        <v>2.4300000000000002</v>
      </c>
      <c r="T795">
        <v>35.57</v>
      </c>
      <c r="U795">
        <v>0</v>
      </c>
      <c r="V795">
        <f t="shared" si="477"/>
        <v>1.4846107423053712</v>
      </c>
      <c r="W795">
        <f t="shared" si="478"/>
        <v>0.53666264333132163</v>
      </c>
      <c r="X795">
        <v>6</v>
      </c>
      <c r="Y795" s="3">
        <f t="shared" si="479"/>
        <v>19.234935</v>
      </c>
      <c r="Z795">
        <v>62.47</v>
      </c>
      <c r="AA795">
        <v>5.43</v>
      </c>
      <c r="AB795">
        <v>2.72</v>
      </c>
      <c r="AC795">
        <v>25.85</v>
      </c>
      <c r="AD795">
        <v>0</v>
      </c>
      <c r="AE795">
        <f t="shared" si="456"/>
        <v>1.0430606691211781</v>
      </c>
      <c r="AF795">
        <f t="shared" si="457"/>
        <v>0.31034896750440211</v>
      </c>
      <c r="AG795" s="3">
        <v>3.53</v>
      </c>
      <c r="AH795">
        <f t="shared" si="475"/>
        <v>24.254674999999999</v>
      </c>
      <c r="AI795" s="3">
        <v>67</v>
      </c>
    </row>
    <row r="796" spans="1:38" x14ac:dyDescent="0.5">
      <c r="A796">
        <v>480</v>
      </c>
      <c r="B796">
        <v>220</v>
      </c>
      <c r="C796">
        <v>0.1</v>
      </c>
      <c r="D796">
        <v>5.4</v>
      </c>
      <c r="E796">
        <v>50</v>
      </c>
      <c r="F796">
        <v>27</v>
      </c>
      <c r="G796" s="3">
        <f t="shared" si="476"/>
        <v>5</v>
      </c>
      <c r="Q796">
        <v>49.71</v>
      </c>
      <c r="R796">
        <v>6.15</v>
      </c>
      <c r="S796">
        <v>2.4300000000000002</v>
      </c>
      <c r="T796">
        <v>35.57</v>
      </c>
      <c r="U796">
        <v>0</v>
      </c>
      <c r="V796">
        <f t="shared" si="477"/>
        <v>1.4846107423053712</v>
      </c>
      <c r="W796">
        <f t="shared" si="478"/>
        <v>0.53666264333132163</v>
      </c>
      <c r="X796">
        <v>6</v>
      </c>
      <c r="Y796" s="3">
        <f t="shared" si="479"/>
        <v>19.234935</v>
      </c>
      <c r="Z796">
        <v>64.099999999999994</v>
      </c>
      <c r="AA796">
        <v>5.66</v>
      </c>
      <c r="AB796">
        <v>2.2400000000000002</v>
      </c>
      <c r="AC796">
        <v>24.02</v>
      </c>
      <c r="AD796">
        <v>0</v>
      </c>
      <c r="AE796">
        <f t="shared" si="456"/>
        <v>1.0595943837753512</v>
      </c>
      <c r="AF796">
        <f t="shared" si="457"/>
        <v>0.28104524180967244</v>
      </c>
      <c r="AG796" s="3">
        <v>3.98</v>
      </c>
      <c r="AH796">
        <f t="shared" si="475"/>
        <v>25.460710000000002</v>
      </c>
      <c r="AI796" s="3">
        <v>59</v>
      </c>
    </row>
    <row r="797" spans="1:38" x14ac:dyDescent="0.5">
      <c r="A797">
        <v>60</v>
      </c>
      <c r="B797">
        <v>250</v>
      </c>
      <c r="C797">
        <v>0.1</v>
      </c>
      <c r="D797">
        <v>5.4</v>
      </c>
      <c r="E797">
        <v>50</v>
      </c>
      <c r="F797">
        <v>27</v>
      </c>
      <c r="G797" s="3">
        <f t="shared" si="476"/>
        <v>5</v>
      </c>
      <c r="Q797">
        <v>49.71</v>
      </c>
      <c r="R797">
        <v>6.15</v>
      </c>
      <c r="S797">
        <v>2.4300000000000002</v>
      </c>
      <c r="T797">
        <v>35.57</v>
      </c>
      <c r="U797">
        <v>0</v>
      </c>
      <c r="V797">
        <f t="shared" si="477"/>
        <v>1.4846107423053712</v>
      </c>
      <c r="W797">
        <f t="shared" si="478"/>
        <v>0.53666264333132163</v>
      </c>
      <c r="X797">
        <v>6</v>
      </c>
      <c r="Y797" s="3">
        <f t="shared" si="479"/>
        <v>19.234935</v>
      </c>
      <c r="Z797">
        <v>64.94</v>
      </c>
      <c r="AA797">
        <v>5.8</v>
      </c>
      <c r="AB797">
        <v>2.77</v>
      </c>
      <c r="AC797">
        <v>22.4</v>
      </c>
      <c r="AD797">
        <v>0</v>
      </c>
      <c r="AE797">
        <f t="shared" si="456"/>
        <v>1.0717585463504775</v>
      </c>
      <c r="AF797">
        <f t="shared" si="457"/>
        <v>0.25870033877425319</v>
      </c>
      <c r="AG797" s="3">
        <v>4.09</v>
      </c>
      <c r="AH797">
        <f t="shared" si="475"/>
        <v>26.233719999999998</v>
      </c>
      <c r="AI797" s="3">
        <v>62</v>
      </c>
    </row>
    <row r="798" spans="1:38" x14ac:dyDescent="0.5">
      <c r="A798">
        <v>180</v>
      </c>
      <c r="B798">
        <v>250</v>
      </c>
      <c r="C798">
        <v>0.1</v>
      </c>
      <c r="D798">
        <v>5.4</v>
      </c>
      <c r="E798">
        <v>50</v>
      </c>
      <c r="F798">
        <v>27</v>
      </c>
      <c r="G798" s="3">
        <f t="shared" si="476"/>
        <v>5</v>
      </c>
      <c r="Q798">
        <v>49.71</v>
      </c>
      <c r="R798">
        <v>6.15</v>
      </c>
      <c r="S798">
        <v>2.4300000000000002</v>
      </c>
      <c r="T798">
        <v>35.57</v>
      </c>
      <c r="U798">
        <v>0</v>
      </c>
      <c r="V798">
        <f t="shared" si="477"/>
        <v>1.4846107423053712</v>
      </c>
      <c r="W798">
        <f t="shared" si="478"/>
        <v>0.53666264333132163</v>
      </c>
      <c r="X798">
        <v>6</v>
      </c>
      <c r="Y798" s="3">
        <f t="shared" si="479"/>
        <v>19.234935</v>
      </c>
      <c r="Z798">
        <v>65.58</v>
      </c>
      <c r="AA798">
        <v>6</v>
      </c>
      <c r="AB798">
        <v>2.81</v>
      </c>
      <c r="AC798">
        <v>20.350000000000001</v>
      </c>
      <c r="AD798">
        <v>0</v>
      </c>
      <c r="AE798">
        <f t="shared" si="456"/>
        <v>1.0978956999085088</v>
      </c>
      <c r="AF798">
        <f t="shared" si="457"/>
        <v>0.23273101555352244</v>
      </c>
      <c r="AG798" s="3">
        <v>5.26</v>
      </c>
      <c r="AH798">
        <f t="shared" si="475"/>
        <v>27.101565000000001</v>
      </c>
      <c r="AI798" s="3">
        <v>58</v>
      </c>
    </row>
    <row r="799" spans="1:38" x14ac:dyDescent="0.5">
      <c r="A799">
        <v>480</v>
      </c>
      <c r="B799">
        <v>250</v>
      </c>
      <c r="C799">
        <v>0.1</v>
      </c>
      <c r="D799">
        <v>5.4</v>
      </c>
      <c r="E799">
        <v>50</v>
      </c>
      <c r="F799">
        <v>27</v>
      </c>
      <c r="G799" s="3">
        <f t="shared" si="476"/>
        <v>5</v>
      </c>
      <c r="Q799">
        <v>49.71</v>
      </c>
      <c r="R799">
        <v>6.15</v>
      </c>
      <c r="S799">
        <v>2.4300000000000002</v>
      </c>
      <c r="T799">
        <v>35.57</v>
      </c>
      <c r="U799">
        <v>0</v>
      </c>
      <c r="V799">
        <f t="shared" si="477"/>
        <v>1.4846107423053712</v>
      </c>
      <c r="W799">
        <f t="shared" si="478"/>
        <v>0.53666264333132163</v>
      </c>
      <c r="X799">
        <v>6</v>
      </c>
      <c r="Y799" s="3">
        <f>(0.338*Q799)+1.428*(R799-(T799/8))</f>
        <v>19.234935</v>
      </c>
      <c r="Z799">
        <v>68.069999999999993</v>
      </c>
      <c r="AA799">
        <v>5.81</v>
      </c>
      <c r="AB799">
        <v>2.56</v>
      </c>
      <c r="AC799">
        <v>19.36</v>
      </c>
      <c r="AD799">
        <v>0</v>
      </c>
      <c r="AE799">
        <f t="shared" si="456"/>
        <v>1.0242397531952403</v>
      </c>
      <c r="AF799">
        <f t="shared" si="457"/>
        <v>0.21330982811811372</v>
      </c>
      <c r="AG799" s="3">
        <v>4.2</v>
      </c>
      <c r="AH799">
        <f t="shared" si="475"/>
        <v>27.848579999999998</v>
      </c>
      <c r="AI799" s="3">
        <v>57</v>
      </c>
    </row>
    <row r="800" spans="1:38" x14ac:dyDescent="0.5">
      <c r="A800">
        <v>60</v>
      </c>
      <c r="B800">
        <v>260</v>
      </c>
      <c r="C800">
        <v>0.1</v>
      </c>
      <c r="D800">
        <v>8</v>
      </c>
      <c r="E800">
        <v>250</v>
      </c>
      <c r="F800">
        <v>100</v>
      </c>
      <c r="G800" s="3">
        <f t="shared" si="476"/>
        <v>12.5</v>
      </c>
      <c r="O800">
        <v>78.63</v>
      </c>
      <c r="P800" s="3">
        <v>17.350000000000001</v>
      </c>
      <c r="Q800">
        <v>44.93</v>
      </c>
      <c r="R800">
        <v>6.65</v>
      </c>
      <c r="S800">
        <v>0.49</v>
      </c>
      <c r="T800">
        <v>40.51</v>
      </c>
      <c r="U800">
        <v>0</v>
      </c>
      <c r="V800">
        <f t="shared" si="477"/>
        <v>1.7760961495659917</v>
      </c>
      <c r="W800">
        <f t="shared" si="478"/>
        <v>0.6762185622078789</v>
      </c>
      <c r="X800">
        <v>4.16</v>
      </c>
      <c r="Y800" s="3">
        <v>19.239999999999998</v>
      </c>
      <c r="Z800">
        <v>67.98</v>
      </c>
      <c r="AA800">
        <v>5.05</v>
      </c>
      <c r="AB800">
        <v>0.88</v>
      </c>
      <c r="AC800">
        <v>20.37</v>
      </c>
      <c r="AD800">
        <v>0</v>
      </c>
      <c r="AE800">
        <f t="shared" si="456"/>
        <v>0.89143865842894965</v>
      </c>
      <c r="AF800">
        <f t="shared" si="457"/>
        <v>0.22473521624007062</v>
      </c>
      <c r="AG800" s="3">
        <v>5.53</v>
      </c>
      <c r="AH800">
        <v>27.45</v>
      </c>
      <c r="AI800" s="3">
        <v>36.25</v>
      </c>
      <c r="AJ800" s="2" t="s">
        <v>209</v>
      </c>
      <c r="AK800" t="s">
        <v>210</v>
      </c>
      <c r="AL800">
        <v>95</v>
      </c>
    </row>
    <row r="801" spans="1:38" x14ac:dyDescent="0.5">
      <c r="A801">
        <v>60</v>
      </c>
      <c r="B801">
        <v>260</v>
      </c>
      <c r="C801">
        <v>0.1</v>
      </c>
      <c r="D801">
        <v>8</v>
      </c>
      <c r="E801">
        <v>250</v>
      </c>
      <c r="F801">
        <v>100</v>
      </c>
      <c r="G801" s="3">
        <f t="shared" ref="G801:G802" si="480">F801/D801</f>
        <v>12.5</v>
      </c>
      <c r="O801">
        <v>94.47</v>
      </c>
      <c r="P801" s="3">
        <v>5.76</v>
      </c>
      <c r="Q801">
        <v>40.1</v>
      </c>
      <c r="R801">
        <v>4.97</v>
      </c>
      <c r="S801">
        <v>0</v>
      </c>
      <c r="T801">
        <v>19.850000000000001</v>
      </c>
      <c r="U801">
        <v>2.1000000000000001E-2</v>
      </c>
      <c r="V801">
        <f t="shared" si="477"/>
        <v>1.4872817955112219</v>
      </c>
      <c r="W801">
        <f t="shared" si="478"/>
        <v>0.37125935162094764</v>
      </c>
      <c r="X801">
        <v>0</v>
      </c>
      <c r="Y801" s="3">
        <v>17.8</v>
      </c>
      <c r="Z801">
        <v>76.94</v>
      </c>
      <c r="AA801">
        <v>6.49</v>
      </c>
      <c r="AB801">
        <v>3.5000000000000003E-2</v>
      </c>
      <c r="AC801">
        <v>8.89</v>
      </c>
      <c r="AD801">
        <v>0</v>
      </c>
      <c r="AE801">
        <f t="shared" si="456"/>
        <v>1.0122173121913181</v>
      </c>
      <c r="AF801">
        <f t="shared" si="457"/>
        <v>8.665843514426827E-2</v>
      </c>
      <c r="AG801" s="3">
        <v>3.25</v>
      </c>
      <c r="AH801">
        <v>33.520000000000003</v>
      </c>
      <c r="AI801" s="3">
        <v>48.19</v>
      </c>
    </row>
    <row r="802" spans="1:38" x14ac:dyDescent="0.5">
      <c r="A802">
        <v>60</v>
      </c>
      <c r="B802">
        <v>220</v>
      </c>
      <c r="C802">
        <v>0.1</v>
      </c>
      <c r="D802">
        <v>20</v>
      </c>
      <c r="E802">
        <v>750</v>
      </c>
      <c r="F802">
        <v>400</v>
      </c>
      <c r="G802" s="3">
        <f t="shared" si="480"/>
        <v>20</v>
      </c>
      <c r="O802">
        <v>84.75</v>
      </c>
      <c r="P802" s="3">
        <v>6.98</v>
      </c>
      <c r="Q802">
        <v>44.2</v>
      </c>
      <c r="R802">
        <v>6.24</v>
      </c>
      <c r="S802">
        <v>0.84</v>
      </c>
      <c r="T802">
        <v>48.21</v>
      </c>
      <c r="U802">
        <v>0</v>
      </c>
      <c r="V802">
        <f t="shared" si="477"/>
        <v>1.6941176470588235</v>
      </c>
      <c r="W802">
        <f t="shared" si="478"/>
        <v>0.81804298642533935</v>
      </c>
      <c r="X802">
        <v>8.3000000000000007</v>
      </c>
      <c r="Y802" s="3">
        <v>15.43</v>
      </c>
      <c r="Z802">
        <v>65.2</v>
      </c>
      <c r="AA802">
        <v>5.83</v>
      </c>
      <c r="AB802">
        <v>0.88</v>
      </c>
      <c r="AC802">
        <v>28.05</v>
      </c>
      <c r="AD802">
        <v>0</v>
      </c>
      <c r="AE802">
        <f t="shared" si="456"/>
        <v>1.0730061349693252</v>
      </c>
      <c r="AF802">
        <f t="shared" si="457"/>
        <v>0.32266104294478526</v>
      </c>
      <c r="AG802" s="3">
        <v>4.34</v>
      </c>
      <c r="AH802">
        <v>24.37</v>
      </c>
      <c r="AI802" s="3">
        <v>59.83</v>
      </c>
      <c r="AJ802" s="2" t="s">
        <v>211</v>
      </c>
      <c r="AK802" t="s">
        <v>94</v>
      </c>
      <c r="AL802">
        <v>96</v>
      </c>
    </row>
    <row r="803" spans="1:38" x14ac:dyDescent="0.5">
      <c r="A803">
        <v>60</v>
      </c>
      <c r="B803">
        <v>220</v>
      </c>
      <c r="C803">
        <v>0.1</v>
      </c>
      <c r="D803">
        <v>20</v>
      </c>
      <c r="E803">
        <v>750</v>
      </c>
      <c r="F803">
        <v>400</v>
      </c>
      <c r="G803" s="3">
        <f t="shared" ref="G803:G805" si="481">F803/D803</f>
        <v>20</v>
      </c>
      <c r="O803">
        <v>76.62</v>
      </c>
      <c r="P803" s="3">
        <v>15.75</v>
      </c>
      <c r="Q803">
        <v>35.159999999999997</v>
      </c>
      <c r="R803">
        <v>4.9000000000000004</v>
      </c>
      <c r="S803">
        <v>1.01</v>
      </c>
      <c r="T803">
        <v>56.8</v>
      </c>
      <c r="U803">
        <v>0</v>
      </c>
      <c r="V803">
        <f t="shared" si="477"/>
        <v>1.672354948805461</v>
      </c>
      <c r="W803">
        <f t="shared" si="478"/>
        <v>1.21160409556314</v>
      </c>
      <c r="X803">
        <v>5.39</v>
      </c>
      <c r="Y803" s="3">
        <v>9.48</v>
      </c>
      <c r="Z803">
        <v>59</v>
      </c>
      <c r="AA803">
        <v>5.43</v>
      </c>
      <c r="AB803">
        <v>1.56</v>
      </c>
      <c r="AC803">
        <v>34</v>
      </c>
      <c r="AD803">
        <v>0</v>
      </c>
      <c r="AE803">
        <f t="shared" si="456"/>
        <v>1.1044067796610169</v>
      </c>
      <c r="AF803">
        <f t="shared" si="457"/>
        <v>0.43220338983050843</v>
      </c>
      <c r="AG803" s="3">
        <v>4.1399999999999997</v>
      </c>
      <c r="AH803">
        <v>21.64</v>
      </c>
      <c r="AI803" s="3">
        <v>13.64</v>
      </c>
    </row>
    <row r="804" spans="1:38" x14ac:dyDescent="0.5">
      <c r="A804">
        <v>60</v>
      </c>
      <c r="B804">
        <v>220</v>
      </c>
      <c r="C804">
        <v>0.1</v>
      </c>
      <c r="D804">
        <v>20</v>
      </c>
      <c r="E804">
        <v>750</v>
      </c>
      <c r="F804">
        <v>400</v>
      </c>
      <c r="G804" s="3">
        <f t="shared" si="481"/>
        <v>20</v>
      </c>
      <c r="O804">
        <v>78.709999999999994</v>
      </c>
      <c r="P804" s="3">
        <v>14.33</v>
      </c>
      <c r="Q804">
        <v>42.41</v>
      </c>
      <c r="R804">
        <v>5.78</v>
      </c>
      <c r="S804">
        <v>0.99</v>
      </c>
      <c r="T804">
        <v>50.8</v>
      </c>
      <c r="U804">
        <v>0</v>
      </c>
      <c r="V804">
        <f t="shared" si="477"/>
        <v>1.6354633341193117</v>
      </c>
      <c r="W804">
        <f t="shared" si="478"/>
        <v>0.8983730252298987</v>
      </c>
      <c r="X804">
        <v>7.05</v>
      </c>
      <c r="Y804" s="3">
        <v>13.54</v>
      </c>
      <c r="Z804">
        <v>68.260000000000005</v>
      </c>
      <c r="AA804">
        <v>6.02</v>
      </c>
      <c r="AB804">
        <v>1</v>
      </c>
      <c r="AC804">
        <v>24.4</v>
      </c>
      <c r="AD804">
        <v>0</v>
      </c>
      <c r="AE804">
        <f t="shared" si="456"/>
        <v>1.0583064752417228</v>
      </c>
      <c r="AF804">
        <f t="shared" si="457"/>
        <v>0.26809258716671547</v>
      </c>
      <c r="AG804" s="3">
        <v>4.32</v>
      </c>
      <c r="AH804">
        <v>27.64</v>
      </c>
      <c r="AI804" s="3">
        <v>45.27</v>
      </c>
    </row>
    <row r="805" spans="1:38" x14ac:dyDescent="0.5">
      <c r="A805">
        <v>30</v>
      </c>
      <c r="B805">
        <v>175</v>
      </c>
      <c r="C805">
        <v>0.1</v>
      </c>
      <c r="D805">
        <v>50</v>
      </c>
      <c r="E805">
        <v>1000</v>
      </c>
      <c r="F805">
        <v>400</v>
      </c>
      <c r="G805" s="3">
        <f t="shared" si="481"/>
        <v>8</v>
      </c>
      <c r="K805">
        <v>14.3</v>
      </c>
      <c r="L805">
        <v>6.3</v>
      </c>
      <c r="M805">
        <v>3.3</v>
      </c>
      <c r="Q805">
        <v>45.4</v>
      </c>
      <c r="R805">
        <v>6.3</v>
      </c>
      <c r="S805">
        <v>1.59</v>
      </c>
      <c r="T805">
        <v>1.1000000000000001</v>
      </c>
      <c r="U805">
        <v>0.15</v>
      </c>
      <c r="V805">
        <f t="shared" si="477"/>
        <v>1.6651982378854626</v>
      </c>
      <c r="W805">
        <f t="shared" si="478"/>
        <v>1.8171806167400884E-2</v>
      </c>
      <c r="X805">
        <v>5.5</v>
      </c>
      <c r="Y805" s="3">
        <v>20.3</v>
      </c>
      <c r="Z805">
        <v>54.23</v>
      </c>
      <c r="AA805">
        <v>6.19</v>
      </c>
      <c r="AB805">
        <v>2.13</v>
      </c>
      <c r="AC805">
        <v>33.1</v>
      </c>
      <c r="AD805">
        <v>0.24</v>
      </c>
      <c r="AE805">
        <f t="shared" si="456"/>
        <v>1.3697215563341327</v>
      </c>
      <c r="AF805">
        <f t="shared" si="457"/>
        <v>0.45777245067305927</v>
      </c>
      <c r="AH805">
        <f>(0.338*Z805)+1.428*(AA805-(AC805/8))</f>
        <v>21.260710000000003</v>
      </c>
      <c r="AI805" s="3">
        <v>49</v>
      </c>
      <c r="AJ805" s="2" t="s">
        <v>212</v>
      </c>
      <c r="AK805" t="s">
        <v>213</v>
      </c>
      <c r="AL805">
        <v>97</v>
      </c>
    </row>
    <row r="806" spans="1:38" x14ac:dyDescent="0.5">
      <c r="A806">
        <v>60</v>
      </c>
      <c r="B806">
        <v>175</v>
      </c>
      <c r="C806">
        <v>0.1</v>
      </c>
      <c r="D806">
        <v>50</v>
      </c>
      <c r="E806">
        <v>1000</v>
      </c>
      <c r="F806">
        <v>400</v>
      </c>
      <c r="G806" s="3">
        <f t="shared" ref="G806:G821" si="482">F806/D806</f>
        <v>8</v>
      </c>
      <c r="K806">
        <v>14.3</v>
      </c>
      <c r="L806">
        <v>6.3</v>
      </c>
      <c r="M806">
        <v>3.3</v>
      </c>
      <c r="Q806">
        <v>45.4</v>
      </c>
      <c r="R806">
        <v>6.3</v>
      </c>
      <c r="S806">
        <v>1.59</v>
      </c>
      <c r="T806">
        <v>1.1000000000000001</v>
      </c>
      <c r="U806">
        <v>0.15</v>
      </c>
      <c r="V806">
        <f t="shared" ref="V806:V821" si="483">(R806/1)/(Q806/12)</f>
        <v>1.6651982378854626</v>
      </c>
      <c r="W806">
        <f t="shared" ref="W806:W821" si="484">(T806/16)/(Q806/12)</f>
        <v>1.8171806167400884E-2</v>
      </c>
      <c r="X806">
        <v>5.5</v>
      </c>
      <c r="Y806" s="3">
        <v>20.3</v>
      </c>
      <c r="Z806">
        <v>53.16</v>
      </c>
      <c r="AA806">
        <v>6.1</v>
      </c>
      <c r="AB806">
        <v>1.98</v>
      </c>
      <c r="AC806">
        <v>34.380000000000003</v>
      </c>
      <c r="AD806">
        <v>0.26</v>
      </c>
      <c r="AE806">
        <f t="shared" si="456"/>
        <v>1.3769751693002257</v>
      </c>
      <c r="AF806">
        <f t="shared" si="457"/>
        <v>0.48504514672686239</v>
      </c>
      <c r="AH806">
        <f t="shared" ref="AH806:AH825" si="485">(0.338*Z806)+1.428*(AA806-(AC806/8))</f>
        <v>20.54205</v>
      </c>
      <c r="AI806" s="3">
        <v>51</v>
      </c>
    </row>
    <row r="807" spans="1:38" x14ac:dyDescent="0.5">
      <c r="A807">
        <v>90</v>
      </c>
      <c r="B807">
        <v>175</v>
      </c>
      <c r="C807">
        <v>0.1</v>
      </c>
      <c r="D807">
        <v>50</v>
      </c>
      <c r="E807">
        <v>1000</v>
      </c>
      <c r="F807">
        <v>400</v>
      </c>
      <c r="G807" s="3">
        <f t="shared" si="482"/>
        <v>8</v>
      </c>
      <c r="K807">
        <v>14.3</v>
      </c>
      <c r="L807">
        <v>6.3</v>
      </c>
      <c r="M807">
        <v>3.3</v>
      </c>
      <c r="Q807">
        <v>45.4</v>
      </c>
      <c r="R807">
        <v>6.3</v>
      </c>
      <c r="S807">
        <v>1.59</v>
      </c>
      <c r="T807">
        <v>1.1000000000000001</v>
      </c>
      <c r="U807">
        <v>0.15</v>
      </c>
      <c r="V807">
        <f t="shared" si="483"/>
        <v>1.6651982378854626</v>
      </c>
      <c r="W807">
        <f t="shared" si="484"/>
        <v>1.8171806167400884E-2</v>
      </c>
      <c r="X807">
        <v>5.5</v>
      </c>
      <c r="Y807" s="3">
        <v>20.3</v>
      </c>
      <c r="Z807">
        <v>54.41</v>
      </c>
      <c r="AA807">
        <v>6.14</v>
      </c>
      <c r="AB807">
        <v>2.04</v>
      </c>
      <c r="AC807">
        <v>32.99</v>
      </c>
      <c r="AD807">
        <v>0.23</v>
      </c>
      <c r="AE807">
        <f t="shared" si="456"/>
        <v>1.3541628377136554</v>
      </c>
      <c r="AF807">
        <f t="shared" si="457"/>
        <v>0.45474177540893218</v>
      </c>
      <c r="AH807">
        <f t="shared" si="485"/>
        <v>21.269784999999999</v>
      </c>
      <c r="AI807" s="3">
        <v>51</v>
      </c>
    </row>
    <row r="808" spans="1:38" x14ac:dyDescent="0.5">
      <c r="A808">
        <v>120</v>
      </c>
      <c r="B808">
        <v>175</v>
      </c>
      <c r="C808">
        <v>0.1</v>
      </c>
      <c r="D808">
        <v>50</v>
      </c>
      <c r="E808">
        <v>1000</v>
      </c>
      <c r="F808">
        <v>400</v>
      </c>
      <c r="G808" s="3">
        <f t="shared" si="482"/>
        <v>8</v>
      </c>
      <c r="K808">
        <v>14.3</v>
      </c>
      <c r="L808">
        <v>6.3</v>
      </c>
      <c r="M808">
        <v>3.3</v>
      </c>
      <c r="Q808">
        <v>45.4</v>
      </c>
      <c r="R808">
        <v>6.3</v>
      </c>
      <c r="S808">
        <v>1.59</v>
      </c>
      <c r="T808">
        <v>1.1000000000000001</v>
      </c>
      <c r="U808">
        <v>0.15</v>
      </c>
      <c r="V808">
        <f t="shared" si="483"/>
        <v>1.6651982378854626</v>
      </c>
      <c r="W808">
        <f t="shared" si="484"/>
        <v>1.8171806167400884E-2</v>
      </c>
      <c r="X808">
        <v>5.5</v>
      </c>
      <c r="Y808" s="3">
        <v>20.3</v>
      </c>
      <c r="Z808">
        <v>55.8</v>
      </c>
      <c r="AA808">
        <v>6</v>
      </c>
      <c r="AB808">
        <v>2.14</v>
      </c>
      <c r="AC808">
        <v>31.62</v>
      </c>
      <c r="AD808">
        <v>0.23</v>
      </c>
      <c r="AE808">
        <f t="shared" si="456"/>
        <v>1.2903225806451615</v>
      </c>
      <c r="AF808">
        <f t="shared" si="457"/>
        <v>0.42500000000000004</v>
      </c>
      <c r="AH808">
        <f t="shared" si="485"/>
        <v>21.784230000000001</v>
      </c>
      <c r="AI808" s="3">
        <v>54</v>
      </c>
    </row>
    <row r="809" spans="1:38" x14ac:dyDescent="0.5">
      <c r="A809">
        <v>30</v>
      </c>
      <c r="B809">
        <v>190</v>
      </c>
      <c r="C809">
        <v>0.1</v>
      </c>
      <c r="D809">
        <v>50</v>
      </c>
      <c r="E809">
        <v>1000</v>
      </c>
      <c r="F809">
        <v>400</v>
      </c>
      <c r="G809" s="3">
        <f t="shared" si="482"/>
        <v>8</v>
      </c>
      <c r="K809">
        <v>14.3</v>
      </c>
      <c r="L809">
        <v>6.3</v>
      </c>
      <c r="M809">
        <v>3.3</v>
      </c>
      <c r="Q809">
        <v>45.4</v>
      </c>
      <c r="R809">
        <v>6.3</v>
      </c>
      <c r="S809">
        <v>1.59</v>
      </c>
      <c r="T809">
        <v>1.1000000000000001</v>
      </c>
      <c r="U809">
        <v>0.15</v>
      </c>
      <c r="V809">
        <f t="shared" si="483"/>
        <v>1.6651982378854626</v>
      </c>
      <c r="W809">
        <f t="shared" si="484"/>
        <v>1.8171806167400884E-2</v>
      </c>
      <c r="X809">
        <v>5.5</v>
      </c>
      <c r="Y809" s="3">
        <v>20.3</v>
      </c>
      <c r="Z809">
        <v>53.85</v>
      </c>
      <c r="AA809">
        <v>5.92</v>
      </c>
      <c r="AB809">
        <v>1.96</v>
      </c>
      <c r="AC809">
        <v>33.79</v>
      </c>
      <c r="AD809">
        <v>0.22</v>
      </c>
      <c r="AE809">
        <f t="shared" si="456"/>
        <v>1.3192200557103064</v>
      </c>
      <c r="AF809">
        <f t="shared" si="457"/>
        <v>0.47061281337047356</v>
      </c>
      <c r="AH809">
        <f t="shared" si="485"/>
        <v>20.623545000000004</v>
      </c>
      <c r="AI809" s="3">
        <v>48</v>
      </c>
    </row>
    <row r="810" spans="1:38" x14ac:dyDescent="0.5">
      <c r="A810">
        <v>60</v>
      </c>
      <c r="B810">
        <v>190</v>
      </c>
      <c r="C810">
        <v>0.1</v>
      </c>
      <c r="D810">
        <v>50</v>
      </c>
      <c r="E810">
        <v>1000</v>
      </c>
      <c r="F810">
        <v>400</v>
      </c>
      <c r="G810" s="3">
        <f t="shared" si="482"/>
        <v>8</v>
      </c>
      <c r="K810">
        <v>14.3</v>
      </c>
      <c r="L810">
        <v>6.3</v>
      </c>
      <c r="M810">
        <v>3.3</v>
      </c>
      <c r="Q810">
        <v>45.4</v>
      </c>
      <c r="R810">
        <v>6.3</v>
      </c>
      <c r="S810">
        <v>1.59</v>
      </c>
      <c r="T810">
        <v>1.1000000000000001</v>
      </c>
      <c r="U810">
        <v>0.15</v>
      </c>
      <c r="V810">
        <f t="shared" si="483"/>
        <v>1.6651982378854626</v>
      </c>
      <c r="W810">
        <f t="shared" si="484"/>
        <v>1.8171806167400884E-2</v>
      </c>
      <c r="X810">
        <v>5.5</v>
      </c>
      <c r="Y810" s="3">
        <v>20.3</v>
      </c>
      <c r="Z810">
        <v>55.38</v>
      </c>
      <c r="AA810">
        <v>6</v>
      </c>
      <c r="AB810">
        <v>1.91</v>
      </c>
      <c r="AC810">
        <v>32.200000000000003</v>
      </c>
      <c r="AD810">
        <v>0.22</v>
      </c>
      <c r="AE810">
        <f t="shared" si="456"/>
        <v>1.3001083423618633</v>
      </c>
      <c r="AF810">
        <f t="shared" si="457"/>
        <v>0.43607800650054174</v>
      </c>
      <c r="AH810">
        <f t="shared" si="485"/>
        <v>21.538740000000001</v>
      </c>
      <c r="AI810" s="3">
        <v>51</v>
      </c>
    </row>
    <row r="811" spans="1:38" x14ac:dyDescent="0.5">
      <c r="A811">
        <v>90</v>
      </c>
      <c r="B811">
        <v>190</v>
      </c>
      <c r="C811">
        <v>0.1</v>
      </c>
      <c r="D811">
        <v>50</v>
      </c>
      <c r="E811">
        <v>1000</v>
      </c>
      <c r="F811">
        <v>400</v>
      </c>
      <c r="G811" s="3">
        <f t="shared" si="482"/>
        <v>8</v>
      </c>
      <c r="K811">
        <v>14.3</v>
      </c>
      <c r="L811">
        <v>6.3</v>
      </c>
      <c r="M811">
        <v>3.3</v>
      </c>
      <c r="Q811">
        <v>45.4</v>
      </c>
      <c r="R811">
        <v>6.3</v>
      </c>
      <c r="S811">
        <v>1.59</v>
      </c>
      <c r="T811">
        <v>1.1000000000000001</v>
      </c>
      <c r="U811">
        <v>0.15</v>
      </c>
      <c r="V811">
        <f t="shared" si="483"/>
        <v>1.6651982378854626</v>
      </c>
      <c r="W811">
        <f t="shared" si="484"/>
        <v>1.8171806167400884E-2</v>
      </c>
      <c r="X811">
        <v>5.5</v>
      </c>
      <c r="Y811" s="3">
        <v>20.3</v>
      </c>
      <c r="Z811">
        <v>55.44</v>
      </c>
      <c r="AA811">
        <v>5.7</v>
      </c>
      <c r="AB811">
        <v>1.95</v>
      </c>
      <c r="AC811">
        <v>32.35</v>
      </c>
      <c r="AD811">
        <v>0.28000000000000003</v>
      </c>
      <c r="AE811">
        <f t="shared" si="456"/>
        <v>1.2337662337662338</v>
      </c>
      <c r="AF811">
        <f t="shared" si="457"/>
        <v>0.4376352813852814</v>
      </c>
      <c r="AH811">
        <f t="shared" si="485"/>
        <v>21.103845</v>
      </c>
      <c r="AI811" s="3">
        <v>51</v>
      </c>
    </row>
    <row r="812" spans="1:38" x14ac:dyDescent="0.5">
      <c r="A812">
        <v>120</v>
      </c>
      <c r="B812">
        <v>190</v>
      </c>
      <c r="C812">
        <v>0.1</v>
      </c>
      <c r="D812">
        <v>50</v>
      </c>
      <c r="E812">
        <v>1000</v>
      </c>
      <c r="F812">
        <v>400</v>
      </c>
      <c r="G812" s="3">
        <f t="shared" si="482"/>
        <v>8</v>
      </c>
      <c r="K812">
        <v>14.3</v>
      </c>
      <c r="L812">
        <v>6.3</v>
      </c>
      <c r="M812">
        <v>3.3</v>
      </c>
      <c r="Q812">
        <v>45.4</v>
      </c>
      <c r="R812">
        <v>6.3</v>
      </c>
      <c r="S812">
        <v>1.59</v>
      </c>
      <c r="T812">
        <v>1.1000000000000001</v>
      </c>
      <c r="U812">
        <v>0.15</v>
      </c>
      <c r="V812">
        <f t="shared" si="483"/>
        <v>1.6651982378854626</v>
      </c>
      <c r="W812">
        <f t="shared" si="484"/>
        <v>1.8171806167400884E-2</v>
      </c>
      <c r="X812">
        <v>5.5</v>
      </c>
      <c r="Y812" s="3">
        <v>20.3</v>
      </c>
      <c r="Z812">
        <v>55.53</v>
      </c>
      <c r="AA812">
        <v>6.16</v>
      </c>
      <c r="AB812">
        <v>1.87</v>
      </c>
      <c r="AC812">
        <v>31.92</v>
      </c>
      <c r="AD812">
        <v>0.23</v>
      </c>
      <c r="AE812">
        <f t="shared" si="456"/>
        <v>1.3311723392760668</v>
      </c>
      <c r="AF812">
        <f t="shared" si="457"/>
        <v>0.43111831442463533</v>
      </c>
      <c r="AH812">
        <f t="shared" si="485"/>
        <v>21.867899999999999</v>
      </c>
      <c r="AI812" s="3">
        <v>53</v>
      </c>
    </row>
    <row r="813" spans="1:38" x14ac:dyDescent="0.5">
      <c r="A813">
        <v>30</v>
      </c>
      <c r="B813">
        <v>225</v>
      </c>
      <c r="C813">
        <v>0.1</v>
      </c>
      <c r="D813">
        <v>50</v>
      </c>
      <c r="E813">
        <v>1000</v>
      </c>
      <c r="F813">
        <v>400</v>
      </c>
      <c r="G813" s="3">
        <f t="shared" si="482"/>
        <v>8</v>
      </c>
      <c r="K813">
        <v>14.3</v>
      </c>
      <c r="L813">
        <v>6.3</v>
      </c>
      <c r="M813">
        <v>3.3</v>
      </c>
      <c r="Q813">
        <v>45.4</v>
      </c>
      <c r="R813">
        <v>6.3</v>
      </c>
      <c r="S813">
        <v>1.59</v>
      </c>
      <c r="T813">
        <v>1.1000000000000001</v>
      </c>
      <c r="U813">
        <v>0.15</v>
      </c>
      <c r="V813">
        <f t="shared" si="483"/>
        <v>1.6651982378854626</v>
      </c>
      <c r="W813">
        <f t="shared" si="484"/>
        <v>1.8171806167400884E-2</v>
      </c>
      <c r="X813">
        <v>5.5</v>
      </c>
      <c r="Y813" s="3">
        <v>20.3</v>
      </c>
      <c r="Z813">
        <v>56.45</v>
      </c>
      <c r="AA813">
        <v>5.64</v>
      </c>
      <c r="AB813">
        <v>1.79</v>
      </c>
      <c r="AC813">
        <v>31.55</v>
      </c>
      <c r="AD813">
        <v>0.23</v>
      </c>
      <c r="AE813">
        <f t="shared" si="456"/>
        <v>1.1989371124889281</v>
      </c>
      <c r="AF813">
        <f t="shared" si="457"/>
        <v>0.4191762621789194</v>
      </c>
      <c r="AH813">
        <f t="shared" si="485"/>
        <v>21.502345000000002</v>
      </c>
      <c r="AI813" s="3">
        <v>47</v>
      </c>
    </row>
    <row r="814" spans="1:38" x14ac:dyDescent="0.5">
      <c r="A814">
        <v>60</v>
      </c>
      <c r="B814">
        <v>225</v>
      </c>
      <c r="C814">
        <v>0.1</v>
      </c>
      <c r="D814">
        <v>50</v>
      </c>
      <c r="E814">
        <v>1000</v>
      </c>
      <c r="F814">
        <v>400</v>
      </c>
      <c r="G814" s="3">
        <f t="shared" si="482"/>
        <v>8</v>
      </c>
      <c r="K814">
        <v>14.3</v>
      </c>
      <c r="L814">
        <v>6.3</v>
      </c>
      <c r="M814">
        <v>3.3</v>
      </c>
      <c r="Q814">
        <v>45.4</v>
      </c>
      <c r="R814">
        <v>6.3</v>
      </c>
      <c r="S814">
        <v>1.59</v>
      </c>
      <c r="T814">
        <v>1.1000000000000001</v>
      </c>
      <c r="U814">
        <v>0.15</v>
      </c>
      <c r="V814">
        <f t="shared" si="483"/>
        <v>1.6651982378854626</v>
      </c>
      <c r="W814">
        <f t="shared" si="484"/>
        <v>1.8171806167400884E-2</v>
      </c>
      <c r="X814">
        <v>5.5</v>
      </c>
      <c r="Y814" s="3">
        <v>20.3</v>
      </c>
      <c r="Z814">
        <v>57.66</v>
      </c>
      <c r="AA814">
        <v>5.84</v>
      </c>
      <c r="AB814">
        <v>2.02</v>
      </c>
      <c r="AC814">
        <v>29.67</v>
      </c>
      <c r="AD814">
        <v>0.25</v>
      </c>
      <c r="AE814">
        <f t="shared" si="456"/>
        <v>1.2154006243496358</v>
      </c>
      <c r="AF814">
        <f t="shared" si="457"/>
        <v>0.38592611862643084</v>
      </c>
      <c r="AH814">
        <f t="shared" si="485"/>
        <v>22.532505</v>
      </c>
      <c r="AI814" s="3">
        <v>46</v>
      </c>
    </row>
    <row r="815" spans="1:38" x14ac:dyDescent="0.5">
      <c r="A815">
        <v>90</v>
      </c>
      <c r="B815">
        <v>225</v>
      </c>
      <c r="C815">
        <v>0.1</v>
      </c>
      <c r="D815">
        <v>50</v>
      </c>
      <c r="E815">
        <v>1000</v>
      </c>
      <c r="F815">
        <v>400</v>
      </c>
      <c r="G815" s="3">
        <f t="shared" si="482"/>
        <v>8</v>
      </c>
      <c r="K815">
        <v>14.3</v>
      </c>
      <c r="L815">
        <v>6.3</v>
      </c>
      <c r="M815">
        <v>3.3</v>
      </c>
      <c r="Q815">
        <v>45.4</v>
      </c>
      <c r="R815">
        <v>6.3</v>
      </c>
      <c r="S815">
        <v>1.59</v>
      </c>
      <c r="T815">
        <v>1.1000000000000001</v>
      </c>
      <c r="U815">
        <v>0.15</v>
      </c>
      <c r="V815">
        <f t="shared" si="483"/>
        <v>1.6651982378854626</v>
      </c>
      <c r="W815">
        <f t="shared" si="484"/>
        <v>1.8171806167400884E-2</v>
      </c>
      <c r="X815">
        <v>5.5</v>
      </c>
      <c r="Y815" s="3">
        <v>20.3</v>
      </c>
      <c r="Z815">
        <v>58.32</v>
      </c>
      <c r="AA815">
        <v>5.91</v>
      </c>
      <c r="AB815">
        <v>2</v>
      </c>
      <c r="AC815">
        <v>28.94</v>
      </c>
      <c r="AD815">
        <v>0.26</v>
      </c>
      <c r="AE815">
        <f t="shared" si="456"/>
        <v>1.2160493827160492</v>
      </c>
      <c r="AF815">
        <f t="shared" si="457"/>
        <v>0.37217078189300412</v>
      </c>
      <c r="AH815">
        <f t="shared" si="485"/>
        <v>22.985849999999999</v>
      </c>
      <c r="AI815" s="3">
        <v>45</v>
      </c>
    </row>
    <row r="816" spans="1:38" x14ac:dyDescent="0.5">
      <c r="A816">
        <v>120</v>
      </c>
      <c r="B816">
        <v>225</v>
      </c>
      <c r="C816">
        <v>0.1</v>
      </c>
      <c r="D816">
        <v>50</v>
      </c>
      <c r="E816">
        <v>1000</v>
      </c>
      <c r="F816">
        <v>400</v>
      </c>
      <c r="G816" s="3">
        <f t="shared" si="482"/>
        <v>8</v>
      </c>
      <c r="K816">
        <v>14.3</v>
      </c>
      <c r="L816">
        <v>6.3</v>
      </c>
      <c r="M816">
        <v>3.3</v>
      </c>
      <c r="Q816">
        <v>45.4</v>
      </c>
      <c r="R816">
        <v>6.3</v>
      </c>
      <c r="S816">
        <v>1.59</v>
      </c>
      <c r="T816">
        <v>1.1000000000000001</v>
      </c>
      <c r="U816">
        <v>0.15</v>
      </c>
      <c r="V816">
        <f t="shared" si="483"/>
        <v>1.6651982378854626</v>
      </c>
      <c r="W816">
        <f t="shared" si="484"/>
        <v>1.8171806167400884E-2</v>
      </c>
      <c r="X816">
        <v>5.5</v>
      </c>
      <c r="Y816" s="3">
        <v>20.3</v>
      </c>
      <c r="Z816">
        <v>60.12</v>
      </c>
      <c r="AA816">
        <v>5.65</v>
      </c>
      <c r="AB816">
        <v>2.19</v>
      </c>
      <c r="AC816">
        <v>27.19</v>
      </c>
      <c r="AD816">
        <v>2.9</v>
      </c>
      <c r="AE816">
        <f t="shared" si="456"/>
        <v>1.127744510978044</v>
      </c>
      <c r="AF816">
        <f t="shared" si="457"/>
        <v>0.33919660678642716</v>
      </c>
      <c r="AH816">
        <f t="shared" si="485"/>
        <v>23.535345</v>
      </c>
      <c r="AI816" s="3">
        <v>43</v>
      </c>
    </row>
    <row r="817" spans="1:38" x14ac:dyDescent="0.5">
      <c r="A817">
        <v>30</v>
      </c>
      <c r="B817">
        <v>260</v>
      </c>
      <c r="C817">
        <v>0.1</v>
      </c>
      <c r="D817">
        <v>50</v>
      </c>
      <c r="E817">
        <v>1000</v>
      </c>
      <c r="F817">
        <v>400</v>
      </c>
      <c r="G817" s="3">
        <f t="shared" si="482"/>
        <v>8</v>
      </c>
      <c r="K817">
        <v>14.3</v>
      </c>
      <c r="L817">
        <v>6.3</v>
      </c>
      <c r="M817">
        <v>3.3</v>
      </c>
      <c r="Q817">
        <v>45.4</v>
      </c>
      <c r="R817">
        <v>6.3</v>
      </c>
      <c r="S817">
        <v>1.59</v>
      </c>
      <c r="T817">
        <v>1.1000000000000001</v>
      </c>
      <c r="U817">
        <v>0.15</v>
      </c>
      <c r="V817">
        <f t="shared" si="483"/>
        <v>1.6651982378854626</v>
      </c>
      <c r="W817">
        <f t="shared" si="484"/>
        <v>1.8171806167400884E-2</v>
      </c>
      <c r="X817">
        <v>5.5</v>
      </c>
      <c r="Y817" s="3">
        <v>20.3</v>
      </c>
      <c r="Z817">
        <v>61.38</v>
      </c>
      <c r="AA817">
        <v>5.66</v>
      </c>
      <c r="AB817">
        <v>2.35</v>
      </c>
      <c r="AC817">
        <v>25.54</v>
      </c>
      <c r="AD817">
        <v>0.22</v>
      </c>
      <c r="AE817">
        <f t="shared" si="456"/>
        <v>1.1065493646138806</v>
      </c>
      <c r="AF817">
        <f t="shared" si="457"/>
        <v>0.31207233626588465</v>
      </c>
      <c r="AH817">
        <f t="shared" si="485"/>
        <v>24.270030000000002</v>
      </c>
      <c r="AI817" s="3">
        <v>38</v>
      </c>
    </row>
    <row r="818" spans="1:38" x14ac:dyDescent="0.5">
      <c r="A818">
        <v>60</v>
      </c>
      <c r="B818">
        <v>260</v>
      </c>
      <c r="C818">
        <v>0.1</v>
      </c>
      <c r="D818">
        <v>50</v>
      </c>
      <c r="E818">
        <v>1000</v>
      </c>
      <c r="F818">
        <v>400</v>
      </c>
      <c r="G818" s="3">
        <f t="shared" si="482"/>
        <v>8</v>
      </c>
      <c r="K818">
        <v>14.3</v>
      </c>
      <c r="L818">
        <v>6.3</v>
      </c>
      <c r="M818">
        <v>3.3</v>
      </c>
      <c r="Q818">
        <v>45.4</v>
      </c>
      <c r="R818">
        <v>6.3</v>
      </c>
      <c r="S818">
        <v>1.59</v>
      </c>
      <c r="T818">
        <v>1.1000000000000001</v>
      </c>
      <c r="U818">
        <v>0.15</v>
      </c>
      <c r="V818">
        <f t="shared" si="483"/>
        <v>1.6651982378854626</v>
      </c>
      <c r="W818">
        <f t="shared" si="484"/>
        <v>1.8171806167400884E-2</v>
      </c>
      <c r="X818">
        <v>5.5</v>
      </c>
      <c r="Y818" s="3">
        <v>20.3</v>
      </c>
      <c r="Z818">
        <v>65.849999999999994</v>
      </c>
      <c r="AA818">
        <v>5.52</v>
      </c>
      <c r="AB818">
        <v>2.65</v>
      </c>
      <c r="AC818">
        <v>20.82</v>
      </c>
      <c r="AD818">
        <v>0.26</v>
      </c>
      <c r="AE818">
        <f t="shared" si="456"/>
        <v>1.0059225512528474</v>
      </c>
      <c r="AF818">
        <f t="shared" si="457"/>
        <v>0.23712984054669706</v>
      </c>
      <c r="AH818">
        <f t="shared" si="485"/>
        <v>26.423490000000001</v>
      </c>
      <c r="AI818" s="3">
        <v>35</v>
      </c>
    </row>
    <row r="819" spans="1:38" x14ac:dyDescent="0.5">
      <c r="A819">
        <v>90</v>
      </c>
      <c r="B819">
        <v>260</v>
      </c>
      <c r="C819">
        <v>0.1</v>
      </c>
      <c r="D819">
        <v>50</v>
      </c>
      <c r="E819">
        <v>1000</v>
      </c>
      <c r="F819">
        <v>400</v>
      </c>
      <c r="G819" s="3">
        <f t="shared" si="482"/>
        <v>8</v>
      </c>
      <c r="K819">
        <v>14.3</v>
      </c>
      <c r="L819">
        <v>6.3</v>
      </c>
      <c r="M819">
        <v>3.3</v>
      </c>
      <c r="Q819">
        <v>45.4</v>
      </c>
      <c r="R819">
        <v>6.3</v>
      </c>
      <c r="S819">
        <v>1.59</v>
      </c>
      <c r="T819">
        <v>1.1000000000000001</v>
      </c>
      <c r="U819">
        <v>0.15</v>
      </c>
      <c r="V819">
        <f t="shared" si="483"/>
        <v>1.6651982378854626</v>
      </c>
      <c r="W819">
        <f t="shared" si="484"/>
        <v>1.8171806167400884E-2</v>
      </c>
      <c r="X819">
        <v>5.5</v>
      </c>
      <c r="Y819" s="3">
        <v>20.3</v>
      </c>
      <c r="Z819">
        <v>66.290000000000006</v>
      </c>
      <c r="AA819">
        <v>5.49</v>
      </c>
      <c r="AB819">
        <v>2.7</v>
      </c>
      <c r="AC819">
        <v>20.27</v>
      </c>
      <c r="AD819">
        <v>0.28000000000000003</v>
      </c>
      <c r="AE819">
        <f t="shared" si="456"/>
        <v>0.99381505506109513</v>
      </c>
      <c r="AF819">
        <f t="shared" si="457"/>
        <v>0.22933323276512294</v>
      </c>
      <c r="AH819">
        <f t="shared" si="485"/>
        <v>26.627545000000005</v>
      </c>
      <c r="AI819" s="3">
        <v>33</v>
      </c>
    </row>
    <row r="820" spans="1:38" x14ac:dyDescent="0.5">
      <c r="A820">
        <v>120</v>
      </c>
      <c r="B820">
        <v>260</v>
      </c>
      <c r="C820">
        <v>0.1</v>
      </c>
      <c r="D820">
        <v>50</v>
      </c>
      <c r="E820">
        <v>1000</v>
      </c>
      <c r="F820">
        <v>400</v>
      </c>
      <c r="G820" s="3">
        <f t="shared" si="482"/>
        <v>8</v>
      </c>
      <c r="K820">
        <v>14.3</v>
      </c>
      <c r="L820">
        <v>6.3</v>
      </c>
      <c r="M820">
        <v>3.3</v>
      </c>
      <c r="Q820">
        <v>45.4</v>
      </c>
      <c r="R820">
        <v>6.3</v>
      </c>
      <c r="S820">
        <v>1.59</v>
      </c>
      <c r="T820">
        <v>1.1000000000000001</v>
      </c>
      <c r="U820">
        <v>0.15</v>
      </c>
      <c r="V820">
        <f t="shared" si="483"/>
        <v>1.6651982378854626</v>
      </c>
      <c r="W820">
        <f t="shared" si="484"/>
        <v>1.8171806167400884E-2</v>
      </c>
      <c r="X820">
        <v>5.5</v>
      </c>
      <c r="Y820" s="3">
        <v>20.3</v>
      </c>
      <c r="Z820">
        <v>69.239999999999995</v>
      </c>
      <c r="AA820">
        <v>5.53</v>
      </c>
      <c r="AB820">
        <v>2.7</v>
      </c>
      <c r="AC820">
        <v>17.34</v>
      </c>
      <c r="AD820">
        <v>0.23</v>
      </c>
      <c r="AE820">
        <f t="shared" si="456"/>
        <v>0.95840554592720983</v>
      </c>
      <c r="AF820">
        <f t="shared" si="457"/>
        <v>0.1878249566724437</v>
      </c>
      <c r="AH820">
        <f t="shared" si="485"/>
        <v>28.204770000000003</v>
      </c>
      <c r="AI820" s="3">
        <v>35</v>
      </c>
    </row>
    <row r="821" spans="1:38" x14ac:dyDescent="0.5">
      <c r="A821">
        <v>30</v>
      </c>
      <c r="B821">
        <v>180</v>
      </c>
      <c r="C821">
        <v>0.1</v>
      </c>
      <c r="D821">
        <v>10</v>
      </c>
      <c r="E821">
        <v>250</v>
      </c>
      <c r="F821">
        <v>150</v>
      </c>
      <c r="G821" s="3">
        <f t="shared" si="482"/>
        <v>15</v>
      </c>
      <c r="O821">
        <v>47.38</v>
      </c>
      <c r="P821" s="3">
        <v>5.18</v>
      </c>
      <c r="Q821">
        <v>22.65</v>
      </c>
      <c r="R821">
        <v>3.22</v>
      </c>
      <c r="S821">
        <v>1.32</v>
      </c>
      <c r="T821">
        <v>24.25</v>
      </c>
      <c r="U821">
        <v>1.07</v>
      </c>
      <c r="V821">
        <f t="shared" si="483"/>
        <v>1.7059602649006624</v>
      </c>
      <c r="W821">
        <f t="shared" si="484"/>
        <v>0.80298013245033117</v>
      </c>
      <c r="X821">
        <v>47.44</v>
      </c>
      <c r="Y821" s="3">
        <f>(0.338*Q821)+1.428*(R821-(T821/8))</f>
        <v>7.9252350000000007</v>
      </c>
      <c r="Z821">
        <v>20.91</v>
      </c>
      <c r="AA821">
        <v>2.6</v>
      </c>
      <c r="AB821">
        <v>0.78</v>
      </c>
      <c r="AC821">
        <v>20.11</v>
      </c>
      <c r="AD821">
        <v>0.77</v>
      </c>
      <c r="AE821">
        <f t="shared" si="456"/>
        <v>1.4921090387374463</v>
      </c>
      <c r="AF821">
        <f t="shared" si="457"/>
        <v>0.72130559540889527</v>
      </c>
      <c r="AG821" s="3">
        <v>54.81</v>
      </c>
      <c r="AH821">
        <f>(0.338*Z821)+1.428*(AA821-(AC821/8))</f>
        <v>7.1907450000000006</v>
      </c>
      <c r="AI821" s="3">
        <v>88</v>
      </c>
      <c r="AJ821" s="2" t="s">
        <v>214</v>
      </c>
      <c r="AK821" t="s">
        <v>215</v>
      </c>
      <c r="AL821">
        <v>98</v>
      </c>
    </row>
    <row r="822" spans="1:38" x14ac:dyDescent="0.5">
      <c r="A822">
        <v>30</v>
      </c>
      <c r="B822">
        <v>210</v>
      </c>
      <c r="C822">
        <v>0.1</v>
      </c>
      <c r="D822">
        <v>10</v>
      </c>
      <c r="E822">
        <v>250</v>
      </c>
      <c r="F822">
        <v>150</v>
      </c>
      <c r="G822" s="3">
        <f t="shared" ref="G822:G826" si="486">F822/D822</f>
        <v>15</v>
      </c>
      <c r="O822">
        <v>47.38</v>
      </c>
      <c r="P822" s="3">
        <v>5.18</v>
      </c>
      <c r="Q822">
        <v>22.65</v>
      </c>
      <c r="R822">
        <v>3.22</v>
      </c>
      <c r="S822">
        <v>1.32</v>
      </c>
      <c r="T822">
        <v>24.25</v>
      </c>
      <c r="U822">
        <v>1.07</v>
      </c>
      <c r="V822">
        <f t="shared" ref="V822:V826" si="487">(R822/1)/(Q822/12)</f>
        <v>1.7059602649006624</v>
      </c>
      <c r="W822">
        <f t="shared" ref="W822:W826" si="488">(T822/16)/(Q822/12)</f>
        <v>0.80298013245033117</v>
      </c>
      <c r="X822">
        <v>47.44</v>
      </c>
      <c r="Y822" s="3">
        <f t="shared" ref="Y822:Y824" si="489">(0.338*Q822)+1.428*(R822-(T822/8))</f>
        <v>7.9252350000000007</v>
      </c>
      <c r="Z822">
        <v>20.32</v>
      </c>
      <c r="AA822">
        <v>2.2999999999999998</v>
      </c>
      <c r="AB822">
        <v>0.55000000000000004</v>
      </c>
      <c r="AC822">
        <v>18.239999999999998</v>
      </c>
      <c r="AD822">
        <v>0.7</v>
      </c>
      <c r="AE822">
        <f t="shared" si="456"/>
        <v>1.3582677165354329</v>
      </c>
      <c r="AF822">
        <f t="shared" si="457"/>
        <v>0.67322834645669283</v>
      </c>
      <c r="AG822" s="3">
        <v>57.86</v>
      </c>
      <c r="AH822">
        <f t="shared" si="485"/>
        <v>6.8967200000000002</v>
      </c>
      <c r="AI822" s="3">
        <v>90</v>
      </c>
    </row>
    <row r="823" spans="1:38" x14ac:dyDescent="0.5">
      <c r="A823">
        <v>30</v>
      </c>
      <c r="B823">
        <v>240</v>
      </c>
      <c r="C823">
        <v>0.1</v>
      </c>
      <c r="D823">
        <v>10</v>
      </c>
      <c r="E823">
        <v>250</v>
      </c>
      <c r="F823">
        <v>150</v>
      </c>
      <c r="G823" s="3">
        <f t="shared" si="486"/>
        <v>15</v>
      </c>
      <c r="O823">
        <v>47.38</v>
      </c>
      <c r="P823" s="3">
        <v>5.18</v>
      </c>
      <c r="Q823">
        <v>22.65</v>
      </c>
      <c r="R823">
        <v>3.22</v>
      </c>
      <c r="S823">
        <v>1.32</v>
      </c>
      <c r="T823">
        <v>24.25</v>
      </c>
      <c r="U823">
        <v>1.07</v>
      </c>
      <c r="V823">
        <f t="shared" si="487"/>
        <v>1.7059602649006624</v>
      </c>
      <c r="W823">
        <f t="shared" si="488"/>
        <v>0.80298013245033117</v>
      </c>
      <c r="X823">
        <v>47.44</v>
      </c>
      <c r="Y823" s="3">
        <f t="shared" si="489"/>
        <v>7.9252350000000007</v>
      </c>
      <c r="Z823">
        <v>19.66</v>
      </c>
      <c r="AA823">
        <v>1.96</v>
      </c>
      <c r="AB823">
        <v>0.43</v>
      </c>
      <c r="AC823">
        <v>16.7</v>
      </c>
      <c r="AD823">
        <v>0.68</v>
      </c>
      <c r="AE823">
        <f t="shared" si="456"/>
        <v>1.1963377416073244</v>
      </c>
      <c r="AF823">
        <f t="shared" si="457"/>
        <v>0.63708036622583919</v>
      </c>
      <c r="AG823" s="3">
        <v>60.54</v>
      </c>
      <c r="AH823">
        <f t="shared" si="485"/>
        <v>6.4630100000000006</v>
      </c>
      <c r="AI823" s="3">
        <v>84</v>
      </c>
    </row>
    <row r="824" spans="1:38" x14ac:dyDescent="0.5">
      <c r="A824">
        <v>30</v>
      </c>
      <c r="B824">
        <v>270</v>
      </c>
      <c r="C824">
        <v>0.1</v>
      </c>
      <c r="D824">
        <v>10</v>
      </c>
      <c r="E824">
        <v>250</v>
      </c>
      <c r="F824">
        <v>150</v>
      </c>
      <c r="G824" s="3">
        <f t="shared" si="486"/>
        <v>15</v>
      </c>
      <c r="O824">
        <v>47.38</v>
      </c>
      <c r="P824" s="3">
        <v>5.18</v>
      </c>
      <c r="Q824">
        <v>22.65</v>
      </c>
      <c r="R824">
        <v>3.22</v>
      </c>
      <c r="S824">
        <v>1.32</v>
      </c>
      <c r="T824">
        <v>24.25</v>
      </c>
      <c r="U824">
        <v>1.07</v>
      </c>
      <c r="V824">
        <f t="shared" si="487"/>
        <v>1.7059602649006624</v>
      </c>
      <c r="W824">
        <f t="shared" si="488"/>
        <v>0.80298013245033117</v>
      </c>
      <c r="X824">
        <v>47.44</v>
      </c>
      <c r="Y824" s="3">
        <f t="shared" si="489"/>
        <v>7.9252350000000007</v>
      </c>
      <c r="Z824">
        <v>19.170000000000002</v>
      </c>
      <c r="AA824">
        <v>1.88</v>
      </c>
      <c r="AB824">
        <v>0.42</v>
      </c>
      <c r="AC824">
        <v>14.12</v>
      </c>
      <c r="AD824">
        <v>0.61</v>
      </c>
      <c r="AE824">
        <f t="shared" si="456"/>
        <v>1.1768388106416274</v>
      </c>
      <c r="AF824">
        <f t="shared" si="457"/>
        <v>0.55242566510172131</v>
      </c>
      <c r="AG824" s="3">
        <v>63.78</v>
      </c>
      <c r="AH824">
        <f t="shared" si="485"/>
        <v>6.6436800000000016</v>
      </c>
      <c r="AI824" s="3">
        <v>76</v>
      </c>
    </row>
    <row r="825" spans="1:38" x14ac:dyDescent="0.5">
      <c r="A825">
        <v>30</v>
      </c>
      <c r="B825">
        <v>300</v>
      </c>
      <c r="C825">
        <v>0.1</v>
      </c>
      <c r="D825">
        <v>10</v>
      </c>
      <c r="E825">
        <v>250</v>
      </c>
      <c r="F825">
        <v>150</v>
      </c>
      <c r="G825" s="3">
        <f t="shared" si="486"/>
        <v>15</v>
      </c>
      <c r="O825">
        <v>47.38</v>
      </c>
      <c r="P825" s="3">
        <v>5.18</v>
      </c>
      <c r="Q825">
        <v>22.65</v>
      </c>
      <c r="R825">
        <v>3.22</v>
      </c>
      <c r="S825">
        <v>1.32</v>
      </c>
      <c r="T825">
        <v>24.25</v>
      </c>
      <c r="U825">
        <v>1.07</v>
      </c>
      <c r="V825">
        <f t="shared" si="487"/>
        <v>1.7059602649006624</v>
      </c>
      <c r="W825">
        <f t="shared" si="488"/>
        <v>0.80298013245033117</v>
      </c>
      <c r="X825">
        <v>47.44</v>
      </c>
      <c r="Y825" s="3">
        <f>(0.338*Q825)+1.428*(R825-(T825/8))</f>
        <v>7.9252350000000007</v>
      </c>
      <c r="Z825">
        <v>19.11</v>
      </c>
      <c r="AA825">
        <v>1.71</v>
      </c>
      <c r="AB825">
        <v>0.39</v>
      </c>
      <c r="AC825">
        <v>11.91</v>
      </c>
      <c r="AD825">
        <v>0.63</v>
      </c>
      <c r="AE825">
        <f t="shared" si="456"/>
        <v>1.0737833594976451</v>
      </c>
      <c r="AF825">
        <f t="shared" si="457"/>
        <v>0.46742543171114598</v>
      </c>
      <c r="AG825" s="3">
        <v>66.23</v>
      </c>
      <c r="AH825">
        <f t="shared" si="485"/>
        <v>6.7751250000000001</v>
      </c>
      <c r="AI825" s="3">
        <v>73</v>
      </c>
    </row>
    <row r="826" spans="1:38" x14ac:dyDescent="0.5">
      <c r="A826">
        <v>60</v>
      </c>
      <c r="B826">
        <v>180</v>
      </c>
      <c r="C826">
        <v>0.1</v>
      </c>
      <c r="D826">
        <v>50</v>
      </c>
      <c r="E826">
        <v>1000</v>
      </c>
      <c r="F826">
        <v>400</v>
      </c>
      <c r="G826" s="3">
        <f t="shared" si="486"/>
        <v>8</v>
      </c>
      <c r="Q826">
        <v>52.05</v>
      </c>
      <c r="R826">
        <v>8.2100000000000009</v>
      </c>
      <c r="S826">
        <v>2.33</v>
      </c>
      <c r="T826">
        <v>36.76</v>
      </c>
      <c r="U826">
        <v>0.65</v>
      </c>
      <c r="V826">
        <f t="shared" si="487"/>
        <v>1.8927953890489917</v>
      </c>
      <c r="W826">
        <f t="shared" si="488"/>
        <v>0.5296829971181557</v>
      </c>
      <c r="X826">
        <v>10.68</v>
      </c>
      <c r="Y826" s="3">
        <v>24.5</v>
      </c>
      <c r="Z826">
        <v>55.18</v>
      </c>
      <c r="AA826">
        <v>7.08</v>
      </c>
      <c r="AB826">
        <v>1.88</v>
      </c>
      <c r="AC826">
        <v>35.15</v>
      </c>
      <c r="AD826">
        <v>0.71</v>
      </c>
      <c r="AE826">
        <f t="shared" si="456"/>
        <v>1.5396882928597317</v>
      </c>
      <c r="AF826">
        <f t="shared" si="457"/>
        <v>0.47775462123957951</v>
      </c>
      <c r="AG826" s="3">
        <v>9.6</v>
      </c>
      <c r="AH826">
        <v>24.1</v>
      </c>
      <c r="AI826" s="3">
        <v>80.7</v>
      </c>
      <c r="AJ826" s="2" t="s">
        <v>216</v>
      </c>
      <c r="AK826" t="s">
        <v>217</v>
      </c>
      <c r="AL826">
        <v>99</v>
      </c>
    </row>
    <row r="827" spans="1:38" x14ac:dyDescent="0.5">
      <c r="A827">
        <v>60</v>
      </c>
      <c r="B827">
        <v>220</v>
      </c>
      <c r="C827">
        <v>0.1</v>
      </c>
      <c r="D827">
        <v>50</v>
      </c>
      <c r="E827">
        <v>1000</v>
      </c>
      <c r="F827">
        <v>400</v>
      </c>
      <c r="G827" s="3">
        <f t="shared" ref="G827:G829" si="490">F827/D827</f>
        <v>8</v>
      </c>
      <c r="Q827">
        <v>52.05</v>
      </c>
      <c r="R827">
        <v>8.2100000000000009</v>
      </c>
      <c r="S827">
        <v>2.33</v>
      </c>
      <c r="T827">
        <v>36.76</v>
      </c>
      <c r="U827">
        <v>0.65</v>
      </c>
      <c r="V827">
        <f t="shared" ref="V827:V829" si="491">(R827/1)/(Q827/12)</f>
        <v>1.8927953890489917</v>
      </c>
      <c r="W827">
        <f t="shared" ref="W827:W829" si="492">(T827/16)/(Q827/12)</f>
        <v>0.5296829971181557</v>
      </c>
      <c r="X827">
        <v>10.68</v>
      </c>
      <c r="Y827" s="3">
        <v>24.5</v>
      </c>
      <c r="Z827">
        <v>62.09</v>
      </c>
      <c r="AA827">
        <v>6.75</v>
      </c>
      <c r="AB827">
        <v>2.29</v>
      </c>
      <c r="AC827">
        <v>28.13</v>
      </c>
      <c r="AD827">
        <v>0.74</v>
      </c>
      <c r="AE827">
        <f t="shared" si="456"/>
        <v>1.3045578998228378</v>
      </c>
      <c r="AF827">
        <f t="shared" si="457"/>
        <v>0.33978901594459648</v>
      </c>
      <c r="AG827" s="3">
        <v>13.44</v>
      </c>
      <c r="AH827">
        <v>26.8</v>
      </c>
      <c r="AI827" s="3">
        <v>66.400000000000006</v>
      </c>
    </row>
    <row r="828" spans="1:38" x14ac:dyDescent="0.5">
      <c r="A828">
        <v>60</v>
      </c>
      <c r="B828">
        <v>260</v>
      </c>
      <c r="C828">
        <v>0.1</v>
      </c>
      <c r="D828">
        <v>50</v>
      </c>
      <c r="E828">
        <v>1000</v>
      </c>
      <c r="F828">
        <v>400</v>
      </c>
      <c r="G828" s="3">
        <f t="shared" si="490"/>
        <v>8</v>
      </c>
      <c r="Q828">
        <v>52.05</v>
      </c>
      <c r="R828">
        <v>8.2100000000000009</v>
      </c>
      <c r="S828">
        <v>2.33</v>
      </c>
      <c r="T828">
        <v>36.76</v>
      </c>
      <c r="U828">
        <v>0.65</v>
      </c>
      <c r="V828">
        <f t="shared" si="491"/>
        <v>1.8927953890489917</v>
      </c>
      <c r="W828">
        <f t="shared" si="492"/>
        <v>0.5296829971181557</v>
      </c>
      <c r="X828">
        <v>10.68</v>
      </c>
      <c r="Y828" s="3">
        <v>24.5</v>
      </c>
      <c r="Z828">
        <v>69.819999999999993</v>
      </c>
      <c r="AA828">
        <v>6.42</v>
      </c>
      <c r="AB828">
        <v>3.22</v>
      </c>
      <c r="AC828">
        <v>19.760000000000002</v>
      </c>
      <c r="AD828">
        <v>0.78</v>
      </c>
      <c r="AE828">
        <f t="shared" si="456"/>
        <v>1.1034087653967346</v>
      </c>
      <c r="AF828">
        <f t="shared" si="457"/>
        <v>0.2122600973932971</v>
      </c>
      <c r="AG828" s="3">
        <v>16.72</v>
      </c>
      <c r="AH828">
        <v>29.9</v>
      </c>
      <c r="AI828" s="3">
        <v>46.3</v>
      </c>
    </row>
    <row r="829" spans="1:38" x14ac:dyDescent="0.5">
      <c r="A829">
        <v>240</v>
      </c>
      <c r="B829">
        <v>200</v>
      </c>
      <c r="C829">
        <v>0.1</v>
      </c>
      <c r="D829">
        <v>10.3</v>
      </c>
      <c r="E829">
        <v>125</v>
      </c>
      <c r="F829">
        <v>50</v>
      </c>
      <c r="G829" s="3">
        <f t="shared" si="490"/>
        <v>4.8543689320388346</v>
      </c>
      <c r="O829">
        <v>69.98</v>
      </c>
      <c r="P829" s="3">
        <v>1.42</v>
      </c>
      <c r="Q829">
        <v>36.700000000000003</v>
      </c>
      <c r="R829">
        <v>6.4</v>
      </c>
      <c r="S829">
        <v>5.5</v>
      </c>
      <c r="T829">
        <v>35.9</v>
      </c>
      <c r="U829">
        <v>9.5</v>
      </c>
      <c r="V829">
        <f t="shared" si="491"/>
        <v>2.092643051771117</v>
      </c>
      <c r="W829">
        <f t="shared" si="492"/>
        <v>0.73365122615803802</v>
      </c>
      <c r="X829">
        <v>28.6</v>
      </c>
      <c r="Y829" s="3">
        <v>24.12</v>
      </c>
      <c r="Z829">
        <v>33.299999999999997</v>
      </c>
      <c r="AA829">
        <v>4.4000000000000004</v>
      </c>
      <c r="AB829">
        <v>2.1</v>
      </c>
      <c r="AC829">
        <v>18.5</v>
      </c>
      <c r="AD829">
        <v>3.8</v>
      </c>
      <c r="AE829">
        <f t="shared" si="456"/>
        <v>1.5855855855855858</v>
      </c>
      <c r="AF829">
        <f t="shared" si="457"/>
        <v>0.41666666666666669</v>
      </c>
      <c r="AG829" s="3">
        <v>43.89</v>
      </c>
      <c r="AH829">
        <v>28.4</v>
      </c>
      <c r="AI829" s="3">
        <v>53.9</v>
      </c>
      <c r="AJ829" s="2" t="s">
        <v>218</v>
      </c>
      <c r="AK829" t="s">
        <v>67</v>
      </c>
      <c r="AL829">
        <v>100</v>
      </c>
    </row>
    <row r="830" spans="1:38" x14ac:dyDescent="0.5">
      <c r="A830">
        <v>360</v>
      </c>
      <c r="B830">
        <v>200</v>
      </c>
      <c r="C830">
        <v>0.1</v>
      </c>
      <c r="D830">
        <v>10.3</v>
      </c>
      <c r="E830">
        <v>125</v>
      </c>
      <c r="F830">
        <v>50</v>
      </c>
      <c r="G830" s="3">
        <f t="shared" ref="G830:G834" si="493">F830/D830</f>
        <v>4.8543689320388346</v>
      </c>
      <c r="O830">
        <v>69.98</v>
      </c>
      <c r="P830" s="3">
        <v>1.42</v>
      </c>
      <c r="Q830">
        <v>36.700000000000003</v>
      </c>
      <c r="R830">
        <v>6.4</v>
      </c>
      <c r="S830">
        <v>5.5</v>
      </c>
      <c r="T830">
        <v>35.9</v>
      </c>
      <c r="U830">
        <v>9.5</v>
      </c>
      <c r="V830">
        <f t="shared" ref="V830:V834" si="494">(R830/1)/(Q830/12)</f>
        <v>2.092643051771117</v>
      </c>
      <c r="W830">
        <f t="shared" ref="W830:W834" si="495">(T830/16)/(Q830/12)</f>
        <v>0.73365122615803802</v>
      </c>
      <c r="X830">
        <v>28.6</v>
      </c>
      <c r="Y830" s="3">
        <v>24.12</v>
      </c>
      <c r="Z830">
        <v>33.200000000000003</v>
      </c>
      <c r="AA830">
        <v>4.3</v>
      </c>
      <c r="AB830">
        <v>2.1</v>
      </c>
      <c r="AC830">
        <v>17.8</v>
      </c>
      <c r="AD830">
        <v>3.8</v>
      </c>
      <c r="AE830">
        <f t="shared" si="456"/>
        <v>1.5542168674698793</v>
      </c>
      <c r="AF830">
        <f t="shared" si="457"/>
        <v>0.40210843373493971</v>
      </c>
      <c r="AG830" s="3">
        <v>44.39</v>
      </c>
      <c r="AH830">
        <v>27.55</v>
      </c>
      <c r="AI830" s="3">
        <v>58.7</v>
      </c>
    </row>
    <row r="831" spans="1:38" x14ac:dyDescent="0.5">
      <c r="A831">
        <v>480</v>
      </c>
      <c r="B831">
        <v>200</v>
      </c>
      <c r="C831">
        <v>0.1</v>
      </c>
      <c r="D831">
        <v>10.3</v>
      </c>
      <c r="E831">
        <v>125</v>
      </c>
      <c r="F831">
        <v>50</v>
      </c>
      <c r="G831" s="3">
        <f t="shared" si="493"/>
        <v>4.8543689320388346</v>
      </c>
      <c r="O831">
        <v>69.98</v>
      </c>
      <c r="P831" s="3">
        <v>1.42</v>
      </c>
      <c r="Q831">
        <v>36.700000000000003</v>
      </c>
      <c r="R831">
        <v>6.4</v>
      </c>
      <c r="S831">
        <v>5.5</v>
      </c>
      <c r="T831">
        <v>35.9</v>
      </c>
      <c r="U831">
        <v>9.5</v>
      </c>
      <c r="V831">
        <f t="shared" si="494"/>
        <v>2.092643051771117</v>
      </c>
      <c r="W831">
        <f t="shared" si="495"/>
        <v>0.73365122615803802</v>
      </c>
      <c r="X831">
        <v>28.6</v>
      </c>
      <c r="Y831" s="3">
        <v>24.12</v>
      </c>
      <c r="Z831">
        <v>32.6</v>
      </c>
      <c r="AA831">
        <v>4.2</v>
      </c>
      <c r="AB831">
        <v>2.2000000000000002</v>
      </c>
      <c r="AC831">
        <v>17.600000000000001</v>
      </c>
      <c r="AD831">
        <v>3.8</v>
      </c>
      <c r="AE831">
        <f t="shared" si="456"/>
        <v>1.5460122699386503</v>
      </c>
      <c r="AF831">
        <f t="shared" si="457"/>
        <v>0.40490797546012269</v>
      </c>
      <c r="AG831" s="3">
        <v>44.67</v>
      </c>
      <c r="AH831">
        <v>26.95</v>
      </c>
      <c r="AI831" s="3">
        <v>59.7</v>
      </c>
    </row>
    <row r="832" spans="1:38" x14ac:dyDescent="0.5">
      <c r="A832">
        <v>600</v>
      </c>
      <c r="B832">
        <v>200</v>
      </c>
      <c r="C832">
        <v>0.1</v>
      </c>
      <c r="D832">
        <v>10.3</v>
      </c>
      <c r="E832">
        <v>125</v>
      </c>
      <c r="F832">
        <v>50</v>
      </c>
      <c r="G832" s="3">
        <f t="shared" si="493"/>
        <v>4.8543689320388346</v>
      </c>
      <c r="O832">
        <v>69.98</v>
      </c>
      <c r="P832" s="3">
        <v>1.42</v>
      </c>
      <c r="Q832">
        <v>36.700000000000003</v>
      </c>
      <c r="R832">
        <v>6.4</v>
      </c>
      <c r="S832">
        <v>5.5</v>
      </c>
      <c r="T832">
        <v>35.9</v>
      </c>
      <c r="U832">
        <v>9.5</v>
      </c>
      <c r="V832">
        <f t="shared" si="494"/>
        <v>2.092643051771117</v>
      </c>
      <c r="W832">
        <f t="shared" si="495"/>
        <v>0.73365122615803802</v>
      </c>
      <c r="X832">
        <v>28.6</v>
      </c>
      <c r="Y832" s="3">
        <v>24.12</v>
      </c>
      <c r="Z832">
        <v>32.5</v>
      </c>
      <c r="AA832">
        <v>4.0999999999999996</v>
      </c>
      <c r="AB832">
        <v>2.2000000000000002</v>
      </c>
      <c r="AC832">
        <v>17.399999999999999</v>
      </c>
      <c r="AD832">
        <v>3.8</v>
      </c>
      <c r="AE832">
        <f t="shared" si="456"/>
        <v>1.5138461538461536</v>
      </c>
      <c r="AF832">
        <f t="shared" si="457"/>
        <v>0.40153846153846151</v>
      </c>
      <c r="AG832" s="3">
        <v>46.58</v>
      </c>
      <c r="AH832">
        <v>27.93</v>
      </c>
      <c r="AI832" s="3">
        <v>60.2</v>
      </c>
    </row>
    <row r="833" spans="1:40" x14ac:dyDescent="0.5">
      <c r="A833">
        <v>720</v>
      </c>
      <c r="B833">
        <v>200</v>
      </c>
      <c r="C833">
        <v>0.1</v>
      </c>
      <c r="D833">
        <v>10.3</v>
      </c>
      <c r="E833">
        <v>125</v>
      </c>
      <c r="F833">
        <v>50</v>
      </c>
      <c r="G833" s="3">
        <f t="shared" si="493"/>
        <v>4.8543689320388346</v>
      </c>
      <c r="O833">
        <v>69.98</v>
      </c>
      <c r="P833" s="3">
        <v>1.42</v>
      </c>
      <c r="Q833">
        <v>36.700000000000003</v>
      </c>
      <c r="R833">
        <v>6.4</v>
      </c>
      <c r="S833">
        <v>5.5</v>
      </c>
      <c r="T833">
        <v>35.9</v>
      </c>
      <c r="U833">
        <v>9.5</v>
      </c>
      <c r="V833">
        <f t="shared" si="494"/>
        <v>2.092643051771117</v>
      </c>
      <c r="W833">
        <f t="shared" si="495"/>
        <v>0.73365122615803802</v>
      </c>
      <c r="X833">
        <v>28.6</v>
      </c>
      <c r="Y833" s="3">
        <v>24.12</v>
      </c>
      <c r="Z833">
        <v>32.5</v>
      </c>
      <c r="AA833">
        <v>4.0999999999999996</v>
      </c>
      <c r="AB833">
        <v>2.2000000000000002</v>
      </c>
      <c r="AC833">
        <v>16.899999999999999</v>
      </c>
      <c r="AD833">
        <v>3.9</v>
      </c>
      <c r="AE833">
        <f t="shared" si="456"/>
        <v>1.5138461538461536</v>
      </c>
      <c r="AF833">
        <f t="shared" si="457"/>
        <v>0.38999999999999996</v>
      </c>
      <c r="AG833" s="3">
        <v>46.69</v>
      </c>
      <c r="AH833">
        <v>28.52</v>
      </c>
      <c r="AI833" s="3">
        <v>60.4</v>
      </c>
    </row>
    <row r="834" spans="1:40" x14ac:dyDescent="0.5">
      <c r="A834">
        <v>60</v>
      </c>
      <c r="B834">
        <v>180</v>
      </c>
      <c r="C834">
        <v>0.1</v>
      </c>
      <c r="D834">
        <v>28.6</v>
      </c>
      <c r="E834">
        <v>200</v>
      </c>
      <c r="F834">
        <v>95.6</v>
      </c>
      <c r="G834" s="3">
        <f t="shared" si="493"/>
        <v>3.3426573426573425</v>
      </c>
      <c r="Q834">
        <v>53.2</v>
      </c>
      <c r="R834">
        <v>6.7</v>
      </c>
      <c r="S834">
        <v>1.7</v>
      </c>
      <c r="T834">
        <v>36.200000000000003</v>
      </c>
      <c r="U834">
        <v>0.3</v>
      </c>
      <c r="V834">
        <f t="shared" si="494"/>
        <v>1.5112781954887218</v>
      </c>
      <c r="W834">
        <f t="shared" si="495"/>
        <v>0.51033834586466165</v>
      </c>
      <c r="X834">
        <v>1.9</v>
      </c>
      <c r="Y834" s="3">
        <v>22.5</v>
      </c>
      <c r="Z834">
        <v>59.7</v>
      </c>
      <c r="AA834">
        <v>6.7</v>
      </c>
      <c r="AB834">
        <v>1.5</v>
      </c>
      <c r="AC834">
        <v>29.4</v>
      </c>
      <c r="AD834">
        <v>0.4</v>
      </c>
      <c r="AE834">
        <f t="shared" si="456"/>
        <v>1.3467336683417084</v>
      </c>
      <c r="AF834">
        <f t="shared" si="457"/>
        <v>0.36934673366834164</v>
      </c>
      <c r="AG834" s="3">
        <v>2.2999999999999998</v>
      </c>
      <c r="AH834">
        <v>24.9</v>
      </c>
      <c r="AI834" s="3">
        <v>78.8</v>
      </c>
      <c r="AJ834" s="2" t="s">
        <v>219</v>
      </c>
      <c r="AK834" t="s">
        <v>220</v>
      </c>
      <c r="AL834">
        <v>101</v>
      </c>
    </row>
    <row r="835" spans="1:40" x14ac:dyDescent="0.5">
      <c r="A835">
        <v>120</v>
      </c>
      <c r="B835">
        <v>180</v>
      </c>
      <c r="C835">
        <v>0.1</v>
      </c>
      <c r="D835">
        <v>28.6</v>
      </c>
      <c r="E835">
        <v>200</v>
      </c>
      <c r="F835">
        <v>95.6</v>
      </c>
      <c r="G835" s="3">
        <f t="shared" ref="G835:G840" si="496">F835/D835</f>
        <v>3.3426573426573425</v>
      </c>
      <c r="Q835">
        <v>53.2</v>
      </c>
      <c r="R835">
        <v>6.7</v>
      </c>
      <c r="S835">
        <v>1.7</v>
      </c>
      <c r="T835">
        <v>36.200000000000003</v>
      </c>
      <c r="U835">
        <v>0.3</v>
      </c>
      <c r="V835">
        <f t="shared" ref="V835:V840" si="497">(R835/1)/(Q835/12)</f>
        <v>1.5112781954887218</v>
      </c>
      <c r="W835">
        <f t="shared" ref="W835:W840" si="498">(T835/16)/(Q835/12)</f>
        <v>0.51033834586466165</v>
      </c>
      <c r="X835">
        <v>1.9</v>
      </c>
      <c r="Y835" s="3">
        <v>22.5</v>
      </c>
      <c r="Z835">
        <v>60.1</v>
      </c>
      <c r="AA835">
        <v>6.7</v>
      </c>
      <c r="AB835">
        <v>1.6</v>
      </c>
      <c r="AC835">
        <v>29.1</v>
      </c>
      <c r="AD835">
        <v>0.4</v>
      </c>
      <c r="AE835">
        <f t="shared" si="456"/>
        <v>1.3377703826955074</v>
      </c>
      <c r="AF835">
        <f t="shared" si="457"/>
        <v>0.36314475873544094</v>
      </c>
      <c r="AG835" s="3">
        <v>2.2000000000000002</v>
      </c>
      <c r="AH835">
        <v>25.1</v>
      </c>
      <c r="AI835" s="3">
        <v>80.099999999999994</v>
      </c>
    </row>
    <row r="836" spans="1:40" x14ac:dyDescent="0.5">
      <c r="A836">
        <v>60</v>
      </c>
      <c r="B836">
        <v>220</v>
      </c>
      <c r="C836">
        <v>0.1</v>
      </c>
      <c r="D836">
        <v>28.6</v>
      </c>
      <c r="E836">
        <v>200</v>
      </c>
      <c r="F836">
        <v>95.6</v>
      </c>
      <c r="G836" s="3">
        <f t="shared" si="496"/>
        <v>3.3426573426573425</v>
      </c>
      <c r="Q836">
        <v>53.2</v>
      </c>
      <c r="R836">
        <v>6.7</v>
      </c>
      <c r="S836">
        <v>1.7</v>
      </c>
      <c r="T836">
        <v>36.200000000000003</v>
      </c>
      <c r="U836">
        <v>0.3</v>
      </c>
      <c r="V836">
        <f t="shared" si="497"/>
        <v>1.5112781954887218</v>
      </c>
      <c r="W836">
        <f t="shared" si="498"/>
        <v>0.51033834586466165</v>
      </c>
      <c r="X836">
        <v>1.9</v>
      </c>
      <c r="Y836" s="3">
        <v>22.5</v>
      </c>
      <c r="Z836">
        <v>64</v>
      </c>
      <c r="AA836">
        <v>6.4</v>
      </c>
      <c r="AB836">
        <v>1.7</v>
      </c>
      <c r="AC836">
        <v>25.3</v>
      </c>
      <c r="AD836">
        <v>0.4</v>
      </c>
      <c r="AE836">
        <f t="shared" si="456"/>
        <v>1.2000000000000002</v>
      </c>
      <c r="AF836">
        <f t="shared" si="457"/>
        <v>0.29648437500000002</v>
      </c>
      <c r="AG836" s="3">
        <v>2.2000000000000002</v>
      </c>
      <c r="AH836">
        <v>27.2</v>
      </c>
      <c r="AI836" s="3">
        <v>72</v>
      </c>
    </row>
    <row r="837" spans="1:40" x14ac:dyDescent="0.5">
      <c r="A837">
        <v>120</v>
      </c>
      <c r="B837">
        <v>220</v>
      </c>
      <c r="C837">
        <v>0.1</v>
      </c>
      <c r="D837">
        <v>28.6</v>
      </c>
      <c r="E837">
        <v>200</v>
      </c>
      <c r="F837">
        <v>95.6</v>
      </c>
      <c r="G837" s="3">
        <f t="shared" si="496"/>
        <v>3.3426573426573425</v>
      </c>
      <c r="Q837">
        <v>53.2</v>
      </c>
      <c r="R837">
        <v>6.7</v>
      </c>
      <c r="S837">
        <v>1.7</v>
      </c>
      <c r="T837">
        <v>36.200000000000003</v>
      </c>
      <c r="U837">
        <v>0.3</v>
      </c>
      <c r="V837">
        <f t="shared" si="497"/>
        <v>1.5112781954887218</v>
      </c>
      <c r="W837">
        <f t="shared" si="498"/>
        <v>0.51033834586466165</v>
      </c>
      <c r="X837">
        <v>1.9</v>
      </c>
      <c r="Y837" s="3">
        <v>22.5</v>
      </c>
      <c r="Z837">
        <v>64.5</v>
      </c>
      <c r="AA837">
        <v>6.4</v>
      </c>
      <c r="AB837">
        <v>2</v>
      </c>
      <c r="AC837">
        <v>24.8</v>
      </c>
      <c r="AD837">
        <v>0.3</v>
      </c>
      <c r="AE837">
        <f t="shared" si="456"/>
        <v>1.1906976744186046</v>
      </c>
      <c r="AF837">
        <f t="shared" si="457"/>
        <v>0.28837209302325584</v>
      </c>
      <c r="AG837" s="3">
        <v>2</v>
      </c>
      <c r="AH837">
        <v>27.7</v>
      </c>
      <c r="AI837" s="3">
        <v>70.099999999999994</v>
      </c>
    </row>
    <row r="838" spans="1:40" x14ac:dyDescent="0.5">
      <c r="A838">
        <v>60</v>
      </c>
      <c r="B838">
        <v>250</v>
      </c>
      <c r="C838">
        <v>0.1</v>
      </c>
      <c r="D838">
        <v>28.6</v>
      </c>
      <c r="E838">
        <v>200</v>
      </c>
      <c r="F838">
        <v>95.6</v>
      </c>
      <c r="G838" s="3">
        <f t="shared" si="496"/>
        <v>3.3426573426573425</v>
      </c>
      <c r="Q838">
        <v>53.2</v>
      </c>
      <c r="R838">
        <v>6.7</v>
      </c>
      <c r="S838">
        <v>1.7</v>
      </c>
      <c r="T838">
        <v>36.200000000000003</v>
      </c>
      <c r="U838">
        <v>0.3</v>
      </c>
      <c r="V838">
        <f t="shared" si="497"/>
        <v>1.5112781954887218</v>
      </c>
      <c r="W838">
        <f t="shared" si="498"/>
        <v>0.51033834586466165</v>
      </c>
      <c r="X838">
        <v>1.9</v>
      </c>
      <c r="Y838" s="3">
        <v>22.5</v>
      </c>
      <c r="Z838">
        <v>69.2</v>
      </c>
      <c r="AA838">
        <v>6.5</v>
      </c>
      <c r="AB838">
        <v>2</v>
      </c>
      <c r="AC838">
        <v>19.399999999999999</v>
      </c>
      <c r="AD838">
        <v>0.3</v>
      </c>
      <c r="AE838">
        <f t="shared" si="456"/>
        <v>1.1271676300578035</v>
      </c>
      <c r="AF838">
        <f t="shared" si="457"/>
        <v>0.21026011560693642</v>
      </c>
      <c r="AG838" s="3">
        <v>2.5</v>
      </c>
      <c r="AH838">
        <v>30.5</v>
      </c>
      <c r="AI838" s="3">
        <v>61.5</v>
      </c>
    </row>
    <row r="839" spans="1:40" x14ac:dyDescent="0.5">
      <c r="A839">
        <v>120</v>
      </c>
      <c r="B839">
        <v>250</v>
      </c>
      <c r="C839">
        <v>0.1</v>
      </c>
      <c r="D839">
        <v>28.6</v>
      </c>
      <c r="E839">
        <v>200</v>
      </c>
      <c r="F839">
        <v>95.6</v>
      </c>
      <c r="G839" s="3">
        <f t="shared" si="496"/>
        <v>3.3426573426573425</v>
      </c>
      <c r="Q839">
        <v>53.2</v>
      </c>
      <c r="R839">
        <v>6.7</v>
      </c>
      <c r="S839">
        <v>1.7</v>
      </c>
      <c r="T839">
        <v>36.200000000000003</v>
      </c>
      <c r="U839">
        <v>0.3</v>
      </c>
      <c r="V839">
        <f t="shared" si="497"/>
        <v>1.5112781954887218</v>
      </c>
      <c r="W839">
        <f t="shared" si="498"/>
        <v>0.51033834586466165</v>
      </c>
      <c r="X839">
        <v>1.9</v>
      </c>
      <c r="Y839" s="3">
        <v>22.5</v>
      </c>
      <c r="Z839">
        <v>69.099999999999994</v>
      </c>
      <c r="AA839">
        <v>6.3</v>
      </c>
      <c r="AB839">
        <v>2</v>
      </c>
      <c r="AC839">
        <v>19.8</v>
      </c>
      <c r="AD839">
        <v>0.3</v>
      </c>
      <c r="AE839">
        <f t="shared" si="456"/>
        <v>1.0940665701881331</v>
      </c>
      <c r="AF839">
        <f t="shared" si="457"/>
        <v>0.2149059334298119</v>
      </c>
      <c r="AG839" s="3">
        <v>2.7</v>
      </c>
      <c r="AH839">
        <v>30</v>
      </c>
      <c r="AI839" s="3">
        <v>61.1</v>
      </c>
    </row>
    <row r="840" spans="1:40" x14ac:dyDescent="0.5">
      <c r="A840">
        <v>240</v>
      </c>
      <c r="B840">
        <v>180</v>
      </c>
      <c r="C840">
        <v>0.1</v>
      </c>
      <c r="D840">
        <v>50</v>
      </c>
      <c r="E840">
        <v>500</v>
      </c>
      <c r="F840">
        <v>250</v>
      </c>
      <c r="G840" s="3">
        <f t="shared" si="496"/>
        <v>5</v>
      </c>
      <c r="N840">
        <v>80</v>
      </c>
      <c r="Q840">
        <v>51.94</v>
      </c>
      <c r="R840">
        <v>6.63</v>
      </c>
      <c r="S840">
        <v>3.28</v>
      </c>
      <c r="T840">
        <v>35.29</v>
      </c>
      <c r="U840">
        <v>0</v>
      </c>
      <c r="V840">
        <f t="shared" si="497"/>
        <v>1.5317674239507124</v>
      </c>
      <c r="W840">
        <f t="shared" si="498"/>
        <v>0.50957835964574505</v>
      </c>
      <c r="X840">
        <v>2.86</v>
      </c>
      <c r="Y840" s="3">
        <v>22.18</v>
      </c>
      <c r="Z840">
        <v>66.67</v>
      </c>
      <c r="AA840">
        <v>7.2</v>
      </c>
      <c r="AB840">
        <v>4.08</v>
      </c>
      <c r="AC840">
        <v>21.03</v>
      </c>
      <c r="AD840">
        <v>0</v>
      </c>
      <c r="AE840">
        <f t="shared" si="456"/>
        <v>1.2959352032398381</v>
      </c>
      <c r="AF840">
        <f t="shared" si="457"/>
        <v>0.23657567121643919</v>
      </c>
      <c r="AG840" s="3">
        <v>1.02</v>
      </c>
      <c r="AH840">
        <v>29.5</v>
      </c>
      <c r="AI840" s="3">
        <v>49.33</v>
      </c>
      <c r="AJ840" s="2" t="s">
        <v>221</v>
      </c>
      <c r="AK840" t="s">
        <v>28</v>
      </c>
      <c r="AL840">
        <v>102</v>
      </c>
      <c r="AN840" t="s">
        <v>222</v>
      </c>
    </row>
    <row r="841" spans="1:40" x14ac:dyDescent="0.5">
      <c r="A841">
        <v>240</v>
      </c>
      <c r="B841">
        <v>220</v>
      </c>
      <c r="C841">
        <v>0.1</v>
      </c>
      <c r="D841">
        <v>50</v>
      </c>
      <c r="E841">
        <v>500</v>
      </c>
      <c r="F841">
        <v>250</v>
      </c>
      <c r="G841" s="3">
        <f t="shared" ref="G841:G847" si="499">F841/D841</f>
        <v>5</v>
      </c>
      <c r="N841">
        <v>80</v>
      </c>
      <c r="Q841">
        <v>51.94</v>
      </c>
      <c r="R841">
        <v>6.63</v>
      </c>
      <c r="S841">
        <v>3.28</v>
      </c>
      <c r="T841">
        <v>35.29</v>
      </c>
      <c r="U841">
        <v>0</v>
      </c>
      <c r="V841">
        <f t="shared" ref="V841:V847" si="500">(R841/1)/(Q841/12)</f>
        <v>1.5317674239507124</v>
      </c>
      <c r="W841">
        <f t="shared" ref="W841:W847" si="501">(T841/16)/(Q841/12)</f>
        <v>0.50957835964574505</v>
      </c>
      <c r="X841">
        <v>2.86</v>
      </c>
      <c r="Y841" s="3">
        <v>22.18</v>
      </c>
      <c r="Z841">
        <v>67.98</v>
      </c>
      <c r="AA841">
        <v>6.89</v>
      </c>
      <c r="AB841">
        <v>3.55</v>
      </c>
      <c r="AC841">
        <v>18.7</v>
      </c>
      <c r="AD841">
        <v>0</v>
      </c>
      <c r="AE841">
        <f t="shared" si="456"/>
        <v>1.2162400706090026</v>
      </c>
      <c r="AF841">
        <f t="shared" si="457"/>
        <v>0.20631067961165048</v>
      </c>
      <c r="AG841" s="3">
        <v>2.88</v>
      </c>
      <c r="AH841">
        <v>29.8</v>
      </c>
      <c r="AI841" s="3">
        <v>42.33</v>
      </c>
    </row>
    <row r="842" spans="1:40" x14ac:dyDescent="0.5">
      <c r="A842">
        <v>240</v>
      </c>
      <c r="B842">
        <v>260</v>
      </c>
      <c r="C842">
        <v>0.1</v>
      </c>
      <c r="D842">
        <v>50</v>
      </c>
      <c r="E842">
        <v>500</v>
      </c>
      <c r="F842">
        <v>250</v>
      </c>
      <c r="G842" s="3">
        <f t="shared" si="499"/>
        <v>5</v>
      </c>
      <c r="N842">
        <v>80</v>
      </c>
      <c r="Q842">
        <v>51.94</v>
      </c>
      <c r="R842">
        <v>6.63</v>
      </c>
      <c r="S842">
        <v>3.28</v>
      </c>
      <c r="T842">
        <v>35.29</v>
      </c>
      <c r="U842">
        <v>0</v>
      </c>
      <c r="V842">
        <f t="shared" si="500"/>
        <v>1.5317674239507124</v>
      </c>
      <c r="W842">
        <f t="shared" si="501"/>
        <v>0.50957835964574505</v>
      </c>
      <c r="X842">
        <v>2.86</v>
      </c>
      <c r="Y842" s="3">
        <v>22.18</v>
      </c>
      <c r="Z842">
        <v>71.08</v>
      </c>
      <c r="AA842">
        <v>6.7</v>
      </c>
      <c r="AB842">
        <v>3.32</v>
      </c>
      <c r="AC842">
        <v>14.03</v>
      </c>
      <c r="AD842">
        <v>0</v>
      </c>
      <c r="AE842">
        <f t="shared" si="456"/>
        <v>1.1311198649409118</v>
      </c>
      <c r="AF842">
        <f t="shared" si="457"/>
        <v>0.1480374226223973</v>
      </c>
      <c r="AG842" s="3">
        <v>4.87</v>
      </c>
      <c r="AH842">
        <v>31.11</v>
      </c>
      <c r="AI842" s="3">
        <v>47.13</v>
      </c>
    </row>
    <row r="843" spans="1:40" x14ac:dyDescent="0.5">
      <c r="A843">
        <v>120</v>
      </c>
      <c r="B843">
        <v>260</v>
      </c>
      <c r="C843">
        <v>0.1</v>
      </c>
      <c r="D843">
        <v>50</v>
      </c>
      <c r="E843">
        <v>500</v>
      </c>
      <c r="F843">
        <v>250</v>
      </c>
      <c r="G843" s="3">
        <f t="shared" si="499"/>
        <v>5</v>
      </c>
      <c r="N843">
        <v>80</v>
      </c>
      <c r="Q843">
        <v>51.94</v>
      </c>
      <c r="R843">
        <v>6.63</v>
      </c>
      <c r="S843">
        <v>3.28</v>
      </c>
      <c r="T843">
        <v>35.29</v>
      </c>
      <c r="U843">
        <v>0</v>
      </c>
      <c r="V843">
        <f t="shared" si="500"/>
        <v>1.5317674239507124</v>
      </c>
      <c r="W843">
        <f t="shared" si="501"/>
        <v>0.50957835964574505</v>
      </c>
      <c r="X843">
        <v>2.86</v>
      </c>
      <c r="Y843" s="3">
        <v>22.18</v>
      </c>
      <c r="Z843">
        <v>65.97</v>
      </c>
      <c r="AA843">
        <v>6.19</v>
      </c>
      <c r="AB843">
        <v>3.48</v>
      </c>
      <c r="AC843">
        <v>16.91</v>
      </c>
      <c r="AD843">
        <v>0</v>
      </c>
      <c r="AE843">
        <f t="shared" si="456"/>
        <v>1.1259663483401547</v>
      </c>
      <c r="AF843">
        <f t="shared" si="457"/>
        <v>0.19224647567075945</v>
      </c>
      <c r="AG843" s="3">
        <v>7.45</v>
      </c>
      <c r="AH843">
        <v>28.36</v>
      </c>
      <c r="AI843" s="3">
        <v>33.67</v>
      </c>
    </row>
    <row r="844" spans="1:40" x14ac:dyDescent="0.5">
      <c r="A844">
        <v>180</v>
      </c>
      <c r="B844">
        <v>260</v>
      </c>
      <c r="C844">
        <v>0.1</v>
      </c>
      <c r="D844">
        <v>50</v>
      </c>
      <c r="E844">
        <v>500</v>
      </c>
      <c r="F844">
        <v>250</v>
      </c>
      <c r="G844" s="3">
        <f t="shared" si="499"/>
        <v>5</v>
      </c>
      <c r="N844">
        <v>80</v>
      </c>
      <c r="Q844">
        <v>51.94</v>
      </c>
      <c r="R844">
        <v>6.63</v>
      </c>
      <c r="S844">
        <v>3.28</v>
      </c>
      <c r="T844">
        <v>35.29</v>
      </c>
      <c r="U844">
        <v>0</v>
      </c>
      <c r="V844">
        <f t="shared" si="500"/>
        <v>1.5317674239507124</v>
      </c>
      <c r="W844">
        <f t="shared" si="501"/>
        <v>0.50957835964574505</v>
      </c>
      <c r="X844">
        <v>2.86</v>
      </c>
      <c r="Y844" s="3">
        <v>22.18</v>
      </c>
      <c r="Z844">
        <v>68.319999999999993</v>
      </c>
      <c r="AA844">
        <v>6.25</v>
      </c>
      <c r="AB844">
        <v>3.44</v>
      </c>
      <c r="AC844">
        <v>15.97</v>
      </c>
      <c r="AD844">
        <v>0</v>
      </c>
      <c r="AE844">
        <f t="shared" si="456"/>
        <v>1.0977751756440284</v>
      </c>
      <c r="AF844">
        <f t="shared" si="457"/>
        <v>0.17531469555035131</v>
      </c>
      <c r="AG844" s="3">
        <v>6.02</v>
      </c>
      <c r="AH844">
        <v>29.38</v>
      </c>
      <c r="AI844" s="3">
        <v>38.61</v>
      </c>
    </row>
    <row r="845" spans="1:40" x14ac:dyDescent="0.5">
      <c r="A845">
        <v>240</v>
      </c>
      <c r="B845">
        <v>260</v>
      </c>
      <c r="C845">
        <v>0.1</v>
      </c>
      <c r="D845">
        <v>50</v>
      </c>
      <c r="E845">
        <v>500</v>
      </c>
      <c r="F845">
        <v>250</v>
      </c>
      <c r="G845" s="3">
        <f t="shared" si="499"/>
        <v>5</v>
      </c>
      <c r="N845">
        <v>70</v>
      </c>
      <c r="Q845">
        <v>51.94</v>
      </c>
      <c r="R845">
        <v>6.63</v>
      </c>
      <c r="S845">
        <v>3.28</v>
      </c>
      <c r="T845">
        <v>35.29</v>
      </c>
      <c r="U845">
        <v>0</v>
      </c>
      <c r="V845">
        <f t="shared" si="500"/>
        <v>1.5317674239507124</v>
      </c>
      <c r="W845">
        <f t="shared" si="501"/>
        <v>0.50957835964574505</v>
      </c>
      <c r="X845">
        <v>2.86</v>
      </c>
      <c r="Y845" s="3">
        <v>22.18</v>
      </c>
      <c r="Z845">
        <v>70.069999999999993</v>
      </c>
      <c r="AA845">
        <v>6.42</v>
      </c>
      <c r="AB845">
        <v>3.52</v>
      </c>
      <c r="AC845">
        <v>11.85</v>
      </c>
      <c r="AD845">
        <v>0</v>
      </c>
      <c r="AE845">
        <f t="shared" si="456"/>
        <v>1.0994719566148139</v>
      </c>
      <c r="AF845">
        <f t="shared" si="457"/>
        <v>0.1268374482660197</v>
      </c>
      <c r="AG845" s="3">
        <v>8.14</v>
      </c>
      <c r="AH845">
        <v>30.57</v>
      </c>
      <c r="AI845" s="3">
        <v>52.08</v>
      </c>
    </row>
    <row r="846" spans="1:40" x14ac:dyDescent="0.5">
      <c r="A846">
        <v>240</v>
      </c>
      <c r="B846">
        <v>260</v>
      </c>
      <c r="C846">
        <v>0.1</v>
      </c>
      <c r="D846">
        <v>50</v>
      </c>
      <c r="E846">
        <v>500</v>
      </c>
      <c r="F846">
        <v>250</v>
      </c>
      <c r="G846" s="3">
        <f t="shared" si="499"/>
        <v>5</v>
      </c>
      <c r="N846">
        <v>90</v>
      </c>
      <c r="Q846">
        <v>51.94</v>
      </c>
      <c r="R846">
        <v>6.63</v>
      </c>
      <c r="S846">
        <v>3.28</v>
      </c>
      <c r="T846">
        <v>35.29</v>
      </c>
      <c r="U846">
        <v>0</v>
      </c>
      <c r="V846">
        <f t="shared" si="500"/>
        <v>1.5317674239507124</v>
      </c>
      <c r="W846">
        <f t="shared" si="501"/>
        <v>0.50957835964574505</v>
      </c>
      <c r="X846">
        <v>2.86</v>
      </c>
      <c r="Y846" s="3">
        <v>22.18</v>
      </c>
      <c r="Z846">
        <v>68.989999999999995</v>
      </c>
      <c r="AA846">
        <v>6.64</v>
      </c>
      <c r="AB846">
        <v>4.74</v>
      </c>
      <c r="AC846">
        <v>16.399999999999999</v>
      </c>
      <c r="AD846">
        <v>0</v>
      </c>
      <c r="AE846">
        <f t="shared" si="456"/>
        <v>1.1549499927525728</v>
      </c>
      <c r="AF846">
        <f t="shared" si="457"/>
        <v>0.17828670821858239</v>
      </c>
      <c r="AG846" s="3">
        <v>2.69</v>
      </c>
      <c r="AH846">
        <v>30.03</v>
      </c>
      <c r="AI846" s="3">
        <v>36.08</v>
      </c>
    </row>
    <row r="847" spans="1:40" x14ac:dyDescent="0.5">
      <c r="A847">
        <v>20</v>
      </c>
      <c r="B847">
        <v>150</v>
      </c>
      <c r="C847">
        <v>0.1</v>
      </c>
      <c r="D847">
        <v>25</v>
      </c>
      <c r="E847">
        <v>500</v>
      </c>
      <c r="F847">
        <v>250</v>
      </c>
      <c r="G847" s="3">
        <f t="shared" si="499"/>
        <v>10</v>
      </c>
      <c r="N847">
        <v>15.13</v>
      </c>
      <c r="O847">
        <v>34.840000000000003</v>
      </c>
      <c r="P847" s="3">
        <v>40.729999999999997</v>
      </c>
      <c r="Q847">
        <v>48.3</v>
      </c>
      <c r="R847">
        <v>6.66</v>
      </c>
      <c r="S847">
        <v>1</v>
      </c>
      <c r="T847">
        <v>43.7</v>
      </c>
      <c r="U847">
        <v>0.34</v>
      </c>
      <c r="V847">
        <f t="shared" si="500"/>
        <v>1.654658385093168</v>
      </c>
      <c r="W847">
        <f t="shared" si="501"/>
        <v>0.67857142857142871</v>
      </c>
      <c r="X847">
        <v>3</v>
      </c>
      <c r="Y847" s="3">
        <v>19.45</v>
      </c>
      <c r="Z847">
        <v>49.58</v>
      </c>
      <c r="AA847">
        <v>5.91</v>
      </c>
      <c r="AB847">
        <v>0.92</v>
      </c>
      <c r="AC847">
        <v>43.37</v>
      </c>
      <c r="AD847">
        <v>0.22</v>
      </c>
      <c r="AE847">
        <f t="shared" si="456"/>
        <v>1.4304154901169825</v>
      </c>
      <c r="AF847">
        <f t="shared" si="457"/>
        <v>0.65606091165792657</v>
      </c>
      <c r="AG847" s="3">
        <v>4.01</v>
      </c>
      <c r="AH847">
        <v>20.010000000000002</v>
      </c>
      <c r="AI847" s="3">
        <v>76</v>
      </c>
      <c r="AJ847" s="2" t="s">
        <v>223</v>
      </c>
      <c r="AK847" t="s">
        <v>224</v>
      </c>
      <c r="AL847">
        <v>103</v>
      </c>
    </row>
    <row r="848" spans="1:40" x14ac:dyDescent="0.5">
      <c r="A848">
        <v>20</v>
      </c>
      <c r="B848">
        <v>250</v>
      </c>
      <c r="C848">
        <v>0.1</v>
      </c>
      <c r="D848">
        <v>25</v>
      </c>
      <c r="E848">
        <v>500</v>
      </c>
      <c r="F848">
        <v>250</v>
      </c>
      <c r="G848" s="3">
        <f t="shared" ref="G848:G850" si="502">F848/D848</f>
        <v>10</v>
      </c>
      <c r="N848">
        <v>15.13</v>
      </c>
      <c r="O848">
        <v>34.840000000000003</v>
      </c>
      <c r="P848" s="3">
        <v>40.729999999999997</v>
      </c>
      <c r="Q848">
        <v>48.3</v>
      </c>
      <c r="R848">
        <v>6.66</v>
      </c>
      <c r="S848">
        <v>1</v>
      </c>
      <c r="T848">
        <v>43.7</v>
      </c>
      <c r="U848">
        <v>0.34</v>
      </c>
      <c r="V848">
        <f t="shared" ref="V848:V849" si="503">(R848/1)/(Q848/12)</f>
        <v>1.654658385093168</v>
      </c>
      <c r="W848">
        <f t="shared" ref="W848:W850" si="504">(T848/16)/(Q848/12)</f>
        <v>0.67857142857142871</v>
      </c>
      <c r="X848">
        <v>3</v>
      </c>
      <c r="Y848" s="3">
        <v>19.45</v>
      </c>
      <c r="Z848">
        <v>54.3</v>
      </c>
      <c r="AA848">
        <v>4.17</v>
      </c>
      <c r="AB848">
        <v>1.02</v>
      </c>
      <c r="AC848">
        <v>38.29</v>
      </c>
      <c r="AD848">
        <v>0.24</v>
      </c>
      <c r="AE848">
        <f t="shared" si="456"/>
        <v>0.92154696132596692</v>
      </c>
      <c r="AF848">
        <f t="shared" si="457"/>
        <v>0.52886740331491722</v>
      </c>
      <c r="AG848" s="3">
        <v>4.16</v>
      </c>
      <c r="AH848">
        <v>22.07</v>
      </c>
      <c r="AI848" s="3">
        <v>62</v>
      </c>
    </row>
    <row r="849" spans="1:38" x14ac:dyDescent="0.5">
      <c r="A849">
        <v>20</v>
      </c>
      <c r="B849">
        <v>350</v>
      </c>
      <c r="C849">
        <v>0.1</v>
      </c>
      <c r="D849">
        <v>25</v>
      </c>
      <c r="E849">
        <v>500</v>
      </c>
      <c r="F849">
        <v>250</v>
      </c>
      <c r="G849" s="3">
        <f t="shared" si="502"/>
        <v>10</v>
      </c>
      <c r="N849">
        <v>15.13</v>
      </c>
      <c r="O849">
        <v>34.840000000000003</v>
      </c>
      <c r="P849" s="3">
        <v>40.729999999999997</v>
      </c>
      <c r="Q849">
        <v>48.3</v>
      </c>
      <c r="R849">
        <v>6.66</v>
      </c>
      <c r="S849">
        <v>1</v>
      </c>
      <c r="T849">
        <v>43.7</v>
      </c>
      <c r="U849">
        <v>0.34</v>
      </c>
      <c r="V849">
        <f t="shared" si="503"/>
        <v>1.654658385093168</v>
      </c>
      <c r="W849">
        <f t="shared" si="504"/>
        <v>0.67857142857142871</v>
      </c>
      <c r="X849">
        <v>3</v>
      </c>
      <c r="Y849" s="3">
        <v>19.45</v>
      </c>
      <c r="Z849">
        <v>66.02</v>
      </c>
      <c r="AA849">
        <v>4.1500000000000004</v>
      </c>
      <c r="AB849">
        <v>1.1200000000000001</v>
      </c>
      <c r="AC849">
        <v>28.43</v>
      </c>
      <c r="AD849">
        <v>0.28000000000000003</v>
      </c>
      <c r="AE849">
        <f t="shared" si="456"/>
        <v>0.75431687367464417</v>
      </c>
      <c r="AF849">
        <f t="shared" si="457"/>
        <v>0.3229703120266586</v>
      </c>
      <c r="AG849" s="3">
        <v>4.32</v>
      </c>
      <c r="AH849">
        <v>27.2</v>
      </c>
      <c r="AI849" s="3">
        <v>49</v>
      </c>
    </row>
    <row r="850" spans="1:38" x14ac:dyDescent="0.5">
      <c r="A850">
        <v>480</v>
      </c>
      <c r="B850">
        <v>220</v>
      </c>
      <c r="C850">
        <v>0.1</v>
      </c>
      <c r="D850">
        <v>25</v>
      </c>
      <c r="E850">
        <v>250</v>
      </c>
      <c r="F850">
        <v>100</v>
      </c>
      <c r="G850" s="3">
        <f t="shared" si="502"/>
        <v>4</v>
      </c>
      <c r="Q850">
        <v>29.84</v>
      </c>
      <c r="R850">
        <v>8</v>
      </c>
      <c r="S850">
        <v>1.2</v>
      </c>
      <c r="T850">
        <v>55.023000000000003</v>
      </c>
      <c r="U850">
        <v>5.9370000000000003</v>
      </c>
      <c r="V850">
        <f>(R850/1)/(Q850/12)</f>
        <v>3.2171581769436997</v>
      </c>
      <c r="W850">
        <f t="shared" si="504"/>
        <v>1.3829507372654155</v>
      </c>
      <c r="X850">
        <v>40.5</v>
      </c>
      <c r="Y850" s="3">
        <v>10.27</v>
      </c>
      <c r="Z850">
        <v>43.79</v>
      </c>
      <c r="AA850">
        <v>5.26</v>
      </c>
      <c r="AB850">
        <v>1.44</v>
      </c>
      <c r="AC850">
        <f>100-(Z850+AA850+AB850+AD850)</f>
        <v>44.620000000000005</v>
      </c>
      <c r="AD850">
        <v>4.8899999999999997</v>
      </c>
      <c r="AE850">
        <f t="shared" si="456"/>
        <v>1.4414249828728021</v>
      </c>
      <c r="AF850">
        <f t="shared" si="457"/>
        <v>0.76421557433203935</v>
      </c>
      <c r="AG850" s="3">
        <v>30</v>
      </c>
      <c r="AH850">
        <v>16.63</v>
      </c>
      <c r="AI850" s="3">
        <v>8.5</v>
      </c>
      <c r="AJ850" s="2" t="s">
        <v>225</v>
      </c>
      <c r="AK850" t="s">
        <v>226</v>
      </c>
      <c r="AL850">
        <v>104</v>
      </c>
    </row>
    <row r="851" spans="1:38" x14ac:dyDescent="0.5">
      <c r="A851">
        <v>480</v>
      </c>
      <c r="B851">
        <v>245</v>
      </c>
      <c r="C851">
        <v>0.1</v>
      </c>
      <c r="D851">
        <v>25</v>
      </c>
      <c r="E851">
        <v>250</v>
      </c>
      <c r="F851">
        <v>100</v>
      </c>
      <c r="G851" s="3">
        <f t="shared" ref="G851:G854" si="505">F851/D851</f>
        <v>4</v>
      </c>
      <c r="Q851">
        <v>29.84</v>
      </c>
      <c r="R851">
        <v>8</v>
      </c>
      <c r="S851">
        <v>1.2</v>
      </c>
      <c r="T851">
        <v>55.023000000000003</v>
      </c>
      <c r="U851">
        <v>5.9370000000000003</v>
      </c>
      <c r="V851">
        <f t="shared" ref="V851:V854" si="506">(R851/1)/(Q851/12)</f>
        <v>3.2171581769436997</v>
      </c>
      <c r="W851">
        <f t="shared" ref="W851:W854" si="507">(T851/16)/(Q851/12)</f>
        <v>1.3829507372654155</v>
      </c>
      <c r="X851">
        <v>40.5</v>
      </c>
      <c r="Y851" s="3">
        <v>10.27</v>
      </c>
      <c r="Z851">
        <v>55.67</v>
      </c>
      <c r="AA851">
        <v>6.26</v>
      </c>
      <c r="AB851">
        <v>1.96</v>
      </c>
      <c r="AC851">
        <f t="shared" ref="AC851:AC856" si="508">100-(Z851+AA851+AB851+AD851)</f>
        <v>31.539999999999992</v>
      </c>
      <c r="AD851">
        <v>4.57</v>
      </c>
      <c r="AE851">
        <f t="shared" si="456"/>
        <v>1.3493802766301417</v>
      </c>
      <c r="AF851">
        <f t="shared" ref="AF851:AF918" si="509">(AC851/16)/(Z851/12)</f>
        <v>0.42491467576791792</v>
      </c>
      <c r="AG851" s="3">
        <v>23.1</v>
      </c>
      <c r="AH851">
        <v>24.27</v>
      </c>
      <c r="AI851" s="3">
        <v>12</v>
      </c>
    </row>
    <row r="852" spans="1:38" x14ac:dyDescent="0.5">
      <c r="A852">
        <v>480</v>
      </c>
      <c r="B852">
        <v>276</v>
      </c>
      <c r="C852">
        <v>0.1</v>
      </c>
      <c r="D852">
        <v>25</v>
      </c>
      <c r="E852">
        <v>250</v>
      </c>
      <c r="F852">
        <v>100</v>
      </c>
      <c r="G852" s="3">
        <f t="shared" si="505"/>
        <v>4</v>
      </c>
      <c r="Q852">
        <v>29.84</v>
      </c>
      <c r="R852">
        <v>8</v>
      </c>
      <c r="S852">
        <v>1.2</v>
      </c>
      <c r="T852">
        <v>55.023000000000003</v>
      </c>
      <c r="U852">
        <v>5.9370000000000003</v>
      </c>
      <c r="V852">
        <f t="shared" si="506"/>
        <v>3.2171581769436997</v>
      </c>
      <c r="W852">
        <f t="shared" si="507"/>
        <v>1.3829507372654155</v>
      </c>
      <c r="X852">
        <v>40.5</v>
      </c>
      <c r="Y852" s="3">
        <v>10.27</v>
      </c>
      <c r="Z852">
        <v>61.74</v>
      </c>
      <c r="AA852">
        <v>7.54</v>
      </c>
      <c r="AB852">
        <v>2.0099999999999998</v>
      </c>
      <c r="AC852">
        <f t="shared" si="508"/>
        <v>25.179999999999993</v>
      </c>
      <c r="AD852">
        <v>3.53</v>
      </c>
      <c r="AE852">
        <f t="shared" si="456"/>
        <v>1.4655004859086491</v>
      </c>
      <c r="AF852">
        <f t="shared" si="509"/>
        <v>0.30587949465500475</v>
      </c>
      <c r="AG852" s="3">
        <v>18.899999999999999</v>
      </c>
      <c r="AH852">
        <v>26.3</v>
      </c>
      <c r="AI852" s="3">
        <v>13</v>
      </c>
    </row>
    <row r="853" spans="1:38" x14ac:dyDescent="0.5">
      <c r="A853">
        <v>480</v>
      </c>
      <c r="B853">
        <v>285</v>
      </c>
      <c r="C853">
        <v>0.1</v>
      </c>
      <c r="D853">
        <v>25</v>
      </c>
      <c r="E853">
        <v>250</v>
      </c>
      <c r="F853">
        <v>100</v>
      </c>
      <c r="G853" s="3">
        <f t="shared" si="505"/>
        <v>4</v>
      </c>
      <c r="Q853">
        <v>29.84</v>
      </c>
      <c r="R853">
        <v>8</v>
      </c>
      <c r="S853">
        <v>1.2</v>
      </c>
      <c r="T853">
        <v>55.023000000000003</v>
      </c>
      <c r="U853">
        <v>5.9370000000000003</v>
      </c>
      <c r="V853">
        <f t="shared" si="506"/>
        <v>3.2171581769436997</v>
      </c>
      <c r="W853">
        <f t="shared" si="507"/>
        <v>1.3829507372654155</v>
      </c>
      <c r="X853">
        <v>40.5</v>
      </c>
      <c r="Y853" s="3">
        <v>10.27</v>
      </c>
      <c r="Z853">
        <v>61.86</v>
      </c>
      <c r="AA853">
        <v>7.06</v>
      </c>
      <c r="AB853">
        <v>1.84</v>
      </c>
      <c r="AC853">
        <f t="shared" si="508"/>
        <v>25.89</v>
      </c>
      <c r="AD853">
        <v>3.35</v>
      </c>
      <c r="AE853">
        <f t="shared" si="456"/>
        <v>1.3695441319107662</v>
      </c>
      <c r="AF853">
        <f t="shared" si="509"/>
        <v>0.31389427740058196</v>
      </c>
      <c r="AG853" s="3">
        <v>20</v>
      </c>
      <c r="AH853">
        <v>26.35</v>
      </c>
      <c r="AI853" s="3">
        <v>12</v>
      </c>
    </row>
    <row r="854" spans="1:38" x14ac:dyDescent="0.5">
      <c r="A854">
        <v>480</v>
      </c>
      <c r="B854">
        <v>220</v>
      </c>
      <c r="C854">
        <v>0.1</v>
      </c>
      <c r="D854">
        <v>25</v>
      </c>
      <c r="E854">
        <v>250</v>
      </c>
      <c r="F854">
        <v>100</v>
      </c>
      <c r="G854" s="3">
        <f t="shared" si="505"/>
        <v>4</v>
      </c>
      <c r="Q854">
        <v>30.68</v>
      </c>
      <c r="R854">
        <v>8</v>
      </c>
      <c r="S854">
        <v>1.2</v>
      </c>
      <c r="T854">
        <v>54.183</v>
      </c>
      <c r="U854">
        <v>5.9370000000000003</v>
      </c>
      <c r="V854">
        <f t="shared" si="506"/>
        <v>3.1290743155149934</v>
      </c>
      <c r="W854">
        <f t="shared" si="507"/>
        <v>1.3245518252933508</v>
      </c>
      <c r="X854">
        <v>40.5</v>
      </c>
      <c r="Y854" s="3">
        <v>11</v>
      </c>
      <c r="Z854">
        <v>54.53</v>
      </c>
      <c r="AA854">
        <v>6.93</v>
      </c>
      <c r="AB854">
        <v>1.94</v>
      </c>
      <c r="AC854">
        <f t="shared" si="508"/>
        <v>33.480000000000004</v>
      </c>
      <c r="AD854">
        <v>3.12</v>
      </c>
      <c r="AE854">
        <f t="shared" si="456"/>
        <v>1.5250320924261875</v>
      </c>
      <c r="AF854">
        <f t="shared" si="509"/>
        <v>0.46048046946634885</v>
      </c>
      <c r="AG854" s="3">
        <v>14.5</v>
      </c>
      <c r="AH854">
        <v>22.65</v>
      </c>
      <c r="AI854" s="3">
        <v>19.899999999999999</v>
      </c>
    </row>
    <row r="855" spans="1:38" x14ac:dyDescent="0.5">
      <c r="A855">
        <v>480</v>
      </c>
      <c r="B855">
        <v>245</v>
      </c>
      <c r="C855">
        <v>0.1</v>
      </c>
      <c r="D855">
        <v>25</v>
      </c>
      <c r="E855">
        <v>250</v>
      </c>
      <c r="F855">
        <v>100</v>
      </c>
      <c r="G855" s="3">
        <f t="shared" ref="G855:G858" si="510">F855/D855</f>
        <v>4</v>
      </c>
      <c r="Q855">
        <v>30.68</v>
      </c>
      <c r="R855">
        <v>8</v>
      </c>
      <c r="S855">
        <v>1.2</v>
      </c>
      <c r="T855">
        <v>54.183</v>
      </c>
      <c r="U855">
        <v>5.9370000000000003</v>
      </c>
      <c r="V855">
        <f t="shared" ref="V855:V858" si="511">(R855/1)/(Q855/12)</f>
        <v>3.1290743155149934</v>
      </c>
      <c r="W855">
        <f t="shared" ref="W855:W858" si="512">(T855/16)/(Q855/12)</f>
        <v>1.3245518252933508</v>
      </c>
      <c r="X855">
        <v>40.5</v>
      </c>
      <c r="Y855" s="3">
        <v>11</v>
      </c>
      <c r="Z855">
        <v>57.39</v>
      </c>
      <c r="AA855">
        <v>8.23</v>
      </c>
      <c r="AB855">
        <v>1.91</v>
      </c>
      <c r="AC855">
        <f t="shared" si="508"/>
        <v>30.14</v>
      </c>
      <c r="AD855">
        <v>2.33</v>
      </c>
      <c r="AE855">
        <f t="shared" si="456"/>
        <v>1.7208572922111869</v>
      </c>
      <c r="AF855">
        <f t="shared" si="509"/>
        <v>0.39388395190799796</v>
      </c>
      <c r="AG855" s="3">
        <v>16.5</v>
      </c>
      <c r="AH855">
        <v>24.78</v>
      </c>
      <c r="AI855" s="3">
        <v>19</v>
      </c>
    </row>
    <row r="856" spans="1:38" x14ac:dyDescent="0.5">
      <c r="A856">
        <v>480</v>
      </c>
      <c r="B856">
        <v>276</v>
      </c>
      <c r="C856">
        <v>0.1</v>
      </c>
      <c r="D856">
        <v>25</v>
      </c>
      <c r="E856">
        <v>250</v>
      </c>
      <c r="F856">
        <v>100</v>
      </c>
      <c r="G856" s="3">
        <f t="shared" si="510"/>
        <v>4</v>
      </c>
      <c r="Q856">
        <v>30.68</v>
      </c>
      <c r="R856">
        <v>8</v>
      </c>
      <c r="S856">
        <v>1.2</v>
      </c>
      <c r="T856">
        <v>54.183</v>
      </c>
      <c r="U856">
        <v>5.9370000000000003</v>
      </c>
      <c r="V856">
        <f t="shared" si="511"/>
        <v>3.1290743155149934</v>
      </c>
      <c r="W856">
        <f t="shared" si="512"/>
        <v>1.3245518252933508</v>
      </c>
      <c r="X856">
        <v>40.5</v>
      </c>
      <c r="Y856" s="3">
        <v>11</v>
      </c>
      <c r="Z856">
        <v>67.3</v>
      </c>
      <c r="AA856">
        <v>10.59</v>
      </c>
      <c r="AB856">
        <v>2.02</v>
      </c>
      <c r="AC856">
        <f t="shared" si="508"/>
        <v>18.13000000000001</v>
      </c>
      <c r="AD856">
        <v>1.96</v>
      </c>
      <c r="AE856">
        <f t="shared" si="456"/>
        <v>1.888261515601783</v>
      </c>
      <c r="AF856">
        <f t="shared" si="509"/>
        <v>0.20204309063893028</v>
      </c>
      <c r="AG856" s="3">
        <v>16.8</v>
      </c>
      <c r="AH856">
        <v>29.69</v>
      </c>
      <c r="AI856" s="3">
        <v>17.600000000000001</v>
      </c>
    </row>
    <row r="857" spans="1:38" x14ac:dyDescent="0.5">
      <c r="A857">
        <v>480</v>
      </c>
      <c r="B857">
        <v>285</v>
      </c>
      <c r="C857">
        <v>0.1</v>
      </c>
      <c r="D857">
        <v>25</v>
      </c>
      <c r="E857">
        <v>250</v>
      </c>
      <c r="F857">
        <v>100</v>
      </c>
      <c r="G857" s="3">
        <f t="shared" si="510"/>
        <v>4</v>
      </c>
      <c r="Q857">
        <v>30.68</v>
      </c>
      <c r="R857">
        <v>8</v>
      </c>
      <c r="S857">
        <v>1.2</v>
      </c>
      <c r="T857">
        <v>54.183</v>
      </c>
      <c r="U857">
        <v>5.9370000000000003</v>
      </c>
      <c r="V857">
        <f t="shared" si="511"/>
        <v>3.1290743155149934</v>
      </c>
      <c r="W857">
        <f t="shared" si="512"/>
        <v>1.3245518252933508</v>
      </c>
      <c r="X857">
        <v>40.5</v>
      </c>
      <c r="Y857" s="3">
        <v>11</v>
      </c>
      <c r="Z857">
        <v>67.52</v>
      </c>
      <c r="AA857">
        <v>9.76</v>
      </c>
      <c r="AB857">
        <v>1.9</v>
      </c>
      <c r="AC857">
        <v>19.02</v>
      </c>
      <c r="AD857">
        <v>1.8</v>
      </c>
      <c r="AE857">
        <f t="shared" si="456"/>
        <v>1.7345971563981044</v>
      </c>
      <c r="AF857">
        <f t="shared" si="509"/>
        <v>0.21127073459715642</v>
      </c>
      <c r="AG857" s="3">
        <v>15</v>
      </c>
      <c r="AH857">
        <v>29.78</v>
      </c>
      <c r="AI857" s="3">
        <v>17.399999999999999</v>
      </c>
    </row>
    <row r="858" spans="1:38" x14ac:dyDescent="0.5">
      <c r="A858">
        <v>30</v>
      </c>
      <c r="B858">
        <v>200</v>
      </c>
      <c r="C858">
        <v>0.1</v>
      </c>
      <c r="D858">
        <v>30</v>
      </c>
      <c r="E858">
        <v>500</v>
      </c>
      <c r="F858">
        <v>300</v>
      </c>
      <c r="G858" s="3">
        <f t="shared" si="510"/>
        <v>10</v>
      </c>
      <c r="O858">
        <v>34.299999999999997</v>
      </c>
      <c r="P858" s="3">
        <v>54</v>
      </c>
      <c r="Q858">
        <v>63.8</v>
      </c>
      <c r="R858">
        <v>4.0999999999999996</v>
      </c>
      <c r="S858">
        <v>1.5</v>
      </c>
      <c r="T858">
        <v>26</v>
      </c>
      <c r="U858">
        <v>4.5999999999999996</v>
      </c>
      <c r="V858">
        <f t="shared" si="511"/>
        <v>0.77115987460815039</v>
      </c>
      <c r="W858">
        <f t="shared" si="512"/>
        <v>0.30564263322884017</v>
      </c>
      <c r="X858">
        <v>11.1</v>
      </c>
      <c r="Y858" s="3">
        <v>27.4</v>
      </c>
      <c r="Z858">
        <v>71.400000000000006</v>
      </c>
      <c r="AA858">
        <v>4.8</v>
      </c>
      <c r="AB858">
        <v>1.8</v>
      </c>
      <c r="AC858">
        <v>19</v>
      </c>
      <c r="AD858">
        <v>3</v>
      </c>
      <c r="AE858">
        <f t="shared" si="456"/>
        <v>0.80672268907563016</v>
      </c>
      <c r="AF858">
        <f t="shared" si="509"/>
        <v>0.19957983193277309</v>
      </c>
      <c r="AG858" s="3">
        <v>6.6</v>
      </c>
      <c r="AH858">
        <v>29.8</v>
      </c>
      <c r="AI858" s="3">
        <v>97</v>
      </c>
      <c r="AJ858" s="2" t="s">
        <v>227</v>
      </c>
      <c r="AK858" t="s">
        <v>228</v>
      </c>
      <c r="AL858">
        <v>105</v>
      </c>
    </row>
    <row r="859" spans="1:38" x14ac:dyDescent="0.5">
      <c r="A859">
        <v>30</v>
      </c>
      <c r="B859">
        <v>230</v>
      </c>
      <c r="C859">
        <v>0.1</v>
      </c>
      <c r="D859">
        <v>30</v>
      </c>
      <c r="E859">
        <v>500</v>
      </c>
      <c r="F859">
        <v>300</v>
      </c>
      <c r="G859" s="3">
        <f t="shared" ref="G859:G861" si="513">F859/D859</f>
        <v>10</v>
      </c>
      <c r="O859">
        <v>34.299999999999997</v>
      </c>
      <c r="P859" s="3">
        <v>54</v>
      </c>
      <c r="Q859">
        <v>63.8</v>
      </c>
      <c r="R859">
        <v>4.0999999999999996</v>
      </c>
      <c r="S859">
        <v>1.5</v>
      </c>
      <c r="T859">
        <v>26</v>
      </c>
      <c r="U859">
        <v>4.5999999999999996</v>
      </c>
      <c r="V859">
        <f t="shared" ref="V859:V861" si="514">(R859/1)/(Q859/12)</f>
        <v>0.77115987460815039</v>
      </c>
      <c r="W859">
        <f t="shared" ref="W859:W861" si="515">(T859/16)/(Q859/12)</f>
        <v>0.30564263322884017</v>
      </c>
      <c r="X859">
        <v>11.1</v>
      </c>
      <c r="Y859" s="3">
        <v>27.4</v>
      </c>
      <c r="Z859">
        <v>69.2</v>
      </c>
      <c r="AA859">
        <v>4.5999999999999996</v>
      </c>
      <c r="AB859">
        <v>1.7</v>
      </c>
      <c r="AC859">
        <v>20.8</v>
      </c>
      <c r="AD859">
        <v>3.8</v>
      </c>
      <c r="AE859">
        <f t="shared" si="456"/>
        <v>0.79768786127167624</v>
      </c>
      <c r="AF859">
        <f t="shared" si="509"/>
        <v>0.22543352601156069</v>
      </c>
      <c r="AG859" s="3">
        <v>9.5</v>
      </c>
      <c r="AH859">
        <v>29</v>
      </c>
      <c r="AI859" s="3">
        <v>99.2</v>
      </c>
    </row>
    <row r="860" spans="1:38" x14ac:dyDescent="0.5">
      <c r="A860">
        <v>30</v>
      </c>
      <c r="B860">
        <v>260</v>
      </c>
      <c r="C860">
        <v>0.1</v>
      </c>
      <c r="D860">
        <v>30</v>
      </c>
      <c r="E860">
        <v>500</v>
      </c>
      <c r="F860">
        <v>300</v>
      </c>
      <c r="G860" s="3">
        <f t="shared" si="513"/>
        <v>10</v>
      </c>
      <c r="O860">
        <v>34.299999999999997</v>
      </c>
      <c r="P860" s="3">
        <v>54</v>
      </c>
      <c r="Q860">
        <v>63.8</v>
      </c>
      <c r="R860">
        <v>4.0999999999999996</v>
      </c>
      <c r="S860">
        <v>1.5</v>
      </c>
      <c r="T860">
        <v>26</v>
      </c>
      <c r="U860">
        <v>4.5999999999999996</v>
      </c>
      <c r="V860">
        <f t="shared" si="514"/>
        <v>0.77115987460815039</v>
      </c>
      <c r="W860">
        <f t="shared" si="515"/>
        <v>0.30564263322884017</v>
      </c>
      <c r="X860">
        <v>11.1</v>
      </c>
      <c r="Y860" s="3">
        <v>27.4</v>
      </c>
      <c r="Z860">
        <v>69.099999999999994</v>
      </c>
      <c r="AA860">
        <v>4.3</v>
      </c>
      <c r="AB860">
        <v>1.7</v>
      </c>
      <c r="AC860">
        <v>21.3</v>
      </c>
      <c r="AD860">
        <v>3.5</v>
      </c>
      <c r="AE860">
        <f t="shared" si="456"/>
        <v>0.74674384949348771</v>
      </c>
      <c r="AF860">
        <f t="shared" si="509"/>
        <v>0.23118668596237341</v>
      </c>
      <c r="AG860" s="3">
        <v>6.6</v>
      </c>
      <c r="AH860">
        <v>28.1</v>
      </c>
      <c r="AI860" s="3">
        <v>96.1</v>
      </c>
    </row>
    <row r="861" spans="1:38" x14ac:dyDescent="0.5">
      <c r="A861">
        <v>30</v>
      </c>
      <c r="B861">
        <v>200</v>
      </c>
      <c r="C861">
        <v>0.1</v>
      </c>
      <c r="D861">
        <v>30</v>
      </c>
      <c r="E861">
        <v>500</v>
      </c>
      <c r="F861">
        <v>300</v>
      </c>
      <c r="G861" s="3">
        <f t="shared" si="513"/>
        <v>10</v>
      </c>
      <c r="O861">
        <v>84.5</v>
      </c>
      <c r="P861" s="3">
        <v>12.8</v>
      </c>
      <c r="Q861">
        <v>48.7</v>
      </c>
      <c r="R861">
        <v>5.7</v>
      </c>
      <c r="S861">
        <v>0.2</v>
      </c>
      <c r="T861">
        <v>45.4</v>
      </c>
      <c r="U861">
        <v>0</v>
      </c>
      <c r="V861">
        <f t="shared" si="514"/>
        <v>1.4045174537987679</v>
      </c>
      <c r="W861">
        <f t="shared" si="515"/>
        <v>0.69917864476386027</v>
      </c>
      <c r="X861">
        <v>1.3</v>
      </c>
      <c r="Y861" s="3">
        <v>19.7</v>
      </c>
      <c r="Z861">
        <v>52.4</v>
      </c>
      <c r="AA861">
        <v>5.8</v>
      </c>
      <c r="AB861">
        <v>0.3</v>
      </c>
      <c r="AC861">
        <v>41.2</v>
      </c>
      <c r="AD861">
        <v>0</v>
      </c>
      <c r="AE861">
        <f t="shared" si="456"/>
        <v>1.3282442748091603</v>
      </c>
      <c r="AF861">
        <f t="shared" si="509"/>
        <v>0.58969465648854968</v>
      </c>
      <c r="AG861" s="3">
        <v>0.1</v>
      </c>
      <c r="AH861">
        <v>20.399999999999999</v>
      </c>
      <c r="AI861" s="3">
        <v>68.8</v>
      </c>
    </row>
    <row r="862" spans="1:38" x14ac:dyDescent="0.5">
      <c r="A862">
        <v>30</v>
      </c>
      <c r="B862">
        <v>230</v>
      </c>
      <c r="C862">
        <v>0.1</v>
      </c>
      <c r="D862">
        <v>30</v>
      </c>
      <c r="E862">
        <v>500</v>
      </c>
      <c r="F862">
        <v>300</v>
      </c>
      <c r="G862" s="3">
        <f t="shared" ref="G862:G864" si="516">F862/D862</f>
        <v>10</v>
      </c>
      <c r="O862">
        <v>84.5</v>
      </c>
      <c r="P862" s="3">
        <v>12.8</v>
      </c>
      <c r="Q862">
        <v>48.7</v>
      </c>
      <c r="R862">
        <v>5.7</v>
      </c>
      <c r="S862">
        <v>0.2</v>
      </c>
      <c r="T862">
        <v>45.4</v>
      </c>
      <c r="U862">
        <v>0</v>
      </c>
      <c r="V862">
        <f t="shared" ref="V862:V863" si="517">(R862/1)/(Q862/12)</f>
        <v>1.4045174537987679</v>
      </c>
      <c r="W862">
        <f t="shared" ref="W862:W863" si="518">(T862/16)/(Q862/12)</f>
        <v>0.69917864476386027</v>
      </c>
      <c r="X862">
        <v>1.3</v>
      </c>
      <c r="Y862" s="3">
        <v>19.7</v>
      </c>
      <c r="Z862">
        <v>59.3</v>
      </c>
      <c r="AA862">
        <v>5.4</v>
      </c>
      <c r="AB862">
        <v>0.3</v>
      </c>
      <c r="AC862">
        <v>35</v>
      </c>
      <c r="AD862">
        <v>0</v>
      </c>
      <c r="AE862">
        <f t="shared" si="456"/>
        <v>1.0927487352445195</v>
      </c>
      <c r="AF862">
        <f t="shared" si="509"/>
        <v>0.44266441821247893</v>
      </c>
      <c r="AG862" s="3">
        <v>0</v>
      </c>
      <c r="AH862">
        <v>24.6</v>
      </c>
      <c r="AI862" s="3">
        <v>57.2</v>
      </c>
    </row>
    <row r="863" spans="1:38" x14ac:dyDescent="0.5">
      <c r="A863">
        <v>30</v>
      </c>
      <c r="B863">
        <v>260</v>
      </c>
      <c r="C863">
        <v>0.1</v>
      </c>
      <c r="D863">
        <v>30</v>
      </c>
      <c r="E863">
        <v>500</v>
      </c>
      <c r="F863">
        <v>300</v>
      </c>
      <c r="G863" s="3">
        <f t="shared" si="516"/>
        <v>10</v>
      </c>
      <c r="O863">
        <v>84.5</v>
      </c>
      <c r="P863" s="3">
        <v>12.8</v>
      </c>
      <c r="Q863">
        <v>48.7</v>
      </c>
      <c r="R863">
        <v>5.7</v>
      </c>
      <c r="S863">
        <v>0.2</v>
      </c>
      <c r="T863">
        <v>45.4</v>
      </c>
      <c r="U863">
        <v>0</v>
      </c>
      <c r="V863">
        <f t="shared" si="517"/>
        <v>1.4045174537987679</v>
      </c>
      <c r="W863">
        <f t="shared" si="518"/>
        <v>0.69917864476386027</v>
      </c>
      <c r="X863">
        <v>1.3</v>
      </c>
      <c r="Y863" s="3">
        <v>19.7</v>
      </c>
      <c r="Z863">
        <v>69.599999999999994</v>
      </c>
      <c r="AA863">
        <v>4.4000000000000004</v>
      </c>
      <c r="AB863">
        <v>0.3</v>
      </c>
      <c r="AC863">
        <v>25.6</v>
      </c>
      <c r="AD863">
        <v>0</v>
      </c>
      <c r="AE863">
        <f t="shared" si="456"/>
        <v>0.75862068965517249</v>
      </c>
      <c r="AF863">
        <f t="shared" si="509"/>
        <v>0.27586206896551724</v>
      </c>
      <c r="AG863" s="3">
        <v>0.2</v>
      </c>
      <c r="AH863">
        <v>28.6</v>
      </c>
      <c r="AI863" s="3">
        <v>46.2</v>
      </c>
    </row>
    <row r="864" spans="1:38" x14ac:dyDescent="0.5">
      <c r="A864">
        <v>30</v>
      </c>
      <c r="B864">
        <v>200</v>
      </c>
      <c r="C864">
        <v>0.1</v>
      </c>
      <c r="D864">
        <v>30</v>
      </c>
      <c r="E864">
        <v>500</v>
      </c>
      <c r="F864">
        <v>300</v>
      </c>
      <c r="G864" s="3">
        <f t="shared" si="516"/>
        <v>10</v>
      </c>
      <c r="O864">
        <v>59.4</v>
      </c>
      <c r="P864" s="3">
        <v>33.4</v>
      </c>
      <c r="Q864">
        <v>56.25</v>
      </c>
      <c r="R864">
        <v>4.9000000000000004</v>
      </c>
      <c r="S864">
        <v>0.85</v>
      </c>
      <c r="T864">
        <v>35.700000000000003</v>
      </c>
      <c r="U864">
        <v>2.2999999999999998</v>
      </c>
      <c r="V864">
        <f>(R864/1)/(Q864/12)</f>
        <v>1.0453333333333334</v>
      </c>
      <c r="W864">
        <f>(T864/16)/(Q864/12)</f>
        <v>0.47600000000000003</v>
      </c>
      <c r="X864">
        <v>6.2</v>
      </c>
      <c r="Y864" s="3">
        <v>23.55</v>
      </c>
      <c r="Z864">
        <v>58.2</v>
      </c>
      <c r="AA864">
        <v>5.3</v>
      </c>
      <c r="AB864">
        <v>0.8</v>
      </c>
      <c r="AC864">
        <v>34.4</v>
      </c>
      <c r="AD864">
        <v>1.2</v>
      </c>
      <c r="AE864">
        <f t="shared" si="456"/>
        <v>1.0927835051546391</v>
      </c>
      <c r="AF864">
        <f t="shared" si="509"/>
        <v>0.44329896907216487</v>
      </c>
      <c r="AG864" s="3">
        <v>3.7</v>
      </c>
      <c r="AH864">
        <v>24.8</v>
      </c>
      <c r="AI864" s="3">
        <v>80.5</v>
      </c>
    </row>
    <row r="865" spans="1:40" x14ac:dyDescent="0.5">
      <c r="A865">
        <v>30</v>
      </c>
      <c r="B865">
        <v>230</v>
      </c>
      <c r="C865">
        <v>0.1</v>
      </c>
      <c r="D865">
        <v>30</v>
      </c>
      <c r="E865">
        <v>500</v>
      </c>
      <c r="F865">
        <v>300</v>
      </c>
      <c r="G865" s="3">
        <f t="shared" ref="G865:G867" si="519">F865/D865</f>
        <v>10</v>
      </c>
      <c r="O865">
        <v>59.4</v>
      </c>
      <c r="P865" s="3">
        <v>33.4</v>
      </c>
      <c r="Q865">
        <v>56.25</v>
      </c>
      <c r="R865">
        <v>4.9000000000000004</v>
      </c>
      <c r="S865">
        <v>0.85</v>
      </c>
      <c r="T865">
        <v>35.700000000000003</v>
      </c>
      <c r="U865">
        <v>2.2999999999999998</v>
      </c>
      <c r="V865">
        <f t="shared" ref="V865:V867" si="520">(R865/1)/(Q865/12)</f>
        <v>1.0453333333333334</v>
      </c>
      <c r="W865">
        <f t="shared" ref="W865:W867" si="521">(T865/16)/(Q865/12)</f>
        <v>0.47600000000000003</v>
      </c>
      <c r="X865">
        <v>6.2</v>
      </c>
      <c r="Y865" s="3">
        <v>23.55</v>
      </c>
      <c r="Z865">
        <v>67.2</v>
      </c>
      <c r="AA865">
        <v>4.2</v>
      </c>
      <c r="AB865">
        <v>1.1000000000000001</v>
      </c>
      <c r="AC865">
        <v>25.6</v>
      </c>
      <c r="AD865">
        <v>2</v>
      </c>
      <c r="AE865">
        <f t="shared" si="456"/>
        <v>0.75</v>
      </c>
      <c r="AF865">
        <f t="shared" si="509"/>
        <v>0.2857142857142857</v>
      </c>
      <c r="AG865" s="3">
        <v>5.3</v>
      </c>
      <c r="AH865">
        <v>26.1</v>
      </c>
      <c r="AI865" s="3">
        <v>66.900000000000006</v>
      </c>
    </row>
    <row r="866" spans="1:40" x14ac:dyDescent="0.5">
      <c r="A866">
        <v>30</v>
      </c>
      <c r="B866">
        <v>260</v>
      </c>
      <c r="C866">
        <v>0.1</v>
      </c>
      <c r="D866">
        <v>30</v>
      </c>
      <c r="E866">
        <v>500</v>
      </c>
      <c r="F866">
        <v>300</v>
      </c>
      <c r="G866" s="3">
        <f t="shared" si="519"/>
        <v>10</v>
      </c>
      <c r="O866">
        <v>59.4</v>
      </c>
      <c r="P866" s="3">
        <v>33.4</v>
      </c>
      <c r="Q866">
        <v>56.25</v>
      </c>
      <c r="R866">
        <v>4.9000000000000004</v>
      </c>
      <c r="S866">
        <v>0.85</v>
      </c>
      <c r="T866">
        <v>35.700000000000003</v>
      </c>
      <c r="U866">
        <v>2.2999999999999998</v>
      </c>
      <c r="V866">
        <f t="shared" si="520"/>
        <v>1.0453333333333334</v>
      </c>
      <c r="W866">
        <f t="shared" si="521"/>
        <v>0.47600000000000003</v>
      </c>
      <c r="X866">
        <v>6.2</v>
      </c>
      <c r="Y866" s="3">
        <v>23.55</v>
      </c>
      <c r="Z866">
        <v>68.7</v>
      </c>
      <c r="AA866">
        <v>4.0999999999999996</v>
      </c>
      <c r="AB866">
        <v>1.1000000000000001</v>
      </c>
      <c r="AC866">
        <v>24.4</v>
      </c>
      <c r="AD866">
        <v>1.6</v>
      </c>
      <c r="AE866">
        <f t="shared" si="456"/>
        <v>0.71615720524017457</v>
      </c>
      <c r="AF866">
        <f t="shared" si="509"/>
        <v>0.26637554585152834</v>
      </c>
      <c r="AG866" s="3">
        <v>3</v>
      </c>
      <c r="AH866">
        <v>27.3</v>
      </c>
      <c r="AI866" s="3">
        <v>67.2</v>
      </c>
    </row>
    <row r="867" spans="1:40" x14ac:dyDescent="0.5">
      <c r="A867">
        <v>5</v>
      </c>
      <c r="B867">
        <v>190</v>
      </c>
      <c r="C867">
        <v>0.1</v>
      </c>
      <c r="D867">
        <v>10</v>
      </c>
      <c r="E867">
        <v>600</v>
      </c>
      <c r="F867">
        <v>60</v>
      </c>
      <c r="G867" s="3">
        <f t="shared" si="519"/>
        <v>6</v>
      </c>
      <c r="O867">
        <v>87.5</v>
      </c>
      <c r="P867" s="3">
        <v>11.7</v>
      </c>
      <c r="Q867">
        <v>46.7</v>
      </c>
      <c r="R867">
        <v>6</v>
      </c>
      <c r="S867">
        <v>0.2</v>
      </c>
      <c r="T867">
        <v>45.3</v>
      </c>
      <c r="U867">
        <v>0</v>
      </c>
      <c r="V867">
        <f t="shared" si="520"/>
        <v>1.5417558886509635</v>
      </c>
      <c r="W867">
        <f t="shared" si="521"/>
        <v>0.72751605995717328</v>
      </c>
      <c r="X867">
        <v>0.8</v>
      </c>
      <c r="Y867" s="3">
        <f>(0.338*Q867)+1.428*(R867-(T867/8))</f>
        <v>16.266550000000002</v>
      </c>
      <c r="Z867">
        <v>48.8</v>
      </c>
      <c r="AA867">
        <v>5.9</v>
      </c>
      <c r="AB867">
        <v>0.2</v>
      </c>
      <c r="AC867">
        <v>44.7</v>
      </c>
      <c r="AD867">
        <v>0</v>
      </c>
      <c r="AE867">
        <f t="shared" si="456"/>
        <v>1.4508196721311477</v>
      </c>
      <c r="AF867">
        <f t="shared" si="509"/>
        <v>0.68698770491803285</v>
      </c>
      <c r="AG867" s="3">
        <v>0.5</v>
      </c>
      <c r="AH867">
        <v>19.899999999999999</v>
      </c>
      <c r="AI867" s="3">
        <v>83.5</v>
      </c>
      <c r="AJ867" s="2" t="s">
        <v>229</v>
      </c>
      <c r="AK867" t="s">
        <v>230</v>
      </c>
      <c r="AL867">
        <v>106</v>
      </c>
    </row>
    <row r="868" spans="1:40" x14ac:dyDescent="0.5">
      <c r="A868">
        <v>5</v>
      </c>
      <c r="B868">
        <v>225</v>
      </c>
      <c r="C868">
        <v>0.1</v>
      </c>
      <c r="D868">
        <v>10</v>
      </c>
      <c r="E868">
        <v>600</v>
      </c>
      <c r="F868">
        <v>60</v>
      </c>
      <c r="G868" s="3">
        <f t="shared" ref="G868:G870" si="522">F868/D868</f>
        <v>6</v>
      </c>
      <c r="O868">
        <v>87.5</v>
      </c>
      <c r="P868" s="3">
        <v>11.7</v>
      </c>
      <c r="Q868">
        <v>46.7</v>
      </c>
      <c r="R868">
        <v>6</v>
      </c>
      <c r="S868">
        <v>0.2</v>
      </c>
      <c r="T868">
        <v>45.3</v>
      </c>
      <c r="U868">
        <v>0</v>
      </c>
      <c r="V868">
        <f t="shared" ref="V868:V870" si="523">(R868/1)/(Q868/12)</f>
        <v>1.5417558886509635</v>
      </c>
      <c r="W868">
        <f t="shared" ref="W868:W870" si="524">(T868/16)/(Q868/12)</f>
        <v>0.72751605995717328</v>
      </c>
      <c r="X868">
        <v>0.8</v>
      </c>
      <c r="Y868" s="3">
        <f t="shared" ref="Y868:Y870" si="525">(0.338*Q868)+1.428*(R868-(T868/8))</f>
        <v>16.266550000000002</v>
      </c>
      <c r="Z868">
        <v>49.6</v>
      </c>
      <c r="AA868">
        <v>5.9</v>
      </c>
      <c r="AB868">
        <v>0.3</v>
      </c>
      <c r="AC868">
        <v>41.8</v>
      </c>
      <c r="AD868">
        <v>0</v>
      </c>
      <c r="AE868">
        <f t="shared" si="456"/>
        <v>1.4274193548387095</v>
      </c>
      <c r="AF868">
        <f t="shared" si="509"/>
        <v>0.63205645161290314</v>
      </c>
      <c r="AG868" s="3">
        <v>0.7</v>
      </c>
      <c r="AH868">
        <v>21.4</v>
      </c>
      <c r="AI868" s="3">
        <v>66.8</v>
      </c>
    </row>
    <row r="869" spans="1:40" x14ac:dyDescent="0.5">
      <c r="A869">
        <v>5</v>
      </c>
      <c r="B869">
        <v>260</v>
      </c>
      <c r="C869">
        <v>0.1</v>
      </c>
      <c r="D869">
        <v>10</v>
      </c>
      <c r="E869">
        <v>600</v>
      </c>
      <c r="F869">
        <v>60</v>
      </c>
      <c r="G869" s="3">
        <f t="shared" si="522"/>
        <v>6</v>
      </c>
      <c r="O869">
        <v>87.5</v>
      </c>
      <c r="P869" s="3">
        <v>11.7</v>
      </c>
      <c r="Q869">
        <v>46.7</v>
      </c>
      <c r="R869">
        <v>6</v>
      </c>
      <c r="S869">
        <v>0.2</v>
      </c>
      <c r="T869">
        <v>45.3</v>
      </c>
      <c r="U869">
        <v>0</v>
      </c>
      <c r="V869">
        <f t="shared" si="523"/>
        <v>1.5417558886509635</v>
      </c>
      <c r="W869">
        <f t="shared" si="524"/>
        <v>0.72751605995717328</v>
      </c>
      <c r="X869">
        <v>0.8</v>
      </c>
      <c r="Y869" s="3">
        <f t="shared" si="525"/>
        <v>16.266550000000002</v>
      </c>
      <c r="Z869">
        <v>61.2</v>
      </c>
      <c r="AA869">
        <v>5.3</v>
      </c>
      <c r="AB869">
        <v>0.4</v>
      </c>
      <c r="AC869">
        <v>31.6</v>
      </c>
      <c r="AD869">
        <v>0</v>
      </c>
      <c r="AE869">
        <f t="shared" si="456"/>
        <v>1.0392156862745097</v>
      </c>
      <c r="AF869">
        <f t="shared" si="509"/>
        <v>0.38725490196078427</v>
      </c>
      <c r="AG869" s="3">
        <v>0.9</v>
      </c>
      <c r="AH869">
        <v>25.7</v>
      </c>
      <c r="AI869" s="3">
        <v>47.8</v>
      </c>
    </row>
    <row r="870" spans="1:40" x14ac:dyDescent="0.5">
      <c r="A870">
        <v>600</v>
      </c>
      <c r="B870">
        <v>180</v>
      </c>
      <c r="C870">
        <v>0.1</v>
      </c>
      <c r="D870">
        <v>5</v>
      </c>
      <c r="E870">
        <v>50</v>
      </c>
      <c r="F870">
        <v>20</v>
      </c>
      <c r="G870" s="3">
        <f t="shared" si="522"/>
        <v>4</v>
      </c>
      <c r="O870">
        <v>81.41</v>
      </c>
      <c r="P870" s="3">
        <v>1.43</v>
      </c>
      <c r="Q870">
        <v>39.57</v>
      </c>
      <c r="R870">
        <v>5.78</v>
      </c>
      <c r="S870">
        <v>3.37</v>
      </c>
      <c r="T870">
        <v>33.65</v>
      </c>
      <c r="U870">
        <v>0.48</v>
      </c>
      <c r="V870">
        <f t="shared" si="523"/>
        <v>1.7528430629264595</v>
      </c>
      <c r="W870">
        <f t="shared" si="524"/>
        <v>0.63779378316906743</v>
      </c>
      <c r="X870">
        <v>17.16</v>
      </c>
      <c r="Y870" s="3">
        <f t="shared" si="525"/>
        <v>15.621975000000001</v>
      </c>
      <c r="Z870">
        <v>46.22</v>
      </c>
      <c r="AA870">
        <v>5.72</v>
      </c>
      <c r="AB870">
        <v>3.24</v>
      </c>
      <c r="AC870">
        <v>23.01</v>
      </c>
      <c r="AD870">
        <v>0.45</v>
      </c>
      <c r="AE870">
        <f t="shared" si="456"/>
        <v>1.4850713976633492</v>
      </c>
      <c r="AF870">
        <f t="shared" si="509"/>
        <v>0.37337732583297278</v>
      </c>
      <c r="AG870" s="3">
        <v>21.3</v>
      </c>
      <c r="AH870">
        <f>(0.338*Z870)+1.428*(AA870-(AC870/8))</f>
        <v>19.683235</v>
      </c>
      <c r="AI870" s="3">
        <v>66.38</v>
      </c>
      <c r="AJ870" s="2" t="s">
        <v>231</v>
      </c>
      <c r="AK870" t="s">
        <v>232</v>
      </c>
      <c r="AL870">
        <v>107</v>
      </c>
      <c r="AN870" t="s">
        <v>233</v>
      </c>
    </row>
    <row r="871" spans="1:40" x14ac:dyDescent="0.5">
      <c r="A871">
        <v>600</v>
      </c>
      <c r="B871">
        <v>200</v>
      </c>
      <c r="C871">
        <v>0.1</v>
      </c>
      <c r="D871">
        <v>5</v>
      </c>
      <c r="E871">
        <v>50</v>
      </c>
      <c r="F871">
        <v>20</v>
      </c>
      <c r="G871" s="3">
        <f t="shared" ref="G871:G873" si="526">F871/D871</f>
        <v>4</v>
      </c>
      <c r="O871">
        <v>81.41</v>
      </c>
      <c r="P871" s="3">
        <v>1.43</v>
      </c>
      <c r="Q871">
        <v>39.57</v>
      </c>
      <c r="R871">
        <v>5.78</v>
      </c>
      <c r="S871">
        <v>3.37</v>
      </c>
      <c r="T871">
        <v>33.65</v>
      </c>
      <c r="U871">
        <v>0.48</v>
      </c>
      <c r="V871">
        <f t="shared" ref="V871:V873" si="527">(R871/1)/(Q871/12)</f>
        <v>1.7528430629264595</v>
      </c>
      <c r="W871">
        <f t="shared" ref="W871:W873" si="528">(T871/16)/(Q871/12)</f>
        <v>0.63779378316906743</v>
      </c>
      <c r="X871">
        <v>17.16</v>
      </c>
      <c r="Y871" s="3">
        <f>(0.338*Q871)+1.428*(R871-(T871/8))</f>
        <v>15.621975000000001</v>
      </c>
      <c r="Z871">
        <v>46.84</v>
      </c>
      <c r="AA871">
        <v>5.66</v>
      </c>
      <c r="AB871">
        <v>3</v>
      </c>
      <c r="AC871">
        <v>19.28</v>
      </c>
      <c r="AD871">
        <v>0.4</v>
      </c>
      <c r="AE871">
        <f t="shared" si="456"/>
        <v>1.4500426985482493</v>
      </c>
      <c r="AF871">
        <f t="shared" si="509"/>
        <v>0.3087105038428693</v>
      </c>
      <c r="AG871" s="3">
        <v>21.82</v>
      </c>
      <c r="AH871">
        <f t="shared" ref="AH871" si="529">(0.338*Z871)+1.428*(AA871-(AC871/8))</f>
        <v>20.472920000000002</v>
      </c>
      <c r="AI871" s="3">
        <v>61.56</v>
      </c>
    </row>
    <row r="872" spans="1:40" x14ac:dyDescent="0.5">
      <c r="A872">
        <v>600</v>
      </c>
      <c r="B872">
        <v>220</v>
      </c>
      <c r="C872">
        <v>0.1</v>
      </c>
      <c r="D872">
        <v>5</v>
      </c>
      <c r="E872">
        <v>50</v>
      </c>
      <c r="F872">
        <v>20</v>
      </c>
      <c r="G872" s="3">
        <f t="shared" si="526"/>
        <v>4</v>
      </c>
      <c r="O872">
        <v>81.41</v>
      </c>
      <c r="P872" s="3">
        <v>1.43</v>
      </c>
      <c r="Q872">
        <v>39.57</v>
      </c>
      <c r="R872">
        <v>5.78</v>
      </c>
      <c r="S872">
        <v>3.37</v>
      </c>
      <c r="T872">
        <v>33.65</v>
      </c>
      <c r="U872">
        <v>0.48</v>
      </c>
      <c r="V872">
        <f t="shared" si="527"/>
        <v>1.7528430629264595</v>
      </c>
      <c r="W872">
        <f t="shared" si="528"/>
        <v>0.63779378316906743</v>
      </c>
      <c r="X872">
        <v>17.16</v>
      </c>
      <c r="Y872" s="3">
        <f t="shared" ref="Y872" si="530">(0.338*Q872)+1.428*(R872-(T872/8))</f>
        <v>15.621975000000001</v>
      </c>
      <c r="Z872">
        <v>50.64</v>
      </c>
      <c r="AA872">
        <v>5.44</v>
      </c>
      <c r="AB872">
        <v>3.16</v>
      </c>
      <c r="AC872">
        <v>17.05</v>
      </c>
      <c r="AD872">
        <v>0.44</v>
      </c>
      <c r="AE872">
        <f t="shared" si="456"/>
        <v>1.2890995260663509</v>
      </c>
      <c r="AF872">
        <f t="shared" si="509"/>
        <v>0.25251777251184837</v>
      </c>
      <c r="AG872" s="3">
        <v>23.27</v>
      </c>
      <c r="AH872">
        <f>(0.338*Z872)+1.428*(AA872-(AC872/8))</f>
        <v>21.841215000000002</v>
      </c>
      <c r="AI872" s="3">
        <v>55.54</v>
      </c>
    </row>
    <row r="873" spans="1:40" x14ac:dyDescent="0.5">
      <c r="A873">
        <v>30</v>
      </c>
      <c r="B873">
        <v>240</v>
      </c>
      <c r="C873">
        <v>0.1</v>
      </c>
      <c r="D873">
        <v>30</v>
      </c>
      <c r="E873">
        <v>700</v>
      </c>
      <c r="F873">
        <v>240</v>
      </c>
      <c r="G873" s="3">
        <f t="shared" si="526"/>
        <v>8</v>
      </c>
      <c r="N873">
        <v>8</v>
      </c>
      <c r="O873">
        <v>64.510000000000005</v>
      </c>
      <c r="P873" s="3">
        <v>2</v>
      </c>
      <c r="Q873">
        <v>38.61</v>
      </c>
      <c r="R873">
        <v>6.05</v>
      </c>
      <c r="S873">
        <v>2.4</v>
      </c>
      <c r="T873">
        <v>41.09</v>
      </c>
      <c r="U873">
        <v>0</v>
      </c>
      <c r="V873">
        <f t="shared" si="527"/>
        <v>1.8803418803418803</v>
      </c>
      <c r="W873">
        <f t="shared" si="528"/>
        <v>0.79817404817404825</v>
      </c>
      <c r="X873">
        <v>11.85</v>
      </c>
      <c r="Y873" s="3">
        <v>16.07</v>
      </c>
      <c r="Z873">
        <v>56.6</v>
      </c>
      <c r="AA873">
        <v>7.21</v>
      </c>
      <c r="AB873">
        <v>6.12</v>
      </c>
      <c r="AC873">
        <v>14.86</v>
      </c>
      <c r="AD873">
        <v>0</v>
      </c>
      <c r="AE873">
        <f t="shared" si="456"/>
        <v>1.5286219081272083</v>
      </c>
      <c r="AF873">
        <f t="shared" si="509"/>
        <v>0.19690812720848055</v>
      </c>
      <c r="AG873" s="3">
        <v>15.21</v>
      </c>
      <c r="AH873">
        <v>26.3</v>
      </c>
      <c r="AI873" s="3">
        <v>44</v>
      </c>
      <c r="AJ873" s="2" t="s">
        <v>234</v>
      </c>
      <c r="AK873" t="s">
        <v>235</v>
      </c>
      <c r="AL873">
        <v>108</v>
      </c>
    </row>
    <row r="874" spans="1:40" x14ac:dyDescent="0.5">
      <c r="A874">
        <v>30</v>
      </c>
      <c r="B874">
        <v>260</v>
      </c>
      <c r="C874">
        <v>0.1</v>
      </c>
      <c r="D874">
        <v>30</v>
      </c>
      <c r="E874">
        <v>700</v>
      </c>
      <c r="F874">
        <v>240</v>
      </c>
      <c r="G874" s="3">
        <f t="shared" ref="G874:G877" si="531">F874/D874</f>
        <v>8</v>
      </c>
      <c r="N874">
        <v>8</v>
      </c>
      <c r="O874">
        <v>64.510000000000005</v>
      </c>
      <c r="P874" s="3">
        <v>2</v>
      </c>
      <c r="Q874">
        <v>38.61</v>
      </c>
      <c r="R874">
        <v>6.05</v>
      </c>
      <c r="S874">
        <v>2.4</v>
      </c>
      <c r="T874">
        <v>41.09</v>
      </c>
      <c r="U874">
        <v>0</v>
      </c>
      <c r="V874">
        <f t="shared" ref="V874:V884" si="532">(R874/1)/(Q874/12)</f>
        <v>1.8803418803418803</v>
      </c>
      <c r="W874">
        <f t="shared" ref="W874:W884" si="533">(T874/16)/(Q874/12)</f>
        <v>0.79817404817404825</v>
      </c>
      <c r="X874">
        <v>11.85</v>
      </c>
      <c r="Y874" s="3">
        <v>16.07</v>
      </c>
      <c r="Z874">
        <v>57.32</v>
      </c>
      <c r="AA874">
        <v>7.11</v>
      </c>
      <c r="AB874">
        <v>5.45</v>
      </c>
      <c r="AC874">
        <v>15.28</v>
      </c>
      <c r="AD874">
        <v>0</v>
      </c>
      <c r="AE874">
        <f t="shared" si="456"/>
        <v>1.4884856943475229</v>
      </c>
      <c r="AF874">
        <f t="shared" si="509"/>
        <v>0.19993021632937893</v>
      </c>
      <c r="AG874" s="3">
        <v>14.84</v>
      </c>
      <c r="AH874">
        <v>26.41</v>
      </c>
      <c r="AI874" s="3">
        <v>43</v>
      </c>
    </row>
    <row r="875" spans="1:40" x14ac:dyDescent="0.5">
      <c r="A875">
        <v>30</v>
      </c>
      <c r="B875">
        <v>280</v>
      </c>
      <c r="C875">
        <v>0.1</v>
      </c>
      <c r="D875">
        <v>30</v>
      </c>
      <c r="E875">
        <v>700</v>
      </c>
      <c r="F875">
        <v>240</v>
      </c>
      <c r="G875" s="3">
        <f t="shared" si="531"/>
        <v>8</v>
      </c>
      <c r="N875">
        <v>8</v>
      </c>
      <c r="O875">
        <v>64.510000000000005</v>
      </c>
      <c r="P875" s="3">
        <v>2</v>
      </c>
      <c r="Q875">
        <v>38.61</v>
      </c>
      <c r="R875">
        <v>6.05</v>
      </c>
      <c r="S875">
        <v>2.4</v>
      </c>
      <c r="T875">
        <v>41.09</v>
      </c>
      <c r="U875">
        <v>0</v>
      </c>
      <c r="V875">
        <f t="shared" si="532"/>
        <v>1.8803418803418803</v>
      </c>
      <c r="W875">
        <f t="shared" si="533"/>
        <v>0.79817404817404825</v>
      </c>
      <c r="X875">
        <v>11.85</v>
      </c>
      <c r="Y875" s="3">
        <v>16.07</v>
      </c>
      <c r="Z875">
        <v>60.2</v>
      </c>
      <c r="AA875">
        <v>6.43</v>
      </c>
      <c r="AB875">
        <v>4.76</v>
      </c>
      <c r="AC875">
        <v>14.51</v>
      </c>
      <c r="AD875">
        <v>0</v>
      </c>
      <c r="AE875">
        <f t="shared" si="456"/>
        <v>1.2817275747508305</v>
      </c>
      <c r="AF875">
        <f t="shared" si="509"/>
        <v>0.18077242524916942</v>
      </c>
      <c r="AG875" s="3">
        <v>14.1</v>
      </c>
      <c r="AH875">
        <v>26.72</v>
      </c>
      <c r="AI875" s="3">
        <v>42</v>
      </c>
    </row>
    <row r="876" spans="1:40" x14ac:dyDescent="0.5">
      <c r="A876">
        <v>30</v>
      </c>
      <c r="B876">
        <v>300</v>
      </c>
      <c r="C876">
        <v>0.1</v>
      </c>
      <c r="D876">
        <v>30</v>
      </c>
      <c r="E876">
        <v>700</v>
      </c>
      <c r="F876">
        <v>240</v>
      </c>
      <c r="G876" s="3">
        <f t="shared" si="531"/>
        <v>8</v>
      </c>
      <c r="N876">
        <v>8</v>
      </c>
      <c r="O876">
        <v>64.510000000000005</v>
      </c>
      <c r="P876" s="3">
        <v>2</v>
      </c>
      <c r="Q876">
        <v>38.61</v>
      </c>
      <c r="R876">
        <v>6.05</v>
      </c>
      <c r="S876">
        <v>2.4</v>
      </c>
      <c r="T876">
        <v>41.09</v>
      </c>
      <c r="U876">
        <v>0</v>
      </c>
      <c r="V876">
        <f t="shared" si="532"/>
        <v>1.8803418803418803</v>
      </c>
      <c r="W876">
        <f t="shared" si="533"/>
        <v>0.79817404817404825</v>
      </c>
      <c r="X876">
        <v>11.85</v>
      </c>
      <c r="Y876" s="3">
        <v>16.07</v>
      </c>
      <c r="Z876">
        <v>62.78</v>
      </c>
      <c r="AA876">
        <v>6.11</v>
      </c>
      <c r="AB876">
        <v>3.2</v>
      </c>
      <c r="AC876">
        <v>15.61</v>
      </c>
      <c r="AD876">
        <v>0</v>
      </c>
      <c r="AE876">
        <f t="shared" si="456"/>
        <v>1.1678878623765532</v>
      </c>
      <c r="AF876">
        <f t="shared" si="509"/>
        <v>0.18648454921949664</v>
      </c>
      <c r="AG876" s="3">
        <v>12.3</v>
      </c>
      <c r="AH876">
        <v>26.19</v>
      </c>
      <c r="AI876" s="3">
        <v>39</v>
      </c>
    </row>
    <row r="877" spans="1:40" x14ac:dyDescent="0.5">
      <c r="A877">
        <v>30</v>
      </c>
      <c r="B877">
        <v>320</v>
      </c>
      <c r="C877">
        <v>0.1</v>
      </c>
      <c r="D877">
        <v>30</v>
      </c>
      <c r="E877">
        <v>700</v>
      </c>
      <c r="F877">
        <v>240</v>
      </c>
      <c r="G877" s="3">
        <f t="shared" si="531"/>
        <v>8</v>
      </c>
      <c r="N877">
        <v>8</v>
      </c>
      <c r="O877">
        <v>64.510000000000005</v>
      </c>
      <c r="P877" s="3">
        <v>2</v>
      </c>
      <c r="Q877">
        <v>38.61</v>
      </c>
      <c r="R877">
        <v>6.05</v>
      </c>
      <c r="S877">
        <v>2.4</v>
      </c>
      <c r="T877">
        <v>41.09</v>
      </c>
      <c r="U877">
        <v>0</v>
      </c>
      <c r="V877">
        <f t="shared" si="532"/>
        <v>1.8803418803418803</v>
      </c>
      <c r="W877">
        <f t="shared" si="533"/>
        <v>0.79817404817404825</v>
      </c>
      <c r="X877">
        <v>11.85</v>
      </c>
      <c r="Y877" s="3">
        <v>16.07</v>
      </c>
      <c r="Z877">
        <v>62.88</v>
      </c>
      <c r="AA877">
        <v>6.05</v>
      </c>
      <c r="AB877">
        <v>3.12</v>
      </c>
      <c r="AC877">
        <v>15.65</v>
      </c>
      <c r="AD877">
        <v>0</v>
      </c>
      <c r="AE877">
        <f t="shared" si="456"/>
        <v>1.1545801526717556</v>
      </c>
      <c r="AF877">
        <f t="shared" si="509"/>
        <v>0.18666507633587787</v>
      </c>
      <c r="AG877" s="3">
        <v>12.3</v>
      </c>
      <c r="AH877">
        <v>27.15</v>
      </c>
      <c r="AI877" s="3">
        <v>37</v>
      </c>
    </row>
    <row r="878" spans="1:40" x14ac:dyDescent="0.5">
      <c r="A878">
        <v>10</v>
      </c>
      <c r="B878">
        <v>300</v>
      </c>
      <c r="C878">
        <v>0.1</v>
      </c>
      <c r="D878">
        <v>30</v>
      </c>
      <c r="E878">
        <v>700</v>
      </c>
      <c r="F878">
        <v>240</v>
      </c>
      <c r="G878" s="3">
        <f t="shared" ref="G878:G884" si="534">F878/D878</f>
        <v>8</v>
      </c>
      <c r="N878">
        <v>8</v>
      </c>
      <c r="O878">
        <v>64.510000000000005</v>
      </c>
      <c r="P878" s="3">
        <v>2</v>
      </c>
      <c r="Q878">
        <v>38.61</v>
      </c>
      <c r="R878">
        <v>6.05</v>
      </c>
      <c r="S878">
        <v>2.4</v>
      </c>
      <c r="T878">
        <v>41.09</v>
      </c>
      <c r="U878">
        <v>0</v>
      </c>
      <c r="V878">
        <f t="shared" si="532"/>
        <v>1.8803418803418803</v>
      </c>
      <c r="W878">
        <f t="shared" si="533"/>
        <v>0.79817404817404825</v>
      </c>
      <c r="X878">
        <v>11.85</v>
      </c>
      <c r="Y878" s="3">
        <v>16.07</v>
      </c>
      <c r="Z878">
        <v>59.21</v>
      </c>
      <c r="AA878">
        <v>5.0999999999999996</v>
      </c>
      <c r="AB878">
        <v>2.89</v>
      </c>
      <c r="AC878">
        <v>22.6</v>
      </c>
      <c r="AD878">
        <v>0</v>
      </c>
      <c r="AE878">
        <f t="shared" si="456"/>
        <v>1.0336091876372233</v>
      </c>
      <c r="AF878">
        <f t="shared" si="509"/>
        <v>0.28626921128187804</v>
      </c>
      <c r="AG878" s="3">
        <v>10.199999999999999</v>
      </c>
      <c r="AH878">
        <v>24.08</v>
      </c>
      <c r="AI878" s="3">
        <v>42</v>
      </c>
    </row>
    <row r="879" spans="1:40" x14ac:dyDescent="0.5">
      <c r="A879">
        <v>20</v>
      </c>
      <c r="B879">
        <v>300</v>
      </c>
      <c r="C879">
        <v>0.1</v>
      </c>
      <c r="D879">
        <v>30</v>
      </c>
      <c r="E879">
        <v>700</v>
      </c>
      <c r="F879">
        <v>240</v>
      </c>
      <c r="G879" s="3">
        <f t="shared" si="534"/>
        <v>8</v>
      </c>
      <c r="N879">
        <v>8</v>
      </c>
      <c r="O879">
        <v>64.510000000000005</v>
      </c>
      <c r="P879" s="3">
        <v>2</v>
      </c>
      <c r="Q879">
        <v>38.61</v>
      </c>
      <c r="R879">
        <v>6.05</v>
      </c>
      <c r="S879">
        <v>2.4</v>
      </c>
      <c r="T879">
        <v>41.09</v>
      </c>
      <c r="U879">
        <v>0</v>
      </c>
      <c r="V879">
        <f t="shared" si="532"/>
        <v>1.8803418803418803</v>
      </c>
      <c r="W879">
        <f t="shared" si="533"/>
        <v>0.79817404817404825</v>
      </c>
      <c r="X879">
        <v>11.85</v>
      </c>
      <c r="Y879" s="3">
        <v>16.07</v>
      </c>
      <c r="Z879">
        <v>62.1</v>
      </c>
      <c r="AA879">
        <v>5.88</v>
      </c>
      <c r="AB879">
        <v>3.1</v>
      </c>
      <c r="AC879">
        <v>17.920000000000002</v>
      </c>
      <c r="AD879">
        <v>0</v>
      </c>
      <c r="AE879">
        <f t="shared" si="456"/>
        <v>1.136231884057971</v>
      </c>
      <c r="AF879">
        <f t="shared" si="509"/>
        <v>0.2164251207729469</v>
      </c>
      <c r="AG879" s="3">
        <v>11</v>
      </c>
      <c r="AH879">
        <v>26.47</v>
      </c>
      <c r="AI879" s="3">
        <v>40</v>
      </c>
    </row>
    <row r="880" spans="1:40" x14ac:dyDescent="0.5">
      <c r="A880">
        <v>40</v>
      </c>
      <c r="B880">
        <v>300</v>
      </c>
      <c r="C880">
        <v>0.1</v>
      </c>
      <c r="D880">
        <v>30</v>
      </c>
      <c r="E880">
        <v>700</v>
      </c>
      <c r="F880">
        <v>240</v>
      </c>
      <c r="G880" s="3">
        <f t="shared" si="534"/>
        <v>8</v>
      </c>
      <c r="N880">
        <v>8</v>
      </c>
      <c r="O880">
        <v>64.510000000000005</v>
      </c>
      <c r="P880" s="3">
        <v>2</v>
      </c>
      <c r="Q880">
        <v>38.61</v>
      </c>
      <c r="R880">
        <v>6.05</v>
      </c>
      <c r="S880">
        <v>2.4</v>
      </c>
      <c r="T880">
        <v>41.09</v>
      </c>
      <c r="U880">
        <v>0</v>
      </c>
      <c r="V880">
        <f t="shared" si="532"/>
        <v>1.8803418803418803</v>
      </c>
      <c r="W880">
        <f t="shared" si="533"/>
        <v>0.79817404817404825</v>
      </c>
      <c r="X880">
        <v>11.85</v>
      </c>
      <c r="Y880" s="3">
        <v>16.07</v>
      </c>
      <c r="Z880">
        <v>39</v>
      </c>
      <c r="AA880">
        <v>6</v>
      </c>
      <c r="AB880">
        <v>3.1</v>
      </c>
      <c r="AC880">
        <v>15.89</v>
      </c>
      <c r="AD880">
        <v>0</v>
      </c>
      <c r="AE880">
        <f t="shared" si="456"/>
        <v>1.8461538461538463</v>
      </c>
      <c r="AF880">
        <f t="shared" si="509"/>
        <v>0.30557692307692308</v>
      </c>
      <c r="AG880" s="3">
        <v>12.13</v>
      </c>
      <c r="AH880">
        <v>27.07</v>
      </c>
      <c r="AI880" s="3">
        <v>39</v>
      </c>
    </row>
    <row r="881" spans="1:38" x14ac:dyDescent="0.5">
      <c r="A881">
        <v>30</v>
      </c>
      <c r="B881">
        <v>300</v>
      </c>
      <c r="C881">
        <v>0.1</v>
      </c>
      <c r="D881">
        <v>30</v>
      </c>
      <c r="E881">
        <v>700</v>
      </c>
      <c r="F881">
        <v>120</v>
      </c>
      <c r="G881" s="3">
        <f t="shared" si="534"/>
        <v>4</v>
      </c>
      <c r="N881">
        <v>8</v>
      </c>
      <c r="O881">
        <v>64.510000000000005</v>
      </c>
      <c r="P881" s="3">
        <v>2</v>
      </c>
      <c r="Q881">
        <v>38.61</v>
      </c>
      <c r="R881">
        <v>6.05</v>
      </c>
      <c r="S881">
        <v>2.4</v>
      </c>
      <c r="T881">
        <v>41.09</v>
      </c>
      <c r="U881">
        <v>0</v>
      </c>
      <c r="V881">
        <f t="shared" si="532"/>
        <v>1.8803418803418803</v>
      </c>
      <c r="W881">
        <f t="shared" si="533"/>
        <v>0.79817404817404825</v>
      </c>
      <c r="X881">
        <v>11.85</v>
      </c>
      <c r="Y881" s="3">
        <v>16.07</v>
      </c>
      <c r="Z881">
        <v>58.34</v>
      </c>
      <c r="AA881">
        <v>7.1</v>
      </c>
      <c r="AB881">
        <v>4.62</v>
      </c>
      <c r="AC881">
        <v>20.38</v>
      </c>
      <c r="AD881">
        <v>0</v>
      </c>
      <c r="AE881">
        <f t="shared" si="456"/>
        <v>1.4604045251971201</v>
      </c>
      <c r="AF881">
        <f t="shared" si="509"/>
        <v>0.26199862872814533</v>
      </c>
      <c r="AG881" s="3">
        <v>9.56</v>
      </c>
      <c r="AH881">
        <v>26.35</v>
      </c>
      <c r="AI881" s="3">
        <v>43</v>
      </c>
    </row>
    <row r="882" spans="1:38" x14ac:dyDescent="0.5">
      <c r="A882">
        <v>30</v>
      </c>
      <c r="B882">
        <v>300</v>
      </c>
      <c r="C882">
        <v>0.1</v>
      </c>
      <c r="D882">
        <v>30</v>
      </c>
      <c r="E882">
        <v>700</v>
      </c>
      <c r="F882">
        <v>180</v>
      </c>
      <c r="G882" s="3">
        <f t="shared" si="534"/>
        <v>6</v>
      </c>
      <c r="N882">
        <v>8</v>
      </c>
      <c r="O882">
        <v>64.510000000000005</v>
      </c>
      <c r="P882" s="3">
        <v>2</v>
      </c>
      <c r="Q882">
        <v>38.61</v>
      </c>
      <c r="R882">
        <v>6.05</v>
      </c>
      <c r="S882">
        <v>2.4</v>
      </c>
      <c r="T882">
        <v>41.09</v>
      </c>
      <c r="U882">
        <v>0</v>
      </c>
      <c r="V882">
        <f t="shared" si="532"/>
        <v>1.8803418803418803</v>
      </c>
      <c r="W882">
        <f t="shared" si="533"/>
        <v>0.79817404817404825</v>
      </c>
      <c r="X882">
        <v>11.85</v>
      </c>
      <c r="Y882" s="3">
        <v>16.07</v>
      </c>
      <c r="Z882">
        <v>60.23</v>
      </c>
      <c r="AA882">
        <v>6.87</v>
      </c>
      <c r="AB882">
        <v>4.12</v>
      </c>
      <c r="AC882">
        <v>17.66</v>
      </c>
      <c r="AD882">
        <v>0</v>
      </c>
      <c r="AE882">
        <f t="shared" si="456"/>
        <v>1.3687531130665782</v>
      </c>
      <c r="AF882">
        <f t="shared" si="509"/>
        <v>0.21990702307820026</v>
      </c>
      <c r="AG882" s="3">
        <v>11.12</v>
      </c>
      <c r="AH882">
        <v>26.99</v>
      </c>
      <c r="AI882" s="3">
        <v>40</v>
      </c>
    </row>
    <row r="883" spans="1:38" x14ac:dyDescent="0.5">
      <c r="A883">
        <v>30</v>
      </c>
      <c r="B883">
        <v>300</v>
      </c>
      <c r="C883">
        <v>0.1</v>
      </c>
      <c r="D883">
        <v>30</v>
      </c>
      <c r="E883">
        <v>700</v>
      </c>
      <c r="F883">
        <v>360</v>
      </c>
      <c r="G883" s="3">
        <f t="shared" si="534"/>
        <v>12</v>
      </c>
      <c r="N883">
        <v>8</v>
      </c>
      <c r="O883">
        <v>64.510000000000005</v>
      </c>
      <c r="P883" s="3">
        <v>2</v>
      </c>
      <c r="Q883">
        <v>38.61</v>
      </c>
      <c r="R883">
        <v>6.05</v>
      </c>
      <c r="S883">
        <v>2.4</v>
      </c>
      <c r="T883">
        <v>41.09</v>
      </c>
      <c r="U883">
        <v>0</v>
      </c>
      <c r="V883">
        <f t="shared" si="532"/>
        <v>1.8803418803418803</v>
      </c>
      <c r="W883">
        <f t="shared" si="533"/>
        <v>0.79817404817404825</v>
      </c>
      <c r="X883">
        <v>11.85</v>
      </c>
      <c r="Y883" s="3">
        <v>16.07</v>
      </c>
      <c r="Z883">
        <v>62.12</v>
      </c>
      <c r="AA883">
        <v>6.1</v>
      </c>
      <c r="AB883">
        <v>3.34</v>
      </c>
      <c r="AC883">
        <v>16.32</v>
      </c>
      <c r="AD883">
        <v>0</v>
      </c>
      <c r="AE883">
        <f t="shared" ref="AE883:AE976" si="535">(AA883/1)/(Z883/12)</f>
        <v>1.1783644558918223</v>
      </c>
      <c r="AF883">
        <f t="shared" si="509"/>
        <v>0.19703799098518995</v>
      </c>
      <c r="AG883" s="3">
        <v>12.12</v>
      </c>
      <c r="AH883">
        <v>26.88</v>
      </c>
      <c r="AI883" s="3">
        <v>39</v>
      </c>
    </row>
    <row r="884" spans="1:38" x14ac:dyDescent="0.5">
      <c r="A884">
        <v>60</v>
      </c>
      <c r="B884">
        <v>180</v>
      </c>
      <c r="C884">
        <v>0.1</v>
      </c>
      <c r="D884">
        <v>3</v>
      </c>
      <c r="E884">
        <v>50</v>
      </c>
      <c r="F884">
        <v>30</v>
      </c>
      <c r="G884" s="3">
        <f t="shared" si="534"/>
        <v>10</v>
      </c>
      <c r="N884">
        <v>30.3</v>
      </c>
      <c r="Q884">
        <v>37.72</v>
      </c>
      <c r="R884">
        <v>4.8</v>
      </c>
      <c r="S884">
        <v>2.79</v>
      </c>
      <c r="T884">
        <v>36.130000000000003</v>
      </c>
      <c r="U884">
        <v>0</v>
      </c>
      <c r="V884">
        <f t="shared" si="532"/>
        <v>1.5270413573700956</v>
      </c>
      <c r="W884">
        <f t="shared" si="533"/>
        <v>0.71838547189819735</v>
      </c>
      <c r="X884">
        <v>18.559999999999999</v>
      </c>
      <c r="Y884" s="3">
        <f>(0.338*Q884)+1.428*(R884-(T884/8))</f>
        <v>13.154555</v>
      </c>
      <c r="Z884">
        <v>44.08</v>
      </c>
      <c r="AA884">
        <v>5.4</v>
      </c>
      <c r="AB884">
        <v>1.26</v>
      </c>
      <c r="AC884">
        <v>36.03</v>
      </c>
      <c r="AD884">
        <v>7.0000000000000007E-2</v>
      </c>
      <c r="AE884">
        <f t="shared" si="535"/>
        <v>1.4700544464609802</v>
      </c>
      <c r="AF884">
        <f t="shared" si="509"/>
        <v>0.61303312159709622</v>
      </c>
      <c r="AG884" s="3">
        <v>13.17</v>
      </c>
      <c r="AH884">
        <f>(0.338*Z884)+1.428*(AA884-(AC884/8))</f>
        <v>16.178885000000001</v>
      </c>
      <c r="AI884" s="3">
        <v>80</v>
      </c>
      <c r="AJ884" s="2" t="s">
        <v>236</v>
      </c>
      <c r="AK884" t="s">
        <v>237</v>
      </c>
      <c r="AL884">
        <v>109</v>
      </c>
    </row>
    <row r="885" spans="1:38" x14ac:dyDescent="0.5">
      <c r="A885">
        <v>60</v>
      </c>
      <c r="B885">
        <v>220</v>
      </c>
      <c r="C885">
        <v>0.1</v>
      </c>
      <c r="D885">
        <v>3</v>
      </c>
      <c r="E885">
        <v>50</v>
      </c>
      <c r="F885">
        <v>30</v>
      </c>
      <c r="G885" s="3">
        <f t="shared" ref="G885:G893" si="536">F885/D885</f>
        <v>10</v>
      </c>
      <c r="N885">
        <v>30.3</v>
      </c>
      <c r="Q885">
        <v>37.72</v>
      </c>
      <c r="R885">
        <v>4.8</v>
      </c>
      <c r="S885">
        <v>2.79</v>
      </c>
      <c r="T885">
        <v>36.130000000000003</v>
      </c>
      <c r="U885">
        <v>0</v>
      </c>
      <c r="V885">
        <f t="shared" ref="V885:V893" si="537">(R885/1)/(Q885/12)</f>
        <v>1.5270413573700956</v>
      </c>
      <c r="W885">
        <f t="shared" ref="W885:W893" si="538">(T885/16)/(Q885/12)</f>
        <v>0.71838547189819735</v>
      </c>
      <c r="X885">
        <v>19.559999999999999</v>
      </c>
      <c r="Y885" s="3">
        <f t="shared" ref="Y885:Y893" si="539">(0.338*Q885)+1.428*(R885-(T885/8))</f>
        <v>13.154555</v>
      </c>
      <c r="Z885">
        <v>45.01</v>
      </c>
      <c r="AA885">
        <v>4.76</v>
      </c>
      <c r="AB885">
        <v>1.81</v>
      </c>
      <c r="AC885">
        <v>35.409999999999997</v>
      </c>
      <c r="AD885">
        <v>0</v>
      </c>
      <c r="AE885">
        <f t="shared" si="535"/>
        <v>1.2690513219284605</v>
      </c>
      <c r="AF885">
        <f t="shared" si="509"/>
        <v>0.59003554765607646</v>
      </c>
      <c r="AG885" s="3">
        <v>13</v>
      </c>
      <c r="AH885">
        <f t="shared" ref="AH885:AH904" si="540">(0.338*Z885)+1.428*(AA885-(AC885/8))</f>
        <v>15.689975</v>
      </c>
      <c r="AI885" s="3">
        <v>59</v>
      </c>
    </row>
    <row r="886" spans="1:38" x14ac:dyDescent="0.5">
      <c r="A886">
        <v>60</v>
      </c>
      <c r="B886">
        <v>250</v>
      </c>
      <c r="C886">
        <v>0.1</v>
      </c>
      <c r="D886">
        <v>3</v>
      </c>
      <c r="E886">
        <v>50</v>
      </c>
      <c r="F886">
        <v>30</v>
      </c>
      <c r="G886" s="3">
        <f t="shared" si="536"/>
        <v>10</v>
      </c>
      <c r="N886">
        <v>30.3</v>
      </c>
      <c r="Q886">
        <v>37.72</v>
      </c>
      <c r="R886">
        <v>4.8</v>
      </c>
      <c r="S886">
        <v>2.79</v>
      </c>
      <c r="T886">
        <v>36.130000000000003</v>
      </c>
      <c r="U886">
        <v>0</v>
      </c>
      <c r="V886">
        <f t="shared" si="537"/>
        <v>1.5270413573700956</v>
      </c>
      <c r="W886">
        <f t="shared" si="538"/>
        <v>0.71838547189819735</v>
      </c>
      <c r="X886">
        <v>20.56</v>
      </c>
      <c r="Y886" s="3">
        <f t="shared" si="539"/>
        <v>13.154555</v>
      </c>
      <c r="Z886">
        <v>49.32</v>
      </c>
      <c r="AA886">
        <v>4.58</v>
      </c>
      <c r="AB886">
        <v>2.5099999999999998</v>
      </c>
      <c r="AC886">
        <v>23.72</v>
      </c>
      <c r="AD886">
        <v>0.04</v>
      </c>
      <c r="AE886">
        <f t="shared" si="535"/>
        <v>1.1143552311435523</v>
      </c>
      <c r="AF886">
        <f t="shared" si="509"/>
        <v>0.36070559610705594</v>
      </c>
      <c r="AG886" s="3">
        <v>19.84</v>
      </c>
      <c r="AH886">
        <f t="shared" si="540"/>
        <v>18.976380000000002</v>
      </c>
      <c r="AI886" s="3">
        <v>40</v>
      </c>
    </row>
    <row r="887" spans="1:38" x14ac:dyDescent="0.5">
      <c r="A887">
        <v>180</v>
      </c>
      <c r="B887">
        <v>180</v>
      </c>
      <c r="C887">
        <v>0.1</v>
      </c>
      <c r="D887">
        <v>3</v>
      </c>
      <c r="E887">
        <v>50</v>
      </c>
      <c r="F887">
        <v>30</v>
      </c>
      <c r="G887" s="3">
        <f t="shared" si="536"/>
        <v>10</v>
      </c>
      <c r="N887">
        <v>30.3</v>
      </c>
      <c r="Q887">
        <v>37.72</v>
      </c>
      <c r="R887">
        <v>4.8</v>
      </c>
      <c r="S887">
        <v>2.79</v>
      </c>
      <c r="T887">
        <v>36.130000000000003</v>
      </c>
      <c r="U887">
        <v>0</v>
      </c>
      <c r="V887">
        <f t="shared" si="537"/>
        <v>1.5270413573700956</v>
      </c>
      <c r="W887">
        <f t="shared" si="538"/>
        <v>0.71838547189819735</v>
      </c>
      <c r="X887">
        <v>21.56</v>
      </c>
      <c r="Y887" s="3">
        <f t="shared" si="539"/>
        <v>13.154555</v>
      </c>
      <c r="Z887">
        <v>44.01</v>
      </c>
      <c r="AA887">
        <v>5.44</v>
      </c>
      <c r="AB887">
        <v>1.56</v>
      </c>
      <c r="AC887">
        <v>36.11</v>
      </c>
      <c r="AD887">
        <v>0</v>
      </c>
      <c r="AE887">
        <f t="shared" si="535"/>
        <v>1.4832992501704159</v>
      </c>
      <c r="AF887">
        <f t="shared" si="509"/>
        <v>0.61537150647580097</v>
      </c>
      <c r="AG887" s="3">
        <v>12.88</v>
      </c>
      <c r="AH887">
        <f t="shared" si="540"/>
        <v>16.198065</v>
      </c>
      <c r="AI887" s="3">
        <v>68</v>
      </c>
    </row>
    <row r="888" spans="1:38" x14ac:dyDescent="0.5">
      <c r="A888">
        <v>180</v>
      </c>
      <c r="B888">
        <v>220</v>
      </c>
      <c r="C888">
        <v>0.1</v>
      </c>
      <c r="D888">
        <v>3</v>
      </c>
      <c r="E888">
        <v>50</v>
      </c>
      <c r="F888">
        <v>30</v>
      </c>
      <c r="G888" s="3">
        <f t="shared" si="536"/>
        <v>10</v>
      </c>
      <c r="N888">
        <v>30.3</v>
      </c>
      <c r="Q888">
        <v>37.72</v>
      </c>
      <c r="R888">
        <v>4.8</v>
      </c>
      <c r="S888">
        <v>2.79</v>
      </c>
      <c r="T888">
        <v>36.130000000000003</v>
      </c>
      <c r="U888">
        <v>0</v>
      </c>
      <c r="V888">
        <f t="shared" si="537"/>
        <v>1.5270413573700956</v>
      </c>
      <c r="W888">
        <f t="shared" si="538"/>
        <v>0.71838547189819735</v>
      </c>
      <c r="X888">
        <v>22.56</v>
      </c>
      <c r="Y888" s="3">
        <f>(0.338*Q888)+1.428*(R888-(T888/8))</f>
        <v>13.154555</v>
      </c>
      <c r="Z888">
        <v>48.72</v>
      </c>
      <c r="AA888">
        <v>4.95</v>
      </c>
      <c r="AB888">
        <v>2.0499999999999998</v>
      </c>
      <c r="AC888">
        <v>25.05</v>
      </c>
      <c r="AD888">
        <v>0</v>
      </c>
      <c r="AE888">
        <f t="shared" si="535"/>
        <v>1.2192118226600988</v>
      </c>
      <c r="AF888">
        <f t="shared" si="509"/>
        <v>0.38562192118226607</v>
      </c>
      <c r="AG888" s="3">
        <v>19.239999999999998</v>
      </c>
      <c r="AH888">
        <f t="shared" si="540"/>
        <v>19.064534999999999</v>
      </c>
      <c r="AI888" s="3">
        <v>66</v>
      </c>
    </row>
    <row r="889" spans="1:38" x14ac:dyDescent="0.5">
      <c r="A889">
        <v>180</v>
      </c>
      <c r="B889">
        <v>250</v>
      </c>
      <c r="C889">
        <v>0.1</v>
      </c>
      <c r="D889">
        <v>3</v>
      </c>
      <c r="E889">
        <v>50</v>
      </c>
      <c r="F889">
        <v>30</v>
      </c>
      <c r="G889" s="3">
        <f t="shared" si="536"/>
        <v>10</v>
      </c>
      <c r="N889">
        <v>30.3</v>
      </c>
      <c r="Q889">
        <v>37.72</v>
      </c>
      <c r="R889">
        <v>4.8</v>
      </c>
      <c r="S889">
        <v>2.79</v>
      </c>
      <c r="T889">
        <v>36.130000000000003</v>
      </c>
      <c r="U889">
        <v>0</v>
      </c>
      <c r="V889">
        <f t="shared" si="537"/>
        <v>1.5270413573700956</v>
      </c>
      <c r="W889">
        <f t="shared" si="538"/>
        <v>0.71838547189819735</v>
      </c>
      <c r="X889">
        <v>23.56</v>
      </c>
      <c r="Y889" s="3">
        <f t="shared" si="539"/>
        <v>13.154555</v>
      </c>
      <c r="Z889">
        <v>52.58</v>
      </c>
      <c r="AA889">
        <v>4.38</v>
      </c>
      <c r="AB889">
        <v>2.02</v>
      </c>
      <c r="AC889">
        <v>19.739999999999998</v>
      </c>
      <c r="AD889">
        <v>0</v>
      </c>
      <c r="AE889">
        <f t="shared" si="535"/>
        <v>0.99961962723468989</v>
      </c>
      <c r="AF889">
        <f t="shared" si="509"/>
        <v>0.28157093952073026</v>
      </c>
      <c r="AG889" s="3">
        <v>21.28</v>
      </c>
      <c r="AH889">
        <f t="shared" si="540"/>
        <v>20.50309</v>
      </c>
      <c r="AI889" s="3">
        <v>58</v>
      </c>
    </row>
    <row r="890" spans="1:38" x14ac:dyDescent="0.5">
      <c r="A890">
        <v>480</v>
      </c>
      <c r="B890">
        <v>180</v>
      </c>
      <c r="C890">
        <v>0.1</v>
      </c>
      <c r="D890">
        <v>3</v>
      </c>
      <c r="E890">
        <v>50</v>
      </c>
      <c r="F890">
        <v>30</v>
      </c>
      <c r="G890" s="3">
        <f t="shared" si="536"/>
        <v>10</v>
      </c>
      <c r="N890">
        <v>30.3</v>
      </c>
      <c r="Q890">
        <v>37.72</v>
      </c>
      <c r="R890">
        <v>4.8</v>
      </c>
      <c r="S890">
        <v>2.79</v>
      </c>
      <c r="T890">
        <v>36.130000000000003</v>
      </c>
      <c r="U890">
        <v>0</v>
      </c>
      <c r="V890">
        <f t="shared" si="537"/>
        <v>1.5270413573700956</v>
      </c>
      <c r="W890">
        <f t="shared" si="538"/>
        <v>0.71838547189819735</v>
      </c>
      <c r="X890">
        <v>24.56</v>
      </c>
      <c r="Y890" s="3">
        <f t="shared" si="539"/>
        <v>13.154555</v>
      </c>
      <c r="Z890">
        <v>45.02</v>
      </c>
      <c r="AA890">
        <v>4.92</v>
      </c>
      <c r="AB890">
        <v>1.6</v>
      </c>
      <c r="AC890">
        <v>33.49</v>
      </c>
      <c r="AD890">
        <v>0</v>
      </c>
      <c r="AE890">
        <f t="shared" si="535"/>
        <v>1.3114171479342513</v>
      </c>
      <c r="AF890">
        <f t="shared" si="509"/>
        <v>0.55791870279875611</v>
      </c>
      <c r="AG890" s="3">
        <v>14.97</v>
      </c>
      <c r="AH890">
        <f t="shared" si="540"/>
        <v>16.264555000000001</v>
      </c>
      <c r="AI890" s="3">
        <v>63</v>
      </c>
    </row>
    <row r="891" spans="1:38" x14ac:dyDescent="0.5">
      <c r="A891">
        <v>480</v>
      </c>
      <c r="B891">
        <v>220</v>
      </c>
      <c r="C891">
        <v>0.1</v>
      </c>
      <c r="D891">
        <v>3</v>
      </c>
      <c r="E891">
        <v>50</v>
      </c>
      <c r="F891">
        <v>30</v>
      </c>
      <c r="G891" s="3">
        <f t="shared" si="536"/>
        <v>10</v>
      </c>
      <c r="N891">
        <v>30.3</v>
      </c>
      <c r="Q891">
        <v>37.72</v>
      </c>
      <c r="R891">
        <v>4.8</v>
      </c>
      <c r="S891">
        <v>2.79</v>
      </c>
      <c r="T891">
        <v>36.130000000000003</v>
      </c>
      <c r="U891">
        <v>0</v>
      </c>
      <c r="V891">
        <f t="shared" si="537"/>
        <v>1.5270413573700956</v>
      </c>
      <c r="W891">
        <f t="shared" si="538"/>
        <v>0.71838547189819735</v>
      </c>
      <c r="X891">
        <v>25.56</v>
      </c>
      <c r="Y891" s="3">
        <f t="shared" si="539"/>
        <v>13.154555</v>
      </c>
      <c r="Z891">
        <v>52.53</v>
      </c>
      <c r="AA891">
        <v>4.87</v>
      </c>
      <c r="AB891">
        <v>2.7</v>
      </c>
      <c r="AC891">
        <v>19.309999999999999</v>
      </c>
      <c r="AD891">
        <v>0</v>
      </c>
      <c r="AE891">
        <f t="shared" si="535"/>
        <v>1.1125071387778411</v>
      </c>
      <c r="AF891">
        <f t="shared" si="509"/>
        <v>0.27569960022844087</v>
      </c>
      <c r="AG891" s="3">
        <v>20.6</v>
      </c>
      <c r="AH891">
        <f t="shared" si="540"/>
        <v>21.262665000000002</v>
      </c>
      <c r="AI891" s="3">
        <v>42</v>
      </c>
    </row>
    <row r="892" spans="1:38" x14ac:dyDescent="0.5">
      <c r="A892">
        <v>480</v>
      </c>
      <c r="B892">
        <v>250</v>
      </c>
      <c r="C892">
        <v>0.1</v>
      </c>
      <c r="D892">
        <v>3</v>
      </c>
      <c r="E892">
        <v>50</v>
      </c>
      <c r="F892">
        <v>30</v>
      </c>
      <c r="G892" s="3">
        <f t="shared" si="536"/>
        <v>10</v>
      </c>
      <c r="N892">
        <v>30.3</v>
      </c>
      <c r="Q892">
        <v>37.72</v>
      </c>
      <c r="R892">
        <v>4.8</v>
      </c>
      <c r="S892">
        <v>2.79</v>
      </c>
      <c r="T892">
        <v>36.130000000000003</v>
      </c>
      <c r="U892">
        <v>0</v>
      </c>
      <c r="V892">
        <f t="shared" si="537"/>
        <v>1.5270413573700956</v>
      </c>
      <c r="W892">
        <f t="shared" si="538"/>
        <v>0.71838547189819735</v>
      </c>
      <c r="X892">
        <v>26.56</v>
      </c>
      <c r="Y892" s="3">
        <f t="shared" si="539"/>
        <v>13.154555</v>
      </c>
      <c r="Z892">
        <v>53.84</v>
      </c>
      <c r="AA892">
        <v>5.0999999999999996</v>
      </c>
      <c r="AB892">
        <v>2.46</v>
      </c>
      <c r="AC892">
        <v>12.91</v>
      </c>
      <c r="AD892">
        <v>0</v>
      </c>
      <c r="AE892">
        <f t="shared" si="535"/>
        <v>1.1367013372956907</v>
      </c>
      <c r="AF892">
        <f t="shared" si="509"/>
        <v>0.17983841010401186</v>
      </c>
      <c r="AG892" s="3">
        <v>25.69</v>
      </c>
      <c r="AH892">
        <f t="shared" si="540"/>
        <v>23.176285000000004</v>
      </c>
      <c r="AI892" s="3">
        <v>41</v>
      </c>
    </row>
    <row r="893" spans="1:38" x14ac:dyDescent="0.5">
      <c r="A893">
        <v>30</v>
      </c>
      <c r="B893">
        <v>230</v>
      </c>
      <c r="C893">
        <v>0.1</v>
      </c>
      <c r="D893">
        <v>20</v>
      </c>
      <c r="E893">
        <v>250</v>
      </c>
      <c r="F893">
        <v>100</v>
      </c>
      <c r="G893" s="3">
        <f t="shared" si="536"/>
        <v>5</v>
      </c>
      <c r="O893">
        <v>79.36</v>
      </c>
      <c r="P893" s="3">
        <v>12.24</v>
      </c>
      <c r="Q893">
        <v>36.03</v>
      </c>
      <c r="R893">
        <v>5.86</v>
      </c>
      <c r="S893">
        <v>0.01</v>
      </c>
      <c r="T893">
        <v>49.7</v>
      </c>
      <c r="U893">
        <v>0</v>
      </c>
      <c r="V893">
        <f t="shared" si="537"/>
        <v>1.9517069109075771</v>
      </c>
      <c r="W893">
        <f t="shared" si="538"/>
        <v>1.0345545378850958</v>
      </c>
      <c r="X893">
        <v>8.4</v>
      </c>
      <c r="Y893" s="3">
        <f t="shared" si="539"/>
        <v>11.674770000000001</v>
      </c>
      <c r="Z893">
        <v>35.01</v>
      </c>
      <c r="AA893">
        <v>5.32</v>
      </c>
      <c r="AB893">
        <v>0</v>
      </c>
      <c r="AC893">
        <v>46.47</v>
      </c>
      <c r="AD893">
        <v>0</v>
      </c>
      <c r="AE893">
        <f t="shared" si="535"/>
        <v>1.8234790059982864</v>
      </c>
      <c r="AF893">
        <f t="shared" si="509"/>
        <v>0.99550128534704363</v>
      </c>
      <c r="AG893" s="3">
        <v>13.2</v>
      </c>
      <c r="AH893">
        <f t="shared" si="540"/>
        <v>11.135445000000001</v>
      </c>
      <c r="AI893" s="3">
        <v>83</v>
      </c>
      <c r="AJ893" s="2" t="s">
        <v>238</v>
      </c>
      <c r="AK893" t="s">
        <v>237</v>
      </c>
      <c r="AL893">
        <v>110</v>
      </c>
    </row>
    <row r="894" spans="1:38" x14ac:dyDescent="0.5">
      <c r="A894">
        <v>30</v>
      </c>
      <c r="B894">
        <v>250</v>
      </c>
      <c r="C894">
        <v>0.1</v>
      </c>
      <c r="D894">
        <v>20</v>
      </c>
      <c r="E894">
        <v>250</v>
      </c>
      <c r="F894">
        <v>100</v>
      </c>
      <c r="G894" s="3">
        <f t="shared" ref="G894:G896" si="541">F894/D894</f>
        <v>5</v>
      </c>
      <c r="O894">
        <v>79.36</v>
      </c>
      <c r="P894" s="3">
        <v>12.24</v>
      </c>
      <c r="Q894">
        <v>36.03</v>
      </c>
      <c r="R894">
        <v>5.86</v>
      </c>
      <c r="S894">
        <v>0.01</v>
      </c>
      <c r="T894">
        <v>49.7</v>
      </c>
      <c r="U894">
        <v>0</v>
      </c>
      <c r="V894">
        <f t="shared" ref="V894:V897" si="542">(R894/1)/(Q894/12)</f>
        <v>1.9517069109075771</v>
      </c>
      <c r="W894">
        <f t="shared" ref="W894:W897" si="543">(T894/16)/(Q894/12)</f>
        <v>1.0345545378850958</v>
      </c>
      <c r="X894">
        <v>8.4</v>
      </c>
      <c r="Y894" s="3">
        <f t="shared" ref="Y894:Y897" si="544">(0.338*Q894)+1.428*(R894-(T894/8))</f>
        <v>11.674770000000001</v>
      </c>
      <c r="Z894">
        <v>37.53</v>
      </c>
      <c r="AA894">
        <v>4.08</v>
      </c>
      <c r="AB894">
        <v>0.02</v>
      </c>
      <c r="AC894">
        <v>36.11</v>
      </c>
      <c r="AD894">
        <v>0</v>
      </c>
      <c r="AE894">
        <f t="shared" si="535"/>
        <v>1.3045563549160673</v>
      </c>
      <c r="AF894">
        <f t="shared" si="509"/>
        <v>0.72162270183852917</v>
      </c>
      <c r="AG894" s="3">
        <v>22.27</v>
      </c>
      <c r="AH894">
        <f t="shared" si="540"/>
        <v>12.065745000000001</v>
      </c>
      <c r="AI894" s="3">
        <v>58</v>
      </c>
    </row>
    <row r="895" spans="1:38" x14ac:dyDescent="0.5">
      <c r="A895">
        <v>60</v>
      </c>
      <c r="B895">
        <v>250</v>
      </c>
      <c r="C895">
        <v>0.1</v>
      </c>
      <c r="D895">
        <v>20</v>
      </c>
      <c r="E895">
        <v>250</v>
      </c>
      <c r="F895">
        <v>100</v>
      </c>
      <c r="G895" s="3">
        <f t="shared" si="541"/>
        <v>5</v>
      </c>
      <c r="O895">
        <v>79.36</v>
      </c>
      <c r="P895" s="3">
        <v>12.24</v>
      </c>
      <c r="Q895">
        <v>36.03</v>
      </c>
      <c r="R895">
        <v>5.86</v>
      </c>
      <c r="S895">
        <v>0.01</v>
      </c>
      <c r="T895">
        <v>49.7</v>
      </c>
      <c r="U895">
        <v>0</v>
      </c>
      <c r="V895">
        <f t="shared" si="542"/>
        <v>1.9517069109075771</v>
      </c>
      <c r="W895">
        <f t="shared" si="543"/>
        <v>1.0345545378850958</v>
      </c>
      <c r="X895">
        <v>8.4</v>
      </c>
      <c r="Y895" s="3">
        <f t="shared" si="544"/>
        <v>11.674770000000001</v>
      </c>
      <c r="Z895">
        <v>38.299999999999997</v>
      </c>
      <c r="AA895">
        <v>3.69</v>
      </c>
      <c r="AB895">
        <v>0.03</v>
      </c>
      <c r="AC895">
        <v>28.85</v>
      </c>
      <c r="AD895">
        <v>0</v>
      </c>
      <c r="AE895">
        <f t="shared" si="535"/>
        <v>1.156135770234987</v>
      </c>
      <c r="AF895">
        <f t="shared" si="509"/>
        <v>0.56494778067885121</v>
      </c>
      <c r="AG895" s="3">
        <v>29.13</v>
      </c>
      <c r="AH895">
        <f t="shared" si="540"/>
        <v>13.064995</v>
      </c>
      <c r="AI895" s="3">
        <v>55</v>
      </c>
    </row>
    <row r="896" spans="1:38" x14ac:dyDescent="0.5">
      <c r="A896">
        <v>120</v>
      </c>
      <c r="B896">
        <v>250</v>
      </c>
      <c r="C896">
        <v>0.1</v>
      </c>
      <c r="D896">
        <v>20</v>
      </c>
      <c r="E896">
        <v>250</v>
      </c>
      <c r="F896">
        <v>100</v>
      </c>
      <c r="G896" s="3">
        <f t="shared" si="541"/>
        <v>5</v>
      </c>
      <c r="O896">
        <v>79.36</v>
      </c>
      <c r="P896" s="3">
        <v>12.24</v>
      </c>
      <c r="Q896">
        <v>36.03</v>
      </c>
      <c r="R896">
        <v>5.86</v>
      </c>
      <c r="S896">
        <v>0.01</v>
      </c>
      <c r="T896">
        <v>49.7</v>
      </c>
      <c r="U896">
        <v>0</v>
      </c>
      <c r="V896">
        <f t="shared" si="542"/>
        <v>1.9517069109075771</v>
      </c>
      <c r="W896">
        <f t="shared" si="543"/>
        <v>1.0345545378850958</v>
      </c>
      <c r="X896">
        <v>8.4</v>
      </c>
      <c r="Y896" s="3">
        <f t="shared" si="544"/>
        <v>11.674770000000001</v>
      </c>
      <c r="Z896">
        <v>39.32</v>
      </c>
      <c r="AA896">
        <v>3.02</v>
      </c>
      <c r="AB896">
        <v>0.02</v>
      </c>
      <c r="AC896">
        <v>26.41</v>
      </c>
      <c r="AD896">
        <v>0</v>
      </c>
      <c r="AE896">
        <f t="shared" si="535"/>
        <v>0.92166836215666326</v>
      </c>
      <c r="AF896">
        <f t="shared" si="509"/>
        <v>0.50375127161749744</v>
      </c>
      <c r="AG896" s="3">
        <v>31.23</v>
      </c>
      <c r="AH896">
        <f t="shared" si="540"/>
        <v>12.888535000000001</v>
      </c>
      <c r="AI896" s="3">
        <v>49</v>
      </c>
    </row>
    <row r="897" spans="1:38" x14ac:dyDescent="0.5">
      <c r="A897">
        <v>30</v>
      </c>
      <c r="B897">
        <v>210</v>
      </c>
      <c r="C897">
        <v>0.1</v>
      </c>
      <c r="D897">
        <v>20</v>
      </c>
      <c r="E897">
        <v>250</v>
      </c>
      <c r="F897">
        <v>100</v>
      </c>
      <c r="G897" s="3">
        <f t="shared" ref="G897:G906" si="545">F897/D897</f>
        <v>5</v>
      </c>
      <c r="O897">
        <v>75.040000000000006</v>
      </c>
      <c r="P897" s="3">
        <v>16.440000000000001</v>
      </c>
      <c r="Q897">
        <v>38.36</v>
      </c>
      <c r="R897">
        <v>6.34</v>
      </c>
      <c r="S897">
        <v>3.56</v>
      </c>
      <c r="T897">
        <v>43.22</v>
      </c>
      <c r="U897">
        <v>0</v>
      </c>
      <c r="V897">
        <f t="shared" si="542"/>
        <v>1.9833159541188736</v>
      </c>
      <c r="W897">
        <f t="shared" si="543"/>
        <v>0.84502085505735136</v>
      </c>
      <c r="X897">
        <v>8.5299999999999994</v>
      </c>
      <c r="Y897" s="3">
        <f t="shared" si="544"/>
        <v>14.30443</v>
      </c>
      <c r="Z897">
        <v>45.02</v>
      </c>
      <c r="AA897">
        <v>6.33</v>
      </c>
      <c r="AB897">
        <v>1.5</v>
      </c>
      <c r="AC897">
        <v>39.72</v>
      </c>
      <c r="AD897">
        <v>0</v>
      </c>
      <c r="AE897">
        <f t="shared" si="535"/>
        <v>1.6872501110617502</v>
      </c>
      <c r="AF897">
        <f t="shared" si="509"/>
        <v>0.66170590848511768</v>
      </c>
      <c r="AG897" s="3">
        <v>7.43</v>
      </c>
      <c r="AH897">
        <f t="shared" si="540"/>
        <v>17.165980000000001</v>
      </c>
      <c r="AI897" s="3">
        <v>72</v>
      </c>
    </row>
    <row r="898" spans="1:38" x14ac:dyDescent="0.5">
      <c r="A898">
        <v>60</v>
      </c>
      <c r="B898">
        <v>210</v>
      </c>
      <c r="C898">
        <v>0.1</v>
      </c>
      <c r="D898">
        <v>20</v>
      </c>
      <c r="E898">
        <v>250</v>
      </c>
      <c r="F898">
        <v>100</v>
      </c>
      <c r="G898" s="3">
        <f t="shared" si="545"/>
        <v>5</v>
      </c>
      <c r="O898">
        <v>75.040000000000006</v>
      </c>
      <c r="P898" s="3">
        <v>16.440000000000001</v>
      </c>
      <c r="Q898">
        <v>38.36</v>
      </c>
      <c r="R898">
        <v>6.34</v>
      </c>
      <c r="S898">
        <v>3.56</v>
      </c>
      <c r="T898">
        <v>43.22</v>
      </c>
      <c r="U898">
        <v>0</v>
      </c>
      <c r="V898">
        <f t="shared" ref="V898:V901" si="546">(R898/1)/(Q898/12)</f>
        <v>1.9833159541188736</v>
      </c>
      <c r="W898">
        <f t="shared" ref="W898:W901" si="547">(T898/16)/(Q898/12)</f>
        <v>0.84502085505735136</v>
      </c>
      <c r="X898">
        <v>8.5299999999999994</v>
      </c>
      <c r="Y898" s="3">
        <f t="shared" ref="Y898:Y901" si="548">(0.338*Q898)+1.428*(R898-(T898/8))</f>
        <v>14.30443</v>
      </c>
      <c r="Z898">
        <v>46.14</v>
      </c>
      <c r="AA898">
        <v>6.25</v>
      </c>
      <c r="AB898">
        <v>1.82</v>
      </c>
      <c r="AC898">
        <v>38.67</v>
      </c>
      <c r="AD898">
        <v>0</v>
      </c>
      <c r="AE898">
        <f t="shared" si="535"/>
        <v>1.6254876462938881</v>
      </c>
      <c r="AF898">
        <f t="shared" si="509"/>
        <v>0.62857607282184658</v>
      </c>
      <c r="AG898" s="3">
        <v>7.12</v>
      </c>
      <c r="AH898">
        <f t="shared" si="540"/>
        <v>17.617725</v>
      </c>
      <c r="AI898" s="3">
        <v>64</v>
      </c>
    </row>
    <row r="899" spans="1:38" x14ac:dyDescent="0.5">
      <c r="A899">
        <v>30</v>
      </c>
      <c r="B899">
        <v>250</v>
      </c>
      <c r="C899">
        <v>0.1</v>
      </c>
      <c r="D899">
        <v>20</v>
      </c>
      <c r="E899">
        <v>250</v>
      </c>
      <c r="F899">
        <v>100</v>
      </c>
      <c r="G899" s="3">
        <f t="shared" si="545"/>
        <v>5</v>
      </c>
      <c r="O899">
        <v>75.040000000000006</v>
      </c>
      <c r="P899" s="3">
        <v>16.440000000000001</v>
      </c>
      <c r="Q899">
        <v>38.36</v>
      </c>
      <c r="R899">
        <v>6.34</v>
      </c>
      <c r="S899">
        <v>3.56</v>
      </c>
      <c r="T899">
        <v>43.22</v>
      </c>
      <c r="U899">
        <v>0</v>
      </c>
      <c r="V899">
        <f t="shared" si="546"/>
        <v>1.9833159541188736</v>
      </c>
      <c r="W899">
        <f t="shared" si="547"/>
        <v>0.84502085505735136</v>
      </c>
      <c r="X899">
        <v>8.5299999999999994</v>
      </c>
      <c r="Y899" s="3">
        <f t="shared" si="548"/>
        <v>14.30443</v>
      </c>
      <c r="Z899">
        <v>51.08</v>
      </c>
      <c r="AA899">
        <v>5.99</v>
      </c>
      <c r="AB899">
        <v>2.78</v>
      </c>
      <c r="AC899">
        <v>32.020000000000003</v>
      </c>
      <c r="AD899">
        <v>0</v>
      </c>
      <c r="AE899">
        <f t="shared" si="535"/>
        <v>1.4072043852779954</v>
      </c>
      <c r="AF899">
        <f t="shared" si="509"/>
        <v>0.47014487079091621</v>
      </c>
      <c r="AG899" s="3">
        <v>8.14</v>
      </c>
      <c r="AH899">
        <f t="shared" si="540"/>
        <v>20.103189999999998</v>
      </c>
      <c r="AI899" s="3">
        <v>55</v>
      </c>
    </row>
    <row r="900" spans="1:38" x14ac:dyDescent="0.5">
      <c r="A900">
        <v>60</v>
      </c>
      <c r="B900">
        <v>250</v>
      </c>
      <c r="C900">
        <v>0.1</v>
      </c>
      <c r="D900">
        <v>20</v>
      </c>
      <c r="E900">
        <v>250</v>
      </c>
      <c r="F900">
        <v>100</v>
      </c>
      <c r="G900" s="3">
        <f t="shared" si="545"/>
        <v>5</v>
      </c>
      <c r="O900">
        <v>75.040000000000006</v>
      </c>
      <c r="P900" s="3">
        <v>16.440000000000001</v>
      </c>
      <c r="Q900">
        <v>38.36</v>
      </c>
      <c r="R900">
        <v>6.34</v>
      </c>
      <c r="S900">
        <v>3.56</v>
      </c>
      <c r="T900">
        <v>43.22</v>
      </c>
      <c r="U900">
        <v>0</v>
      </c>
      <c r="V900">
        <f t="shared" si="546"/>
        <v>1.9833159541188736</v>
      </c>
      <c r="W900">
        <f t="shared" si="547"/>
        <v>0.84502085505735136</v>
      </c>
      <c r="X900">
        <v>8.5299999999999994</v>
      </c>
      <c r="Y900" s="3">
        <f t="shared" si="548"/>
        <v>14.30443</v>
      </c>
      <c r="Z900">
        <v>55.36</v>
      </c>
      <c r="AA900">
        <v>5.71</v>
      </c>
      <c r="AB900">
        <v>3.72</v>
      </c>
      <c r="AC900">
        <v>25.72</v>
      </c>
      <c r="AD900">
        <v>0</v>
      </c>
      <c r="AE900">
        <f t="shared" si="535"/>
        <v>1.2377167630057804</v>
      </c>
      <c r="AF900">
        <f t="shared" si="509"/>
        <v>0.34844653179190749</v>
      </c>
      <c r="AG900" s="3">
        <v>9.49</v>
      </c>
      <c r="AH900">
        <f t="shared" si="540"/>
        <v>22.274540000000002</v>
      </c>
      <c r="AI900" s="3">
        <v>51</v>
      </c>
    </row>
    <row r="901" spans="1:38" x14ac:dyDescent="0.5">
      <c r="A901">
        <v>30</v>
      </c>
      <c r="B901">
        <v>210</v>
      </c>
      <c r="C901">
        <v>0.1</v>
      </c>
      <c r="D901">
        <v>20</v>
      </c>
      <c r="E901">
        <v>250</v>
      </c>
      <c r="F901">
        <v>100</v>
      </c>
      <c r="G901" s="3">
        <f t="shared" si="545"/>
        <v>5</v>
      </c>
      <c r="O901">
        <v>81.88</v>
      </c>
      <c r="P901" s="3">
        <v>13.47</v>
      </c>
      <c r="Q901">
        <v>43.02</v>
      </c>
      <c r="R901">
        <v>6.98</v>
      </c>
      <c r="S901">
        <v>2.8</v>
      </c>
      <c r="T901">
        <v>42.56</v>
      </c>
      <c r="U901">
        <v>0</v>
      </c>
      <c r="V901">
        <f t="shared" si="546"/>
        <v>1.9470013947001394</v>
      </c>
      <c r="W901">
        <f t="shared" si="547"/>
        <v>0.74198047419804736</v>
      </c>
      <c r="X901">
        <v>4.6500000000000004</v>
      </c>
      <c r="Y901" s="3">
        <f t="shared" si="548"/>
        <v>16.911240000000003</v>
      </c>
      <c r="Z901">
        <v>61.63</v>
      </c>
      <c r="AA901">
        <v>6.6</v>
      </c>
      <c r="AB901">
        <v>4.1399999999999997</v>
      </c>
      <c r="AC901">
        <v>23.06</v>
      </c>
      <c r="AD901">
        <v>0</v>
      </c>
      <c r="AE901">
        <f t="shared" si="535"/>
        <v>1.2850884309589485</v>
      </c>
      <c r="AF901">
        <f t="shared" si="509"/>
        <v>0.28062631835145219</v>
      </c>
      <c r="AG901" s="3">
        <v>4.57</v>
      </c>
      <c r="AH901">
        <f t="shared" si="540"/>
        <v>26.139530000000001</v>
      </c>
      <c r="AI901" s="3">
        <v>70</v>
      </c>
    </row>
    <row r="902" spans="1:38" x14ac:dyDescent="0.5">
      <c r="A902">
        <v>90</v>
      </c>
      <c r="B902">
        <v>210</v>
      </c>
      <c r="C902">
        <v>0.1</v>
      </c>
      <c r="D902">
        <v>20</v>
      </c>
      <c r="E902">
        <v>250</v>
      </c>
      <c r="F902">
        <v>100</v>
      </c>
      <c r="G902" s="3">
        <f t="shared" si="545"/>
        <v>5</v>
      </c>
      <c r="O902">
        <v>81.88</v>
      </c>
      <c r="P902" s="3">
        <v>13.47</v>
      </c>
      <c r="Q902">
        <v>43.02</v>
      </c>
      <c r="R902">
        <v>6.98</v>
      </c>
      <c r="S902">
        <v>2.8</v>
      </c>
      <c r="T902">
        <v>42.56</v>
      </c>
      <c r="U902">
        <v>0</v>
      </c>
      <c r="V902">
        <f t="shared" ref="V902:V904" si="549">(R902/1)/(Q902/12)</f>
        <v>1.9470013947001394</v>
      </c>
      <c r="W902">
        <f t="shared" ref="W902:W904" si="550">(T902/16)/(Q902/12)</f>
        <v>0.74198047419804736</v>
      </c>
      <c r="X902">
        <v>4.6500000000000004</v>
      </c>
      <c r="Y902" s="3">
        <f t="shared" ref="Y902:Y904" si="551">(0.338*Q902)+1.428*(R902-(T902/8))</f>
        <v>16.911240000000003</v>
      </c>
      <c r="Z902">
        <v>61.51</v>
      </c>
      <c r="AA902">
        <v>6.41</v>
      </c>
      <c r="AB902">
        <v>3.99</v>
      </c>
      <c r="AC902">
        <v>23.9</v>
      </c>
      <c r="AD902">
        <v>0</v>
      </c>
      <c r="AE902">
        <f t="shared" si="535"/>
        <v>1.250528369370834</v>
      </c>
      <c r="AF902">
        <f t="shared" si="509"/>
        <v>0.29141602991383514</v>
      </c>
      <c r="AG902" s="3">
        <v>4.21</v>
      </c>
      <c r="AH902">
        <f t="shared" si="540"/>
        <v>25.677709999999998</v>
      </c>
      <c r="AI902" s="3">
        <v>63</v>
      </c>
    </row>
    <row r="903" spans="1:38" x14ac:dyDescent="0.5">
      <c r="A903">
        <v>30</v>
      </c>
      <c r="B903">
        <v>250</v>
      </c>
      <c r="C903">
        <v>0.1</v>
      </c>
      <c r="D903">
        <v>20</v>
      </c>
      <c r="E903">
        <v>250</v>
      </c>
      <c r="F903">
        <v>100</v>
      </c>
      <c r="G903" s="3">
        <f t="shared" si="545"/>
        <v>5</v>
      </c>
      <c r="O903">
        <v>81.88</v>
      </c>
      <c r="P903" s="3">
        <v>13.47</v>
      </c>
      <c r="Q903">
        <v>43.02</v>
      </c>
      <c r="R903">
        <v>6.98</v>
      </c>
      <c r="S903">
        <v>2.8</v>
      </c>
      <c r="T903">
        <v>42.56</v>
      </c>
      <c r="U903">
        <v>0</v>
      </c>
      <c r="V903">
        <f t="shared" si="549"/>
        <v>1.9470013947001394</v>
      </c>
      <c r="W903">
        <f t="shared" si="550"/>
        <v>0.74198047419804736</v>
      </c>
      <c r="X903">
        <v>4.6500000000000004</v>
      </c>
      <c r="Y903" s="3">
        <f t="shared" si="551"/>
        <v>16.911240000000003</v>
      </c>
      <c r="Z903">
        <v>65.38</v>
      </c>
      <c r="AA903">
        <v>6.45</v>
      </c>
      <c r="AB903">
        <v>4.07</v>
      </c>
      <c r="AC903">
        <v>19.66</v>
      </c>
      <c r="AD903">
        <v>0</v>
      </c>
      <c r="AE903">
        <f t="shared" si="535"/>
        <v>1.1838482716427043</v>
      </c>
      <c r="AF903">
        <f t="shared" si="509"/>
        <v>0.22552768430712758</v>
      </c>
      <c r="AG903" s="3">
        <v>4.4400000000000004</v>
      </c>
      <c r="AH903">
        <f t="shared" si="540"/>
        <v>27.79973</v>
      </c>
      <c r="AI903" s="3">
        <v>55</v>
      </c>
    </row>
    <row r="904" spans="1:38" x14ac:dyDescent="0.5">
      <c r="A904">
        <v>60</v>
      </c>
      <c r="B904">
        <v>280</v>
      </c>
      <c r="C904">
        <v>0.1</v>
      </c>
      <c r="D904">
        <v>20</v>
      </c>
      <c r="E904">
        <v>250</v>
      </c>
      <c r="F904">
        <v>100</v>
      </c>
      <c r="G904" s="3">
        <f t="shared" si="545"/>
        <v>5</v>
      </c>
      <c r="O904">
        <v>63.26</v>
      </c>
      <c r="P904" s="3">
        <v>31.84</v>
      </c>
      <c r="Q904">
        <v>80.739999999999995</v>
      </c>
      <c r="R904">
        <v>7.98</v>
      </c>
      <c r="S904">
        <v>0.48</v>
      </c>
      <c r="T904">
        <v>4.62</v>
      </c>
      <c r="U904">
        <v>0</v>
      </c>
      <c r="V904">
        <f t="shared" si="549"/>
        <v>1.18602922962596</v>
      </c>
      <c r="W904">
        <f t="shared" si="550"/>
        <v>4.2915531335149866E-2</v>
      </c>
      <c r="X904">
        <v>4.9000000000000004</v>
      </c>
      <c r="Y904" s="3">
        <f t="shared" si="551"/>
        <v>37.860890000000005</v>
      </c>
      <c r="Z904">
        <v>82.51</v>
      </c>
      <c r="AA904">
        <v>8.0500000000000007</v>
      </c>
      <c r="AB904">
        <v>0.2</v>
      </c>
      <c r="AC904">
        <v>1.93</v>
      </c>
      <c r="AD904">
        <v>0</v>
      </c>
      <c r="AE904">
        <f t="shared" si="535"/>
        <v>1.1707671797357897</v>
      </c>
      <c r="AF904">
        <f t="shared" si="509"/>
        <v>1.7543328081444671E-2</v>
      </c>
      <c r="AG904" s="3">
        <v>6.17</v>
      </c>
      <c r="AH904">
        <f t="shared" si="540"/>
        <v>39.039275000000004</v>
      </c>
      <c r="AI904" s="3">
        <v>97</v>
      </c>
    </row>
    <row r="905" spans="1:38" x14ac:dyDescent="0.5">
      <c r="A905">
        <v>120</v>
      </c>
      <c r="B905">
        <v>280</v>
      </c>
      <c r="C905">
        <v>0.1</v>
      </c>
      <c r="D905">
        <v>20</v>
      </c>
      <c r="E905">
        <v>250</v>
      </c>
      <c r="F905">
        <v>100</v>
      </c>
      <c r="G905" s="3">
        <f t="shared" si="545"/>
        <v>5</v>
      </c>
      <c r="O905">
        <v>63.26</v>
      </c>
      <c r="P905" s="3">
        <v>31.84</v>
      </c>
      <c r="Q905">
        <v>80.739999999999995</v>
      </c>
      <c r="R905">
        <v>7.98</v>
      </c>
      <c r="S905">
        <v>0.48</v>
      </c>
      <c r="T905">
        <v>4.62</v>
      </c>
      <c r="U905">
        <v>0</v>
      </c>
      <c r="V905">
        <f t="shared" ref="V905:V906" si="552">(R905/1)/(Q905/12)</f>
        <v>1.18602922962596</v>
      </c>
      <c r="W905">
        <f t="shared" ref="W905:W906" si="553">(T905/16)/(Q905/12)</f>
        <v>4.2915531335149866E-2</v>
      </c>
      <c r="X905">
        <v>4.9000000000000004</v>
      </c>
      <c r="Y905" s="3">
        <f>(0.338*Q905)+1.428*(R905-(T905/8))</f>
        <v>37.860890000000005</v>
      </c>
      <c r="Z905">
        <v>83.08</v>
      </c>
      <c r="AA905">
        <v>8.09</v>
      </c>
      <c r="AB905">
        <v>0.21</v>
      </c>
      <c r="AC905">
        <v>0.87</v>
      </c>
      <c r="AD905">
        <v>0</v>
      </c>
      <c r="AE905">
        <f t="shared" si="535"/>
        <v>1.1685122773230621</v>
      </c>
      <c r="AF905">
        <f t="shared" si="509"/>
        <v>7.8538757823784309E-3</v>
      </c>
      <c r="AG905" s="3">
        <v>6.64</v>
      </c>
      <c r="AH905">
        <f>(0.338*Z905)+1.428*(AA905-(AC905/8))</f>
        <v>39.478265</v>
      </c>
      <c r="AI905" s="3">
        <v>95</v>
      </c>
    </row>
    <row r="906" spans="1:38" x14ac:dyDescent="0.5">
      <c r="A906">
        <v>60</v>
      </c>
      <c r="B906">
        <v>180</v>
      </c>
      <c r="C906">
        <v>0.1</v>
      </c>
      <c r="D906">
        <v>3</v>
      </c>
      <c r="E906">
        <v>50</v>
      </c>
      <c r="F906">
        <v>30</v>
      </c>
      <c r="G906" s="3">
        <f t="shared" si="545"/>
        <v>10</v>
      </c>
      <c r="Q906">
        <v>37.799999999999997</v>
      </c>
      <c r="R906">
        <v>4.8</v>
      </c>
      <c r="S906">
        <v>1.9</v>
      </c>
      <c r="T906">
        <v>31</v>
      </c>
      <c r="U906">
        <v>0.1</v>
      </c>
      <c r="V906">
        <f t="shared" si="552"/>
        <v>1.5238095238095237</v>
      </c>
      <c r="W906">
        <f t="shared" si="553"/>
        <v>0.61507936507936511</v>
      </c>
      <c r="X906">
        <v>24.4</v>
      </c>
      <c r="Y906" s="3">
        <v>15.1</v>
      </c>
      <c r="Z906">
        <v>44.2</v>
      </c>
      <c r="AA906">
        <v>4.5999999999999996</v>
      </c>
      <c r="AB906">
        <v>2.4</v>
      </c>
      <c r="AC906">
        <v>23.5</v>
      </c>
      <c r="AD906">
        <v>0.1</v>
      </c>
      <c r="AE906">
        <f t="shared" si="535"/>
        <v>1.2488687782805428</v>
      </c>
      <c r="AF906">
        <f t="shared" si="509"/>
        <v>0.39875565610859726</v>
      </c>
      <c r="AG906" s="3">
        <v>25.2</v>
      </c>
      <c r="AH906">
        <v>17.8</v>
      </c>
      <c r="AI906" s="3">
        <v>74.7</v>
      </c>
      <c r="AJ906" s="2" t="s">
        <v>239</v>
      </c>
      <c r="AK906" t="s">
        <v>240</v>
      </c>
      <c r="AL906">
        <v>111</v>
      </c>
    </row>
    <row r="907" spans="1:38" x14ac:dyDescent="0.5">
      <c r="A907">
        <v>240</v>
      </c>
      <c r="B907">
        <v>180</v>
      </c>
      <c r="C907">
        <v>0.1</v>
      </c>
      <c r="D907">
        <v>3</v>
      </c>
      <c r="E907">
        <v>50</v>
      </c>
      <c r="F907">
        <v>30</v>
      </c>
      <c r="G907" s="3">
        <f t="shared" ref="G907" si="554">F907/D907</f>
        <v>10</v>
      </c>
      <c r="Q907">
        <v>37.799999999999997</v>
      </c>
      <c r="R907">
        <v>4.8</v>
      </c>
      <c r="S907">
        <v>1.9</v>
      </c>
      <c r="T907">
        <v>31</v>
      </c>
      <c r="U907">
        <v>0.1</v>
      </c>
      <c r="V907">
        <f t="shared" ref="V907:V913" si="555">(R907/1)/(Q907/12)</f>
        <v>1.5238095238095237</v>
      </c>
      <c r="W907">
        <f t="shared" ref="W907:W913" si="556">(T907/16)/(Q907/12)</f>
        <v>0.61507936507936511</v>
      </c>
      <c r="X907">
        <v>24.4</v>
      </c>
      <c r="Y907" s="3">
        <v>15.1</v>
      </c>
      <c r="Z907">
        <v>54.4</v>
      </c>
      <c r="AA907">
        <v>6.2</v>
      </c>
      <c r="AB907">
        <v>4.4000000000000004</v>
      </c>
      <c r="AC907">
        <v>18.399999999999999</v>
      </c>
      <c r="AD907">
        <v>0</v>
      </c>
      <c r="AE907">
        <f t="shared" si="535"/>
        <v>1.3676470588235294</v>
      </c>
      <c r="AF907">
        <f t="shared" si="509"/>
        <v>0.25367647058823528</v>
      </c>
      <c r="AG907" s="3">
        <v>25</v>
      </c>
      <c r="AH907">
        <v>24.3</v>
      </c>
      <c r="AI907" s="3">
        <v>52.5</v>
      </c>
    </row>
    <row r="908" spans="1:38" x14ac:dyDescent="0.5">
      <c r="A908">
        <v>60</v>
      </c>
      <c r="B908">
        <v>200</v>
      </c>
      <c r="C908">
        <v>0.1</v>
      </c>
      <c r="D908">
        <v>3</v>
      </c>
      <c r="E908">
        <v>50</v>
      </c>
      <c r="F908">
        <v>30</v>
      </c>
      <c r="G908" s="3">
        <f t="shared" ref="G908:G913" si="557">F908/D908</f>
        <v>10</v>
      </c>
      <c r="Q908">
        <v>37.799999999999997</v>
      </c>
      <c r="R908">
        <v>4.8</v>
      </c>
      <c r="S908">
        <v>1.9</v>
      </c>
      <c r="T908">
        <v>31</v>
      </c>
      <c r="U908">
        <v>0.1</v>
      </c>
      <c r="V908">
        <f t="shared" si="555"/>
        <v>1.5238095238095237</v>
      </c>
      <c r="W908">
        <f t="shared" si="556"/>
        <v>0.61507936507936511</v>
      </c>
      <c r="X908">
        <v>24.4</v>
      </c>
      <c r="Y908" s="3">
        <v>15.1</v>
      </c>
      <c r="Z908">
        <v>46.6</v>
      </c>
      <c r="AA908">
        <v>4.7</v>
      </c>
      <c r="AB908">
        <v>2.1</v>
      </c>
      <c r="AC908">
        <v>21.3</v>
      </c>
      <c r="AD908">
        <v>0.1</v>
      </c>
      <c r="AE908">
        <f t="shared" si="535"/>
        <v>1.2103004291845494</v>
      </c>
      <c r="AF908">
        <f t="shared" si="509"/>
        <v>0.34281115879828328</v>
      </c>
      <c r="AG908" s="3">
        <v>25.2</v>
      </c>
      <c r="AH908">
        <v>19</v>
      </c>
      <c r="AI908" s="3">
        <v>60.7</v>
      </c>
    </row>
    <row r="909" spans="1:38" x14ac:dyDescent="0.5">
      <c r="A909">
        <v>120</v>
      </c>
      <c r="B909">
        <v>200</v>
      </c>
      <c r="C909">
        <v>0.1</v>
      </c>
      <c r="D909">
        <v>3</v>
      </c>
      <c r="E909">
        <v>50</v>
      </c>
      <c r="F909">
        <v>30</v>
      </c>
      <c r="G909" s="3">
        <f t="shared" si="557"/>
        <v>10</v>
      </c>
      <c r="Q909">
        <v>37.799999999999997</v>
      </c>
      <c r="R909">
        <v>4.8</v>
      </c>
      <c r="S909">
        <v>1.9</v>
      </c>
      <c r="T909">
        <v>31</v>
      </c>
      <c r="U909">
        <v>0.1</v>
      </c>
      <c r="V909">
        <f t="shared" si="555"/>
        <v>1.5238095238095237</v>
      </c>
      <c r="W909">
        <f t="shared" si="556"/>
        <v>0.61507936507936511</v>
      </c>
      <c r="X909">
        <v>24.4</v>
      </c>
      <c r="Y909" s="3">
        <v>15.1</v>
      </c>
      <c r="Z909">
        <v>52</v>
      </c>
      <c r="AA909">
        <v>6</v>
      </c>
      <c r="AB909">
        <v>3.8</v>
      </c>
      <c r="AC909">
        <v>21.7</v>
      </c>
      <c r="AD909">
        <v>0.3</v>
      </c>
      <c r="AE909">
        <f t="shared" si="535"/>
        <v>1.3846153846153848</v>
      </c>
      <c r="AF909">
        <f t="shared" si="509"/>
        <v>0.31298076923076923</v>
      </c>
      <c r="AG909" s="3">
        <v>16.399999999999999</v>
      </c>
      <c r="AH909">
        <v>22.7</v>
      </c>
      <c r="AI909" s="3">
        <v>45.8</v>
      </c>
    </row>
    <row r="910" spans="1:38" x14ac:dyDescent="0.5">
      <c r="A910">
        <v>60</v>
      </c>
      <c r="B910">
        <v>220</v>
      </c>
      <c r="C910">
        <v>0.1</v>
      </c>
      <c r="D910">
        <v>3</v>
      </c>
      <c r="E910">
        <v>50</v>
      </c>
      <c r="F910">
        <v>30</v>
      </c>
      <c r="G910" s="3">
        <f t="shared" si="557"/>
        <v>10</v>
      </c>
      <c r="Q910">
        <v>37.799999999999997</v>
      </c>
      <c r="R910">
        <v>4.8</v>
      </c>
      <c r="S910">
        <v>1.9</v>
      </c>
      <c r="T910">
        <v>31</v>
      </c>
      <c r="U910">
        <v>0.1</v>
      </c>
      <c r="V910">
        <f t="shared" si="555"/>
        <v>1.5238095238095237</v>
      </c>
      <c r="W910">
        <f t="shared" si="556"/>
        <v>0.61507936507936511</v>
      </c>
      <c r="X910">
        <v>24.4</v>
      </c>
      <c r="Y910" s="3">
        <v>15.1</v>
      </c>
      <c r="Z910">
        <v>45</v>
      </c>
      <c r="AA910">
        <v>4.4000000000000004</v>
      </c>
      <c r="AB910">
        <v>2.4</v>
      </c>
      <c r="AC910">
        <v>17.600000000000001</v>
      </c>
      <c r="AD910">
        <v>0.2</v>
      </c>
      <c r="AE910">
        <f t="shared" si="535"/>
        <v>1.1733333333333333</v>
      </c>
      <c r="AF910">
        <f t="shared" si="509"/>
        <v>0.29333333333333333</v>
      </c>
      <c r="AG910" s="3">
        <v>30.4</v>
      </c>
      <c r="AH910">
        <v>18.5</v>
      </c>
      <c r="AI910" s="3">
        <v>58.1</v>
      </c>
    </row>
    <row r="911" spans="1:38" x14ac:dyDescent="0.5">
      <c r="A911">
        <v>60</v>
      </c>
      <c r="B911">
        <v>250</v>
      </c>
      <c r="C911">
        <v>0.1</v>
      </c>
      <c r="D911">
        <v>3</v>
      </c>
      <c r="E911">
        <v>50</v>
      </c>
      <c r="F911">
        <v>30</v>
      </c>
      <c r="G911" s="3">
        <f t="shared" si="557"/>
        <v>10</v>
      </c>
      <c r="Q911">
        <v>37.799999999999997</v>
      </c>
      <c r="R911">
        <v>4.8</v>
      </c>
      <c r="S911">
        <v>1.9</v>
      </c>
      <c r="T911">
        <v>31</v>
      </c>
      <c r="U911">
        <v>0.1</v>
      </c>
      <c r="V911">
        <f t="shared" si="555"/>
        <v>1.5238095238095237</v>
      </c>
      <c r="W911">
        <f t="shared" si="556"/>
        <v>0.61507936507936511</v>
      </c>
      <c r="X911">
        <v>24.4</v>
      </c>
      <c r="Y911" s="3">
        <v>15.1</v>
      </c>
      <c r="Z911">
        <v>57.6</v>
      </c>
      <c r="AA911">
        <v>4.5999999999999996</v>
      </c>
      <c r="AB911">
        <v>3.1</v>
      </c>
      <c r="AC911">
        <v>4</v>
      </c>
      <c r="AD911">
        <v>0.3</v>
      </c>
      <c r="AE911">
        <f t="shared" si="535"/>
        <v>0.95833333333333326</v>
      </c>
      <c r="AF911">
        <f t="shared" si="509"/>
        <v>5.2083333333333336E-2</v>
      </c>
      <c r="AG911" s="3">
        <v>30.4</v>
      </c>
      <c r="AH911">
        <v>24.4</v>
      </c>
      <c r="AI911" s="3">
        <v>46.1</v>
      </c>
    </row>
    <row r="912" spans="1:38" x14ac:dyDescent="0.5">
      <c r="A912">
        <v>120</v>
      </c>
      <c r="B912">
        <v>250</v>
      </c>
      <c r="C912">
        <v>0.1</v>
      </c>
      <c r="D912">
        <v>3</v>
      </c>
      <c r="E912">
        <v>50</v>
      </c>
      <c r="F912">
        <v>30</v>
      </c>
      <c r="G912" s="3">
        <f t="shared" si="557"/>
        <v>10</v>
      </c>
      <c r="Q912">
        <v>37.799999999999997</v>
      </c>
      <c r="R912">
        <v>4.8</v>
      </c>
      <c r="S912">
        <v>1.9</v>
      </c>
      <c r="T912">
        <v>31</v>
      </c>
      <c r="U912">
        <v>0.1</v>
      </c>
      <c r="V912">
        <f t="shared" si="555"/>
        <v>1.5238095238095237</v>
      </c>
      <c r="W912">
        <f t="shared" si="556"/>
        <v>0.61507936507936511</v>
      </c>
      <c r="X912">
        <v>24.4</v>
      </c>
      <c r="Y912" s="3">
        <v>15.1</v>
      </c>
      <c r="Z912">
        <v>56.9</v>
      </c>
      <c r="AA912">
        <v>5.6</v>
      </c>
      <c r="AB912">
        <v>5.0999999999999996</v>
      </c>
      <c r="AC912">
        <v>6</v>
      </c>
      <c r="AD912">
        <v>0.3</v>
      </c>
      <c r="AE912">
        <f t="shared" si="535"/>
        <v>1.1810193321616873</v>
      </c>
      <c r="AF912">
        <f t="shared" si="509"/>
        <v>7.9086115992970135E-2</v>
      </c>
      <c r="AG912" s="3">
        <v>26.3</v>
      </c>
      <c r="AH912">
        <v>24.7</v>
      </c>
      <c r="AI912" s="3">
        <v>32.799999999999997</v>
      </c>
    </row>
    <row r="913" spans="1:40" x14ac:dyDescent="0.5">
      <c r="A913">
        <v>60</v>
      </c>
      <c r="B913">
        <v>180</v>
      </c>
      <c r="C913">
        <v>0.1</v>
      </c>
      <c r="D913">
        <v>10</v>
      </c>
      <c r="E913">
        <v>500</v>
      </c>
      <c r="F913">
        <v>100</v>
      </c>
      <c r="G913" s="3">
        <f t="shared" si="557"/>
        <v>10</v>
      </c>
      <c r="O913">
        <v>72.599999999999994</v>
      </c>
      <c r="P913" s="3">
        <v>15.9</v>
      </c>
      <c r="Q913">
        <v>41.96</v>
      </c>
      <c r="R913">
        <v>8.01</v>
      </c>
      <c r="S913">
        <v>3.45</v>
      </c>
      <c r="T913">
        <v>35.04</v>
      </c>
      <c r="U913">
        <v>7.0000000000000007E-2</v>
      </c>
      <c r="V913">
        <f t="shared" si="555"/>
        <v>2.2907530981887514</v>
      </c>
      <c r="W913">
        <f t="shared" si="556"/>
        <v>0.62631077216396569</v>
      </c>
      <c r="X913">
        <v>11.5</v>
      </c>
      <c r="Y913" s="3">
        <f>(0.338*Q913)+1.428*(R913-(T913/8))</f>
        <v>19.366120000000002</v>
      </c>
      <c r="Z913">
        <v>65.510000000000005</v>
      </c>
      <c r="AA913">
        <v>7.36</v>
      </c>
      <c r="AB913">
        <v>3.38</v>
      </c>
      <c r="AC913">
        <v>14.54</v>
      </c>
      <c r="AD913">
        <v>0.12</v>
      </c>
      <c r="AE913">
        <f t="shared" si="535"/>
        <v>1.3481911158601738</v>
      </c>
      <c r="AF913">
        <f t="shared" si="509"/>
        <v>0.16646313539917568</v>
      </c>
      <c r="AG913" s="3">
        <v>9.09</v>
      </c>
      <c r="AH913">
        <f>(0.338*Z913)+1.428*(AA913-(AC913/8))</f>
        <v>30.057070000000003</v>
      </c>
      <c r="AI913" s="3">
        <v>53.82</v>
      </c>
      <c r="AJ913" s="2" t="s">
        <v>241</v>
      </c>
      <c r="AK913" t="s">
        <v>28</v>
      </c>
      <c r="AL913">
        <v>112</v>
      </c>
      <c r="AN913" t="s">
        <v>242</v>
      </c>
    </row>
    <row r="914" spans="1:40" x14ac:dyDescent="0.5">
      <c r="A914">
        <v>60</v>
      </c>
      <c r="B914">
        <v>200</v>
      </c>
      <c r="C914">
        <v>0.1</v>
      </c>
      <c r="D914">
        <v>10</v>
      </c>
      <c r="E914">
        <v>500</v>
      </c>
      <c r="F914">
        <v>100</v>
      </c>
      <c r="G914" s="3">
        <f t="shared" ref="G914:G918" si="558">F914/D914</f>
        <v>10</v>
      </c>
      <c r="O914">
        <v>72.599999999999994</v>
      </c>
      <c r="P914" s="3">
        <v>15.9</v>
      </c>
      <c r="Q914">
        <v>41.96</v>
      </c>
      <c r="R914">
        <v>8.01</v>
      </c>
      <c r="S914">
        <v>3.45</v>
      </c>
      <c r="T914">
        <v>35.04</v>
      </c>
      <c r="U914">
        <v>7.0000000000000007E-2</v>
      </c>
      <c r="V914">
        <f t="shared" ref="V914:V918" si="559">(R914/1)/(Q914/12)</f>
        <v>2.2907530981887514</v>
      </c>
      <c r="W914">
        <f t="shared" ref="W914:W918" si="560">(T914/16)/(Q914/12)</f>
        <v>0.62631077216396569</v>
      </c>
      <c r="X914">
        <v>11.5</v>
      </c>
      <c r="Y914" s="3">
        <f t="shared" ref="Y914:Y916" si="561">(0.338*Q914)+1.428*(R914-(T914/8))</f>
        <v>19.366120000000002</v>
      </c>
      <c r="Z914">
        <v>66.489999999999995</v>
      </c>
      <c r="AA914">
        <v>7.14</v>
      </c>
      <c r="AB914">
        <v>3.34</v>
      </c>
      <c r="AC914">
        <v>14.62</v>
      </c>
      <c r="AD914">
        <v>0.14000000000000001</v>
      </c>
      <c r="AE914">
        <f t="shared" si="535"/>
        <v>1.2886148292976389</v>
      </c>
      <c r="AF914">
        <f t="shared" si="509"/>
        <v>0.1649120168446383</v>
      </c>
      <c r="AG914" s="3">
        <v>8.27</v>
      </c>
      <c r="AH914">
        <f t="shared" ref="AH914:AH917" si="562">(0.338*Z914)+1.428*(AA914-(AC914/8))</f>
        <v>30.05987</v>
      </c>
      <c r="AI914" s="3">
        <v>45.52</v>
      </c>
    </row>
    <row r="915" spans="1:40" x14ac:dyDescent="0.5">
      <c r="A915">
        <v>60</v>
      </c>
      <c r="B915">
        <v>220</v>
      </c>
      <c r="C915">
        <v>0.1</v>
      </c>
      <c r="D915">
        <v>10</v>
      </c>
      <c r="E915">
        <v>500</v>
      </c>
      <c r="F915">
        <v>100</v>
      </c>
      <c r="G915" s="3">
        <f t="shared" si="558"/>
        <v>10</v>
      </c>
      <c r="O915">
        <v>72.599999999999994</v>
      </c>
      <c r="P915" s="3">
        <v>15.9</v>
      </c>
      <c r="Q915">
        <v>41.96</v>
      </c>
      <c r="R915">
        <v>8.01</v>
      </c>
      <c r="S915">
        <v>3.45</v>
      </c>
      <c r="T915">
        <v>35.04</v>
      </c>
      <c r="U915">
        <v>7.0000000000000007E-2</v>
      </c>
      <c r="V915">
        <f t="shared" si="559"/>
        <v>2.2907530981887514</v>
      </c>
      <c r="W915">
        <f t="shared" si="560"/>
        <v>0.62631077216396569</v>
      </c>
      <c r="X915">
        <v>11.5</v>
      </c>
      <c r="Y915" s="3">
        <f t="shared" si="561"/>
        <v>19.366120000000002</v>
      </c>
      <c r="Z915">
        <v>68.540000000000006</v>
      </c>
      <c r="AA915">
        <v>6.73</v>
      </c>
      <c r="AB915">
        <v>3.51</v>
      </c>
      <c r="AC915">
        <v>14.41</v>
      </c>
      <c r="AD915">
        <v>0.14000000000000001</v>
      </c>
      <c r="AE915">
        <f t="shared" si="535"/>
        <v>1.1782900496060695</v>
      </c>
      <c r="AF915">
        <f t="shared" si="509"/>
        <v>0.15768164575430405</v>
      </c>
      <c r="AG915" s="3">
        <v>6.67</v>
      </c>
      <c r="AH915">
        <f t="shared" si="562"/>
        <v>30.204775000000005</v>
      </c>
      <c r="AI915" s="3">
        <v>40.25</v>
      </c>
    </row>
    <row r="916" spans="1:40" x14ac:dyDescent="0.5">
      <c r="A916">
        <v>60</v>
      </c>
      <c r="B916">
        <v>240</v>
      </c>
      <c r="C916">
        <v>0.1</v>
      </c>
      <c r="D916">
        <v>10</v>
      </c>
      <c r="E916">
        <v>500</v>
      </c>
      <c r="F916">
        <v>100</v>
      </c>
      <c r="G916" s="3">
        <f t="shared" si="558"/>
        <v>10</v>
      </c>
      <c r="O916">
        <v>72.599999999999994</v>
      </c>
      <c r="P916" s="3">
        <v>15.9</v>
      </c>
      <c r="Q916">
        <v>41.96</v>
      </c>
      <c r="R916">
        <v>8.01</v>
      </c>
      <c r="S916">
        <v>3.45</v>
      </c>
      <c r="T916">
        <v>35.04</v>
      </c>
      <c r="U916">
        <v>7.0000000000000007E-2</v>
      </c>
      <c r="V916">
        <f t="shared" si="559"/>
        <v>2.2907530981887514</v>
      </c>
      <c r="W916">
        <f t="shared" si="560"/>
        <v>0.62631077216396569</v>
      </c>
      <c r="X916">
        <v>11.5</v>
      </c>
      <c r="Y916" s="3">
        <f t="shared" si="561"/>
        <v>19.366120000000002</v>
      </c>
      <c r="Z916">
        <v>69.36</v>
      </c>
      <c r="AA916">
        <v>6.94</v>
      </c>
      <c r="AB916">
        <v>3.68</v>
      </c>
      <c r="AC916">
        <v>12.24</v>
      </c>
      <c r="AD916">
        <v>0.11</v>
      </c>
      <c r="AE916">
        <f t="shared" si="535"/>
        <v>1.2006920415224913</v>
      </c>
      <c r="AF916">
        <f t="shared" si="509"/>
        <v>0.13235294117647059</v>
      </c>
      <c r="AG916" s="3">
        <v>7.67</v>
      </c>
      <c r="AH916">
        <f>(0.338*Z916)+1.428*(AA916-(AC916/8))</f>
        <v>31.169160000000002</v>
      </c>
      <c r="AI916" s="3">
        <v>38.200000000000003</v>
      </c>
    </row>
    <row r="917" spans="1:40" x14ac:dyDescent="0.5">
      <c r="A917">
        <v>60</v>
      </c>
      <c r="B917">
        <v>260</v>
      </c>
      <c r="C917">
        <v>0.1</v>
      </c>
      <c r="D917">
        <v>10</v>
      </c>
      <c r="E917">
        <v>500</v>
      </c>
      <c r="F917">
        <v>100</v>
      </c>
      <c r="G917" s="3">
        <f t="shared" si="558"/>
        <v>10</v>
      </c>
      <c r="O917">
        <v>72.599999999999994</v>
      </c>
      <c r="P917" s="3">
        <v>15.9</v>
      </c>
      <c r="Q917">
        <v>41.96</v>
      </c>
      <c r="R917">
        <v>8.01</v>
      </c>
      <c r="S917">
        <v>3.45</v>
      </c>
      <c r="T917">
        <v>35.04</v>
      </c>
      <c r="U917">
        <v>7.0000000000000007E-2</v>
      </c>
      <c r="V917">
        <f t="shared" si="559"/>
        <v>2.2907530981887514</v>
      </c>
      <c r="W917">
        <f t="shared" si="560"/>
        <v>0.62631077216396569</v>
      </c>
      <c r="X917">
        <v>11.5</v>
      </c>
      <c r="Y917" s="3">
        <f>(0.338*Q917)+1.428*(R917-(T917/8))</f>
        <v>19.366120000000002</v>
      </c>
      <c r="Z917">
        <v>71.959999999999994</v>
      </c>
      <c r="AA917">
        <v>7.39</v>
      </c>
      <c r="AB917">
        <v>3.84</v>
      </c>
      <c r="AC917">
        <v>10.24</v>
      </c>
      <c r="AD917">
        <v>0.08</v>
      </c>
      <c r="AE917">
        <f t="shared" si="535"/>
        <v>1.2323513062812674</v>
      </c>
      <c r="AF917">
        <f t="shared" si="509"/>
        <v>0.1067259588660367</v>
      </c>
      <c r="AG917" s="3">
        <v>6.39</v>
      </c>
      <c r="AH917">
        <f t="shared" si="562"/>
        <v>33.047559999999997</v>
      </c>
      <c r="AI917" s="3">
        <v>35.01</v>
      </c>
    </row>
    <row r="918" spans="1:40" x14ac:dyDescent="0.5">
      <c r="A918">
        <v>60</v>
      </c>
      <c r="B918">
        <v>180</v>
      </c>
      <c r="C918">
        <v>0.1</v>
      </c>
      <c r="D918">
        <v>350</v>
      </c>
      <c r="E918">
        <v>2000</v>
      </c>
      <c r="F918">
        <v>1135</v>
      </c>
      <c r="G918" s="3">
        <f t="shared" si="558"/>
        <v>3.2428571428571429</v>
      </c>
      <c r="O918">
        <v>83.43</v>
      </c>
      <c r="P918" s="3">
        <v>14.56</v>
      </c>
      <c r="Q918">
        <v>54.86</v>
      </c>
      <c r="R918">
        <v>6.6</v>
      </c>
      <c r="S918">
        <v>2.5</v>
      </c>
      <c r="T918">
        <v>34.03</v>
      </c>
      <c r="U918">
        <v>0</v>
      </c>
      <c r="V918">
        <f t="shared" si="559"/>
        <v>1.4436748086037186</v>
      </c>
      <c r="W918">
        <f t="shared" si="560"/>
        <v>0.46522967553773248</v>
      </c>
      <c r="X918">
        <v>2.02</v>
      </c>
      <c r="Y918" s="3">
        <v>22.59</v>
      </c>
      <c r="Z918">
        <v>58.08</v>
      </c>
      <c r="AA918">
        <v>6.78</v>
      </c>
      <c r="AB918">
        <v>2.61</v>
      </c>
      <c r="AC918">
        <v>31.2</v>
      </c>
      <c r="AD918">
        <v>0</v>
      </c>
      <c r="AE918">
        <f t="shared" si="535"/>
        <v>1.4008264462809918</v>
      </c>
      <c r="AF918">
        <f t="shared" si="509"/>
        <v>0.40289256198347106</v>
      </c>
      <c r="AG918" s="3">
        <v>1.33</v>
      </c>
      <c r="AH918">
        <v>23.64</v>
      </c>
      <c r="AI918" s="3">
        <v>87.2</v>
      </c>
      <c r="AJ918" s="2" t="s">
        <v>243</v>
      </c>
      <c r="AK918" t="s">
        <v>244</v>
      </c>
      <c r="AL918">
        <v>113</v>
      </c>
    </row>
    <row r="919" spans="1:40" x14ac:dyDescent="0.5">
      <c r="A919">
        <v>60</v>
      </c>
      <c r="B919">
        <v>220</v>
      </c>
      <c r="C919">
        <v>0.1</v>
      </c>
      <c r="D919">
        <v>350</v>
      </c>
      <c r="E919">
        <v>2000</v>
      </c>
      <c r="F919">
        <v>1135</v>
      </c>
      <c r="G919" s="3">
        <f t="shared" ref="G919:G921" si="563">F919/D919</f>
        <v>3.2428571428571429</v>
      </c>
      <c r="O919">
        <v>83.43</v>
      </c>
      <c r="P919" s="3">
        <v>14.56</v>
      </c>
      <c r="Q919">
        <v>54.86</v>
      </c>
      <c r="R919">
        <v>6.6</v>
      </c>
      <c r="S919">
        <v>2.5</v>
      </c>
      <c r="T919">
        <v>34.03</v>
      </c>
      <c r="U919">
        <v>0</v>
      </c>
      <c r="V919">
        <f t="shared" ref="V919:V921" si="564">(R919/1)/(Q919/12)</f>
        <v>1.4436748086037186</v>
      </c>
      <c r="W919">
        <f t="shared" ref="W919:W921" si="565">(T919/16)/(Q919/12)</f>
        <v>0.46522967553773248</v>
      </c>
      <c r="X919">
        <v>2.02</v>
      </c>
      <c r="Y919" s="3">
        <v>22.59</v>
      </c>
      <c r="Z919">
        <v>67.260000000000005</v>
      </c>
      <c r="AA919">
        <v>6.7</v>
      </c>
      <c r="AB919">
        <v>3.09</v>
      </c>
      <c r="AC919">
        <v>21.46</v>
      </c>
      <c r="AD919">
        <v>0</v>
      </c>
      <c r="AE919">
        <f t="shared" si="535"/>
        <v>1.1953612845673505</v>
      </c>
      <c r="AF919">
        <f t="shared" ref="AF919:AF976" si="566">(AC919/16)/(Z919/12)</f>
        <v>0.23929527207850132</v>
      </c>
      <c r="AG919" s="3">
        <v>1.49</v>
      </c>
      <c r="AH919">
        <v>28.28</v>
      </c>
      <c r="AI919" s="3">
        <v>72.5</v>
      </c>
    </row>
    <row r="920" spans="1:40" x14ac:dyDescent="0.5">
      <c r="A920">
        <v>60</v>
      </c>
      <c r="B920">
        <v>50</v>
      </c>
      <c r="C920">
        <v>0.1</v>
      </c>
      <c r="D920">
        <v>350</v>
      </c>
      <c r="E920">
        <v>2000</v>
      </c>
      <c r="F920">
        <v>1135</v>
      </c>
      <c r="G920" s="3">
        <f t="shared" si="563"/>
        <v>3.2428571428571429</v>
      </c>
      <c r="O920">
        <v>83.43</v>
      </c>
      <c r="P920" s="3">
        <v>14.56</v>
      </c>
      <c r="Q920">
        <v>54.86</v>
      </c>
      <c r="R920">
        <v>6.6</v>
      </c>
      <c r="S920">
        <v>2.5</v>
      </c>
      <c r="T920">
        <v>34.03</v>
      </c>
      <c r="U920">
        <v>0</v>
      </c>
      <c r="V920">
        <f t="shared" si="564"/>
        <v>1.4436748086037186</v>
      </c>
      <c r="W920">
        <f t="shared" si="565"/>
        <v>0.46522967553773248</v>
      </c>
      <c r="X920">
        <v>2.02</v>
      </c>
      <c r="Y920" s="3">
        <v>22.59</v>
      </c>
      <c r="Z920">
        <v>71.69</v>
      </c>
      <c r="AA920">
        <v>6.76</v>
      </c>
      <c r="AB920">
        <v>3.41</v>
      </c>
      <c r="AC920">
        <v>16.71</v>
      </c>
      <c r="AD920">
        <v>0</v>
      </c>
      <c r="AE920">
        <f t="shared" si="535"/>
        <v>1.1315385688380528</v>
      </c>
      <c r="AF920">
        <f t="shared" si="566"/>
        <v>0.17481517645417774</v>
      </c>
      <c r="AG920" s="3">
        <v>1.43</v>
      </c>
      <c r="AH920">
        <v>31.15</v>
      </c>
      <c r="AI920" s="3">
        <v>61.7</v>
      </c>
    </row>
    <row r="921" spans="1:40" x14ac:dyDescent="0.5">
      <c r="A921">
        <v>120</v>
      </c>
      <c r="B921">
        <v>190</v>
      </c>
      <c r="C921">
        <v>0.1</v>
      </c>
      <c r="D921">
        <v>2</v>
      </c>
      <c r="E921">
        <v>50</v>
      </c>
      <c r="F921">
        <v>20</v>
      </c>
      <c r="G921" s="3">
        <f t="shared" si="563"/>
        <v>10</v>
      </c>
      <c r="H921">
        <v>42.6</v>
      </c>
      <c r="I921">
        <v>39.200000000000003</v>
      </c>
      <c r="J921">
        <v>18.2</v>
      </c>
      <c r="Q921">
        <v>51</v>
      </c>
      <c r="R921">
        <v>8.1</v>
      </c>
      <c r="S921">
        <v>10.3</v>
      </c>
      <c r="T921">
        <v>29.6</v>
      </c>
      <c r="U921">
        <v>1</v>
      </c>
      <c r="V921">
        <f t="shared" si="564"/>
        <v>1.9058823529411764</v>
      </c>
      <c r="W921">
        <f t="shared" si="565"/>
        <v>0.43529411764705883</v>
      </c>
      <c r="X921">
        <v>4</v>
      </c>
      <c r="Y921" s="3">
        <f>(0.338*Q921)+1.428*(R921-(T921/8))</f>
        <v>23.5212</v>
      </c>
      <c r="Z921">
        <v>61.9</v>
      </c>
      <c r="AA921">
        <v>8.3000000000000007</v>
      </c>
      <c r="AB921">
        <v>8.6999999999999993</v>
      </c>
      <c r="AC921">
        <v>20.3</v>
      </c>
      <c r="AD921">
        <v>0.8</v>
      </c>
      <c r="AE921">
        <f t="shared" si="535"/>
        <v>1.6090468497576738</v>
      </c>
      <c r="AF921">
        <f t="shared" si="566"/>
        <v>0.24596122778675283</v>
      </c>
      <c r="AH921">
        <v>28.8</v>
      </c>
      <c r="AI921" s="3">
        <v>36.700000000000003</v>
      </c>
      <c r="AJ921" s="2" t="s">
        <v>245</v>
      </c>
      <c r="AK921" t="s">
        <v>246</v>
      </c>
      <c r="AL921">
        <v>114</v>
      </c>
    </row>
    <row r="922" spans="1:40" x14ac:dyDescent="0.5">
      <c r="A922">
        <v>180</v>
      </c>
      <c r="B922">
        <v>190</v>
      </c>
      <c r="C922">
        <v>0.1</v>
      </c>
      <c r="D922">
        <v>2</v>
      </c>
      <c r="E922">
        <v>50</v>
      </c>
      <c r="F922">
        <v>20</v>
      </c>
      <c r="G922" s="3">
        <f t="shared" ref="G922:G948" si="567">F922/D922</f>
        <v>10</v>
      </c>
      <c r="H922">
        <v>42.6</v>
      </c>
      <c r="I922">
        <v>39.200000000000003</v>
      </c>
      <c r="J922">
        <v>18.2</v>
      </c>
      <c r="Q922">
        <v>51</v>
      </c>
      <c r="R922">
        <v>8.1</v>
      </c>
      <c r="S922">
        <v>10.3</v>
      </c>
      <c r="T922">
        <v>29.6</v>
      </c>
      <c r="U922">
        <v>1</v>
      </c>
      <c r="V922">
        <f t="shared" ref="V922:V930" si="568">(R922/1)/(Q922/12)</f>
        <v>1.9058823529411764</v>
      </c>
      <c r="W922">
        <f t="shared" ref="W922:W930" si="569">(T922/16)/(Q922/12)</f>
        <v>0.43529411764705883</v>
      </c>
      <c r="X922">
        <v>4</v>
      </c>
      <c r="Y922" s="3">
        <f t="shared" ref="Y922:Y930" si="570">(0.338*Q922)+1.428*(R922-(T922/8))</f>
        <v>23.5212</v>
      </c>
      <c r="Z922">
        <v>63.6</v>
      </c>
      <c r="AA922">
        <v>8.3000000000000007</v>
      </c>
      <c r="AB922">
        <v>8.4</v>
      </c>
      <c r="AC922">
        <v>19</v>
      </c>
      <c r="AD922">
        <v>0.7</v>
      </c>
      <c r="AE922">
        <f t="shared" si="535"/>
        <v>1.5660377358490567</v>
      </c>
      <c r="AF922">
        <f t="shared" si="566"/>
        <v>0.22405660377358491</v>
      </c>
      <c r="AH922">
        <v>29.8</v>
      </c>
      <c r="AI922" s="3">
        <v>33.9</v>
      </c>
    </row>
    <row r="923" spans="1:40" x14ac:dyDescent="0.5">
      <c r="A923">
        <v>240</v>
      </c>
      <c r="B923">
        <v>190</v>
      </c>
      <c r="C923">
        <v>0.1</v>
      </c>
      <c r="D923">
        <v>2</v>
      </c>
      <c r="E923">
        <v>50</v>
      </c>
      <c r="F923">
        <v>20</v>
      </c>
      <c r="G923" s="3">
        <f t="shared" si="567"/>
        <v>10</v>
      </c>
      <c r="H923">
        <v>42.6</v>
      </c>
      <c r="I923">
        <v>39.200000000000003</v>
      </c>
      <c r="J923">
        <v>18.2</v>
      </c>
      <c r="Q923">
        <v>51</v>
      </c>
      <c r="R923">
        <v>8.1</v>
      </c>
      <c r="S923">
        <v>10.3</v>
      </c>
      <c r="T923">
        <v>29.6</v>
      </c>
      <c r="U923">
        <v>1</v>
      </c>
      <c r="V923">
        <f t="shared" si="568"/>
        <v>1.9058823529411764</v>
      </c>
      <c r="W923">
        <f t="shared" si="569"/>
        <v>0.43529411764705883</v>
      </c>
      <c r="X923">
        <v>4</v>
      </c>
      <c r="Y923" s="3">
        <f t="shared" si="570"/>
        <v>23.5212</v>
      </c>
      <c r="Z923">
        <v>64.3</v>
      </c>
      <c r="AA923">
        <v>8.3000000000000007</v>
      </c>
      <c r="AB923">
        <v>8.1</v>
      </c>
      <c r="AC923">
        <v>18.600000000000001</v>
      </c>
      <c r="AD923">
        <v>0.7</v>
      </c>
      <c r="AE923">
        <f t="shared" si="535"/>
        <v>1.5489891135303266</v>
      </c>
      <c r="AF923">
        <f t="shared" si="566"/>
        <v>0.21695178849144636</v>
      </c>
      <c r="AH923">
        <v>30.2</v>
      </c>
      <c r="AI923" s="3">
        <v>31.6</v>
      </c>
    </row>
    <row r="924" spans="1:40" x14ac:dyDescent="0.5">
      <c r="A924">
        <v>120</v>
      </c>
      <c r="B924">
        <v>200</v>
      </c>
      <c r="C924">
        <v>0.1</v>
      </c>
      <c r="D924">
        <v>2</v>
      </c>
      <c r="E924">
        <v>50</v>
      </c>
      <c r="F924">
        <v>20</v>
      </c>
      <c r="G924" s="3">
        <f t="shared" si="567"/>
        <v>10</v>
      </c>
      <c r="H924">
        <v>42.6</v>
      </c>
      <c r="I924">
        <v>39.200000000000003</v>
      </c>
      <c r="J924">
        <v>18.2</v>
      </c>
      <c r="Q924">
        <v>51</v>
      </c>
      <c r="R924">
        <v>8.1</v>
      </c>
      <c r="S924">
        <v>10.3</v>
      </c>
      <c r="T924">
        <v>29.6</v>
      </c>
      <c r="U924">
        <v>1</v>
      </c>
      <c r="V924">
        <f t="shared" si="568"/>
        <v>1.9058823529411764</v>
      </c>
      <c r="W924">
        <f t="shared" si="569"/>
        <v>0.43529411764705883</v>
      </c>
      <c r="X924">
        <v>4</v>
      </c>
      <c r="Y924" s="3">
        <f t="shared" si="570"/>
        <v>23.5212</v>
      </c>
      <c r="Z924">
        <v>65.099999999999994</v>
      </c>
      <c r="AA924">
        <v>8.5</v>
      </c>
      <c r="AB924">
        <v>8</v>
      </c>
      <c r="AC924">
        <v>17.7</v>
      </c>
      <c r="AD924">
        <v>0.7</v>
      </c>
      <c r="AE924">
        <f t="shared" si="535"/>
        <v>1.566820276497696</v>
      </c>
      <c r="AF924">
        <f t="shared" si="566"/>
        <v>0.20391705069124424</v>
      </c>
      <c r="AH924">
        <v>30.9</v>
      </c>
      <c r="AI924" s="3">
        <v>31</v>
      </c>
    </row>
    <row r="925" spans="1:40" x14ac:dyDescent="0.5">
      <c r="A925">
        <v>180</v>
      </c>
      <c r="B925">
        <v>200</v>
      </c>
      <c r="C925">
        <v>0.1</v>
      </c>
      <c r="D925">
        <v>2</v>
      </c>
      <c r="E925">
        <v>50</v>
      </c>
      <c r="F925">
        <v>20</v>
      </c>
      <c r="G925" s="3">
        <f t="shared" si="567"/>
        <v>10</v>
      </c>
      <c r="H925">
        <v>42.6</v>
      </c>
      <c r="I925">
        <v>39.200000000000003</v>
      </c>
      <c r="J925">
        <v>18.2</v>
      </c>
      <c r="Q925">
        <v>51</v>
      </c>
      <c r="R925">
        <v>8.1</v>
      </c>
      <c r="S925">
        <v>10.3</v>
      </c>
      <c r="T925">
        <v>29.6</v>
      </c>
      <c r="U925">
        <v>1</v>
      </c>
      <c r="V925">
        <f t="shared" si="568"/>
        <v>1.9058823529411764</v>
      </c>
      <c r="W925">
        <f t="shared" si="569"/>
        <v>0.43529411764705883</v>
      </c>
      <c r="X925">
        <v>4</v>
      </c>
      <c r="Y925" s="3">
        <f t="shared" si="570"/>
        <v>23.5212</v>
      </c>
      <c r="Z925">
        <v>66.3</v>
      </c>
      <c r="AA925">
        <v>8.4</v>
      </c>
      <c r="AB925">
        <v>7.6</v>
      </c>
      <c r="AC925">
        <v>17.100000000000001</v>
      </c>
      <c r="AD925">
        <v>0.6</v>
      </c>
      <c r="AE925">
        <f t="shared" si="535"/>
        <v>1.5203619909502264</v>
      </c>
      <c r="AF925">
        <f t="shared" si="566"/>
        <v>0.19343891402714936</v>
      </c>
      <c r="AH925">
        <v>31.6</v>
      </c>
      <c r="AI925" s="3">
        <v>28.9</v>
      </c>
    </row>
    <row r="926" spans="1:40" x14ac:dyDescent="0.5">
      <c r="A926">
        <v>240</v>
      </c>
      <c r="B926">
        <v>200</v>
      </c>
      <c r="C926">
        <v>0.1</v>
      </c>
      <c r="D926">
        <v>2</v>
      </c>
      <c r="E926">
        <v>50</v>
      </c>
      <c r="F926">
        <v>20</v>
      </c>
      <c r="G926" s="3">
        <f t="shared" si="567"/>
        <v>10</v>
      </c>
      <c r="H926">
        <v>42.6</v>
      </c>
      <c r="I926">
        <v>39.200000000000003</v>
      </c>
      <c r="J926">
        <v>18.2</v>
      </c>
      <c r="Q926">
        <v>51</v>
      </c>
      <c r="R926">
        <v>8.1</v>
      </c>
      <c r="S926">
        <v>10.3</v>
      </c>
      <c r="T926">
        <v>29.6</v>
      </c>
      <c r="U926">
        <v>1</v>
      </c>
      <c r="V926">
        <f t="shared" si="568"/>
        <v>1.9058823529411764</v>
      </c>
      <c r="W926">
        <f t="shared" si="569"/>
        <v>0.43529411764705883</v>
      </c>
      <c r="X926">
        <v>4</v>
      </c>
      <c r="Y926" s="3">
        <f t="shared" si="570"/>
        <v>23.5212</v>
      </c>
      <c r="Z926">
        <v>66.900000000000006</v>
      </c>
      <c r="AA926">
        <v>8.3000000000000007</v>
      </c>
      <c r="AB926">
        <v>7.5</v>
      </c>
      <c r="AC926">
        <v>16.5</v>
      </c>
      <c r="AD926">
        <v>0.8</v>
      </c>
      <c r="AE926">
        <f t="shared" si="535"/>
        <v>1.4887892376681615</v>
      </c>
      <c r="AF926">
        <f t="shared" si="566"/>
        <v>0.18497757847533633</v>
      </c>
      <c r="AH926">
        <v>31.19</v>
      </c>
      <c r="AI926" s="3">
        <v>27.1</v>
      </c>
    </row>
    <row r="927" spans="1:40" x14ac:dyDescent="0.5">
      <c r="A927">
        <v>120</v>
      </c>
      <c r="B927">
        <v>210</v>
      </c>
      <c r="C927">
        <v>0.1</v>
      </c>
      <c r="D927">
        <v>2</v>
      </c>
      <c r="E927">
        <v>50</v>
      </c>
      <c r="F927">
        <v>20</v>
      </c>
      <c r="G927" s="3">
        <f t="shared" si="567"/>
        <v>10</v>
      </c>
      <c r="H927">
        <v>42.6</v>
      </c>
      <c r="I927">
        <v>39.200000000000003</v>
      </c>
      <c r="J927">
        <v>18.2</v>
      </c>
      <c r="Q927">
        <v>51</v>
      </c>
      <c r="R927">
        <v>8.1</v>
      </c>
      <c r="S927">
        <v>10.3</v>
      </c>
      <c r="T927">
        <v>29.6</v>
      </c>
      <c r="U927">
        <v>1</v>
      </c>
      <c r="V927">
        <f t="shared" si="568"/>
        <v>1.9058823529411764</v>
      </c>
      <c r="W927">
        <f t="shared" si="569"/>
        <v>0.43529411764705883</v>
      </c>
      <c r="X927">
        <v>4</v>
      </c>
      <c r="Y927" s="3">
        <f t="shared" si="570"/>
        <v>23.5212</v>
      </c>
      <c r="Z927">
        <v>67.7</v>
      </c>
      <c r="AA927">
        <v>8.6999999999999993</v>
      </c>
      <c r="AB927">
        <v>7.4</v>
      </c>
      <c r="AC927">
        <v>15.5</v>
      </c>
      <c r="AD927">
        <v>0.7</v>
      </c>
      <c r="AE927">
        <f t="shared" si="535"/>
        <v>1.5420974889217134</v>
      </c>
      <c r="AF927">
        <f t="shared" si="566"/>
        <v>0.17171344165435745</v>
      </c>
      <c r="AH927">
        <v>32.9</v>
      </c>
      <c r="AI927" s="3">
        <v>27.2</v>
      </c>
    </row>
    <row r="928" spans="1:40" x14ac:dyDescent="0.5">
      <c r="A928">
        <v>180</v>
      </c>
      <c r="B928">
        <v>210</v>
      </c>
      <c r="C928">
        <v>0.1</v>
      </c>
      <c r="D928">
        <v>2</v>
      </c>
      <c r="E928">
        <v>50</v>
      </c>
      <c r="F928">
        <v>20</v>
      </c>
      <c r="G928" s="3">
        <f t="shared" si="567"/>
        <v>10</v>
      </c>
      <c r="H928">
        <v>42.6</v>
      </c>
      <c r="I928">
        <v>39.200000000000003</v>
      </c>
      <c r="J928">
        <v>18.2</v>
      </c>
      <c r="Q928">
        <v>51</v>
      </c>
      <c r="R928">
        <v>8.1</v>
      </c>
      <c r="S928">
        <v>10.3</v>
      </c>
      <c r="T928">
        <v>29.6</v>
      </c>
      <c r="U928">
        <v>1</v>
      </c>
      <c r="V928">
        <f t="shared" si="568"/>
        <v>1.9058823529411764</v>
      </c>
      <c r="W928">
        <f t="shared" si="569"/>
        <v>0.43529411764705883</v>
      </c>
      <c r="X928">
        <v>4</v>
      </c>
      <c r="Y928" s="3">
        <f t="shared" si="570"/>
        <v>23.5212</v>
      </c>
      <c r="Z928">
        <v>67.8</v>
      </c>
      <c r="AA928">
        <v>8.4</v>
      </c>
      <c r="AB928">
        <v>6.9</v>
      </c>
      <c r="AC928">
        <v>16.3</v>
      </c>
      <c r="AD928">
        <v>0.6</v>
      </c>
      <c r="AE928">
        <f t="shared" si="535"/>
        <v>1.4867256637168145</v>
      </c>
      <c r="AF928">
        <f t="shared" si="566"/>
        <v>0.18030973451327437</v>
      </c>
      <c r="AH928">
        <v>32.5</v>
      </c>
      <c r="AI928" s="3">
        <v>24.1</v>
      </c>
    </row>
    <row r="929" spans="1:38" x14ac:dyDescent="0.5">
      <c r="A929">
        <v>240</v>
      </c>
      <c r="B929">
        <v>210</v>
      </c>
      <c r="C929">
        <v>0.1</v>
      </c>
      <c r="D929">
        <v>2</v>
      </c>
      <c r="E929">
        <v>50</v>
      </c>
      <c r="F929">
        <v>20</v>
      </c>
      <c r="G929" s="3">
        <f t="shared" si="567"/>
        <v>10</v>
      </c>
      <c r="H929">
        <v>42.6</v>
      </c>
      <c r="I929">
        <v>39.200000000000003</v>
      </c>
      <c r="J929">
        <v>18.2</v>
      </c>
      <c r="Q929">
        <v>51</v>
      </c>
      <c r="R929">
        <v>8.1</v>
      </c>
      <c r="S929">
        <v>10.3</v>
      </c>
      <c r="T929">
        <v>29.6</v>
      </c>
      <c r="U929">
        <v>1</v>
      </c>
      <c r="V929">
        <f t="shared" si="568"/>
        <v>1.9058823529411764</v>
      </c>
      <c r="W929">
        <f t="shared" si="569"/>
        <v>0.43529411764705883</v>
      </c>
      <c r="X929">
        <v>4</v>
      </c>
      <c r="Y929" s="3">
        <f t="shared" si="570"/>
        <v>23.5212</v>
      </c>
      <c r="Z929">
        <v>68.3</v>
      </c>
      <c r="AA929">
        <v>8.5</v>
      </c>
      <c r="AB929">
        <v>6.7</v>
      </c>
      <c r="AC929">
        <v>15.9</v>
      </c>
      <c r="AD929">
        <v>0.6</v>
      </c>
      <c r="AE929">
        <f t="shared" si="535"/>
        <v>1.4934114202049782</v>
      </c>
      <c r="AF929">
        <f t="shared" si="566"/>
        <v>0.174597364568082</v>
      </c>
      <c r="AH929">
        <v>33</v>
      </c>
      <c r="AI929" s="3">
        <v>21.6</v>
      </c>
    </row>
    <row r="930" spans="1:38" x14ac:dyDescent="0.5">
      <c r="A930">
        <v>600</v>
      </c>
      <c r="B930">
        <v>150</v>
      </c>
      <c r="C930">
        <v>0.1</v>
      </c>
      <c r="D930">
        <v>22.4</v>
      </c>
      <c r="E930">
        <v>400</v>
      </c>
      <c r="F930">
        <v>150</v>
      </c>
      <c r="G930" s="3">
        <f t="shared" si="567"/>
        <v>6.6964285714285721</v>
      </c>
      <c r="Q930">
        <v>52.03</v>
      </c>
      <c r="R930">
        <v>7.35</v>
      </c>
      <c r="S930">
        <v>1.41</v>
      </c>
      <c r="T930">
        <v>39.119999999999997</v>
      </c>
      <c r="U930">
        <v>0.09</v>
      </c>
      <c r="V930">
        <f t="shared" si="568"/>
        <v>1.6951758600807225</v>
      </c>
      <c r="W930">
        <f t="shared" si="569"/>
        <v>0.5639054391697097</v>
      </c>
      <c r="X930">
        <v>2</v>
      </c>
      <c r="Y930" s="3">
        <f t="shared" si="570"/>
        <v>21.099019999999999</v>
      </c>
      <c r="Z930">
        <v>57.75</v>
      </c>
      <c r="AA930">
        <v>8.1999999999999993</v>
      </c>
      <c r="AB930">
        <v>0.77</v>
      </c>
      <c r="AC930">
        <v>33.14</v>
      </c>
      <c r="AD930">
        <v>0.14000000000000001</v>
      </c>
      <c r="AE930">
        <f t="shared" si="535"/>
        <v>1.7038961038961038</v>
      </c>
      <c r="AF930">
        <f t="shared" si="566"/>
        <v>0.43038961038961038</v>
      </c>
      <c r="AH930">
        <v>27.2</v>
      </c>
      <c r="AI930" s="3">
        <v>65</v>
      </c>
      <c r="AJ930" s="2" t="s">
        <v>247</v>
      </c>
      <c r="AK930" t="s">
        <v>248</v>
      </c>
      <c r="AL930">
        <v>115</v>
      </c>
    </row>
    <row r="931" spans="1:38" x14ac:dyDescent="0.5">
      <c r="A931">
        <v>300</v>
      </c>
      <c r="B931">
        <v>170</v>
      </c>
      <c r="C931">
        <v>0.1</v>
      </c>
      <c r="D931">
        <v>45</v>
      </c>
      <c r="E931">
        <v>400</v>
      </c>
      <c r="F931">
        <v>150</v>
      </c>
      <c r="G931" s="3">
        <f t="shared" si="567"/>
        <v>3.3333333333333335</v>
      </c>
      <c r="Q931">
        <v>52.03</v>
      </c>
      <c r="R931">
        <v>7.35</v>
      </c>
      <c r="S931">
        <v>1.41</v>
      </c>
      <c r="T931">
        <v>39.119999999999997</v>
      </c>
      <c r="U931">
        <v>0.09</v>
      </c>
      <c r="V931">
        <f t="shared" ref="V931:V948" si="571">(R931/1)/(Q931/12)</f>
        <v>1.6951758600807225</v>
      </c>
      <c r="W931">
        <f t="shared" ref="W931:W948" si="572">(T931/16)/(Q931/12)</f>
        <v>0.5639054391697097</v>
      </c>
      <c r="X931">
        <v>2</v>
      </c>
      <c r="Y931" s="3">
        <f t="shared" ref="Y931:Y948" si="573">(0.338*Q931)+1.428*(R931-(T931/8))</f>
        <v>21.099019999999999</v>
      </c>
      <c r="Z931">
        <v>61.5</v>
      </c>
      <c r="AA931">
        <v>8.1300000000000008</v>
      </c>
      <c r="AB931">
        <v>0.88</v>
      </c>
      <c r="AC931">
        <v>29.41</v>
      </c>
      <c r="AD931">
        <v>0.08</v>
      </c>
      <c r="AE931">
        <f t="shared" si="535"/>
        <v>1.5863414634146342</v>
      </c>
      <c r="AF931">
        <f t="shared" si="566"/>
        <v>0.35865853658536584</v>
      </c>
      <c r="AH931">
        <v>26.4</v>
      </c>
      <c r="AI931" s="3">
        <v>64.599999999999994</v>
      </c>
    </row>
    <row r="932" spans="1:38" x14ac:dyDescent="0.5">
      <c r="A932">
        <v>300</v>
      </c>
      <c r="B932">
        <v>170</v>
      </c>
      <c r="C932">
        <v>0.1</v>
      </c>
      <c r="D932">
        <v>15</v>
      </c>
      <c r="E932">
        <v>400</v>
      </c>
      <c r="F932">
        <v>150</v>
      </c>
      <c r="G932" s="3">
        <f t="shared" si="567"/>
        <v>10</v>
      </c>
      <c r="Q932">
        <v>52.03</v>
      </c>
      <c r="R932">
        <v>7.35</v>
      </c>
      <c r="S932">
        <v>1.41</v>
      </c>
      <c r="T932">
        <v>39.119999999999997</v>
      </c>
      <c r="U932">
        <v>0.09</v>
      </c>
      <c r="V932">
        <f t="shared" si="571"/>
        <v>1.6951758600807225</v>
      </c>
      <c r="W932">
        <f t="shared" si="572"/>
        <v>0.5639054391697097</v>
      </c>
      <c r="X932">
        <v>2</v>
      </c>
      <c r="Y932" s="3">
        <f t="shared" si="573"/>
        <v>21.099019999999999</v>
      </c>
      <c r="Z932">
        <v>54.45</v>
      </c>
      <c r="AA932">
        <v>7.57</v>
      </c>
      <c r="AB932">
        <v>0.68</v>
      </c>
      <c r="AC932">
        <v>37.21</v>
      </c>
      <c r="AD932">
        <v>0.09</v>
      </c>
      <c r="AE932">
        <f t="shared" si="535"/>
        <v>1.6683195592286499</v>
      </c>
      <c r="AF932">
        <f t="shared" si="566"/>
        <v>0.51253443526170794</v>
      </c>
      <c r="AH932">
        <v>26.7</v>
      </c>
      <c r="AI932" s="3">
        <v>68</v>
      </c>
    </row>
    <row r="933" spans="1:38" x14ac:dyDescent="0.5">
      <c r="A933">
        <v>900</v>
      </c>
      <c r="B933">
        <v>170</v>
      </c>
      <c r="C933">
        <v>0.1</v>
      </c>
      <c r="D933">
        <v>45</v>
      </c>
      <c r="E933">
        <v>400</v>
      </c>
      <c r="F933">
        <v>150</v>
      </c>
      <c r="G933" s="3">
        <f t="shared" si="567"/>
        <v>3.3333333333333335</v>
      </c>
      <c r="Q933">
        <v>52.03</v>
      </c>
      <c r="R933">
        <v>7.35</v>
      </c>
      <c r="S933">
        <v>1.41</v>
      </c>
      <c r="T933">
        <v>39.119999999999997</v>
      </c>
      <c r="U933">
        <v>0.09</v>
      </c>
      <c r="V933">
        <f t="shared" si="571"/>
        <v>1.6951758600807225</v>
      </c>
      <c r="W933">
        <f t="shared" si="572"/>
        <v>0.5639054391697097</v>
      </c>
      <c r="X933">
        <v>2</v>
      </c>
      <c r="Y933" s="3">
        <f t="shared" si="573"/>
        <v>21.099019999999999</v>
      </c>
      <c r="Z933">
        <v>58.05</v>
      </c>
      <c r="AA933">
        <v>7.52</v>
      </c>
      <c r="AB933">
        <v>0.72</v>
      </c>
      <c r="AC933">
        <v>33.630000000000003</v>
      </c>
      <c r="AD933">
        <v>0.09</v>
      </c>
      <c r="AE933">
        <f t="shared" si="535"/>
        <v>1.5545219638242895</v>
      </c>
      <c r="AF933">
        <f t="shared" si="566"/>
        <v>0.43449612403100785</v>
      </c>
      <c r="AH933">
        <v>27.4</v>
      </c>
      <c r="AI933" s="3">
        <v>60.8</v>
      </c>
    </row>
    <row r="934" spans="1:38" x14ac:dyDescent="0.5">
      <c r="A934">
        <v>900</v>
      </c>
      <c r="B934">
        <v>170</v>
      </c>
      <c r="C934">
        <v>0.1</v>
      </c>
      <c r="D934">
        <v>15</v>
      </c>
      <c r="E934">
        <v>400</v>
      </c>
      <c r="F934">
        <v>150</v>
      </c>
      <c r="G934" s="3">
        <f t="shared" si="567"/>
        <v>10</v>
      </c>
      <c r="Q934">
        <v>52.03</v>
      </c>
      <c r="R934">
        <v>7.35</v>
      </c>
      <c r="S934">
        <v>1.41</v>
      </c>
      <c r="T934">
        <v>39.119999999999997</v>
      </c>
      <c r="U934">
        <v>0.09</v>
      </c>
      <c r="V934">
        <f t="shared" si="571"/>
        <v>1.6951758600807225</v>
      </c>
      <c r="W934">
        <f t="shared" si="572"/>
        <v>0.5639054391697097</v>
      </c>
      <c r="X934">
        <v>2</v>
      </c>
      <c r="Y934" s="3">
        <f t="shared" si="573"/>
        <v>21.099019999999999</v>
      </c>
      <c r="Z934">
        <v>57.75</v>
      </c>
      <c r="AA934">
        <v>8.1</v>
      </c>
      <c r="AB934">
        <v>0.66</v>
      </c>
      <c r="AC934">
        <v>33.35</v>
      </c>
      <c r="AD934">
        <v>0.15</v>
      </c>
      <c r="AE934">
        <f t="shared" si="535"/>
        <v>1.683116883116883</v>
      </c>
      <c r="AF934">
        <f t="shared" si="566"/>
        <v>0.43311688311688312</v>
      </c>
      <c r="AH934">
        <v>29</v>
      </c>
      <c r="AI934" s="3">
        <v>61.3</v>
      </c>
    </row>
    <row r="935" spans="1:38" x14ac:dyDescent="0.5">
      <c r="A935">
        <v>96</v>
      </c>
      <c r="B935">
        <v>200</v>
      </c>
      <c r="C935">
        <v>0.1</v>
      </c>
      <c r="D935">
        <v>22.4</v>
      </c>
      <c r="E935">
        <v>400</v>
      </c>
      <c r="F935">
        <v>150</v>
      </c>
      <c r="G935" s="3">
        <f t="shared" si="567"/>
        <v>6.6964285714285721</v>
      </c>
      <c r="Q935">
        <v>52.03</v>
      </c>
      <c r="R935">
        <v>7.35</v>
      </c>
      <c r="S935">
        <v>1.41</v>
      </c>
      <c r="T935">
        <v>39.119999999999997</v>
      </c>
      <c r="U935">
        <v>0.09</v>
      </c>
      <c r="V935">
        <f t="shared" si="571"/>
        <v>1.6951758600807225</v>
      </c>
      <c r="W935">
        <f t="shared" si="572"/>
        <v>0.5639054391697097</v>
      </c>
      <c r="X935">
        <v>2</v>
      </c>
      <c r="Y935" s="3">
        <f t="shared" si="573"/>
        <v>21.099019999999999</v>
      </c>
      <c r="Z935">
        <v>61.9</v>
      </c>
      <c r="AA935">
        <v>8.2200000000000006</v>
      </c>
      <c r="AB935">
        <v>0.79</v>
      </c>
      <c r="AC935">
        <v>29.02</v>
      </c>
      <c r="AD935">
        <v>0.08</v>
      </c>
      <c r="AE935">
        <f t="shared" si="535"/>
        <v>1.5935379644588046</v>
      </c>
      <c r="AF935">
        <f t="shared" si="566"/>
        <v>0.35161550888529886</v>
      </c>
      <c r="AH935">
        <v>23.6</v>
      </c>
      <c r="AI935" s="3">
        <v>87.7</v>
      </c>
    </row>
    <row r="936" spans="1:38" x14ac:dyDescent="0.5">
      <c r="A936">
        <v>600</v>
      </c>
      <c r="B936">
        <v>200</v>
      </c>
      <c r="C936">
        <v>0.1</v>
      </c>
      <c r="D936">
        <v>12.1</v>
      </c>
      <c r="E936">
        <v>400</v>
      </c>
      <c r="F936">
        <v>150</v>
      </c>
      <c r="G936" s="3">
        <f t="shared" si="567"/>
        <v>12.396694214876034</v>
      </c>
      <c r="Q936">
        <v>52.03</v>
      </c>
      <c r="R936">
        <v>7.35</v>
      </c>
      <c r="S936">
        <v>1.41</v>
      </c>
      <c r="T936">
        <v>39.119999999999997</v>
      </c>
      <c r="U936">
        <v>0.09</v>
      </c>
      <c r="V936">
        <f t="shared" si="571"/>
        <v>1.6951758600807225</v>
      </c>
      <c r="W936">
        <f t="shared" si="572"/>
        <v>0.5639054391697097</v>
      </c>
      <c r="X936">
        <v>2</v>
      </c>
      <c r="Y936" s="3">
        <f t="shared" si="573"/>
        <v>21.099019999999999</v>
      </c>
      <c r="Z936">
        <v>61.87</v>
      </c>
      <c r="AA936">
        <v>7.88</v>
      </c>
      <c r="AB936">
        <v>0.78</v>
      </c>
      <c r="AC936">
        <v>28.9</v>
      </c>
      <c r="AD936">
        <v>0.57999999999999996</v>
      </c>
      <c r="AE936">
        <f t="shared" si="535"/>
        <v>1.5283659285598838</v>
      </c>
      <c r="AF936">
        <f t="shared" si="566"/>
        <v>0.35033133990625509</v>
      </c>
      <c r="AH936">
        <v>31.1</v>
      </c>
      <c r="AI936" s="3">
        <v>61.5</v>
      </c>
    </row>
    <row r="937" spans="1:38" x14ac:dyDescent="0.5">
      <c r="A937">
        <v>600</v>
      </c>
      <c r="B937">
        <v>200</v>
      </c>
      <c r="C937">
        <v>0.1</v>
      </c>
      <c r="D937">
        <v>22.4</v>
      </c>
      <c r="E937">
        <v>400</v>
      </c>
      <c r="F937">
        <v>150</v>
      </c>
      <c r="G937" s="3">
        <f t="shared" si="567"/>
        <v>6.6964285714285721</v>
      </c>
      <c r="Q937">
        <v>52.03</v>
      </c>
      <c r="R937">
        <v>7.35</v>
      </c>
      <c r="S937">
        <v>1.41</v>
      </c>
      <c r="T937">
        <v>39.119999999999997</v>
      </c>
      <c r="U937">
        <v>0.09</v>
      </c>
      <c r="V937">
        <f t="shared" si="571"/>
        <v>1.6951758600807225</v>
      </c>
      <c r="W937">
        <f t="shared" si="572"/>
        <v>0.5639054391697097</v>
      </c>
      <c r="X937">
        <v>2</v>
      </c>
      <c r="Y937" s="3">
        <f t="shared" si="573"/>
        <v>21.099019999999999</v>
      </c>
      <c r="Z937">
        <v>66.400000000000006</v>
      </c>
      <c r="AA937">
        <v>7.77</v>
      </c>
      <c r="AB937">
        <v>1.43</v>
      </c>
      <c r="AC937">
        <v>23.75</v>
      </c>
      <c r="AD937">
        <v>0.65</v>
      </c>
      <c r="AE937">
        <f t="shared" si="535"/>
        <v>1.4042168674698792</v>
      </c>
      <c r="AF937">
        <f t="shared" si="566"/>
        <v>0.26826054216867468</v>
      </c>
      <c r="AH937">
        <v>29.2</v>
      </c>
      <c r="AI937" s="3">
        <v>62</v>
      </c>
    </row>
    <row r="938" spans="1:38" x14ac:dyDescent="0.5">
      <c r="A938">
        <v>600</v>
      </c>
      <c r="B938">
        <v>200</v>
      </c>
      <c r="C938">
        <v>0.1</v>
      </c>
      <c r="D938">
        <v>22.4</v>
      </c>
      <c r="E938">
        <v>400</v>
      </c>
      <c r="F938">
        <v>150</v>
      </c>
      <c r="G938" s="3">
        <f t="shared" si="567"/>
        <v>6.6964285714285721</v>
      </c>
      <c r="Q938">
        <v>52.03</v>
      </c>
      <c r="R938">
        <v>7.35</v>
      </c>
      <c r="S938">
        <v>1.41</v>
      </c>
      <c r="T938">
        <v>39.119999999999997</v>
      </c>
      <c r="U938">
        <v>0.09</v>
      </c>
      <c r="V938">
        <f t="shared" si="571"/>
        <v>1.6951758600807225</v>
      </c>
      <c r="W938">
        <f t="shared" si="572"/>
        <v>0.5639054391697097</v>
      </c>
      <c r="X938">
        <v>2</v>
      </c>
      <c r="Y938" s="3">
        <f t="shared" si="573"/>
        <v>21.099019999999999</v>
      </c>
      <c r="Z938">
        <v>62.15</v>
      </c>
      <c r="AA938">
        <v>7.63</v>
      </c>
      <c r="AB938">
        <v>2</v>
      </c>
      <c r="AC938">
        <v>27.64</v>
      </c>
      <c r="AD938">
        <v>0.57999999999999996</v>
      </c>
      <c r="AE938">
        <f t="shared" si="535"/>
        <v>1.4732099758648431</v>
      </c>
      <c r="AF938">
        <f t="shared" si="566"/>
        <v>0.33354786806114245</v>
      </c>
      <c r="AH938">
        <v>29.1</v>
      </c>
      <c r="AI938" s="3">
        <v>61.1</v>
      </c>
    </row>
    <row r="939" spans="1:38" x14ac:dyDescent="0.5">
      <c r="A939">
        <v>600</v>
      </c>
      <c r="B939">
        <v>200</v>
      </c>
      <c r="C939">
        <v>0.1</v>
      </c>
      <c r="D939">
        <v>22.4</v>
      </c>
      <c r="E939">
        <v>400</v>
      </c>
      <c r="F939">
        <v>150</v>
      </c>
      <c r="G939" s="3">
        <f t="shared" si="567"/>
        <v>6.6964285714285721</v>
      </c>
      <c r="Q939">
        <v>52.03</v>
      </c>
      <c r="R939">
        <v>7.35</v>
      </c>
      <c r="S939">
        <v>1.41</v>
      </c>
      <c r="T939">
        <v>39.119999999999997</v>
      </c>
      <c r="U939">
        <v>0.09</v>
      </c>
      <c r="V939">
        <f t="shared" si="571"/>
        <v>1.6951758600807225</v>
      </c>
      <c r="W939">
        <f t="shared" si="572"/>
        <v>0.5639054391697097</v>
      </c>
      <c r="X939">
        <v>2</v>
      </c>
      <c r="Y939" s="3">
        <f t="shared" si="573"/>
        <v>21.099019999999999</v>
      </c>
      <c r="Z939">
        <v>61.15</v>
      </c>
      <c r="AA939">
        <v>7.8</v>
      </c>
      <c r="AB939">
        <v>0.79</v>
      </c>
      <c r="AC939">
        <v>30.19</v>
      </c>
      <c r="AD939">
        <v>7.0000000000000007E-2</v>
      </c>
      <c r="AE939">
        <f t="shared" si="535"/>
        <v>1.5306623058053965</v>
      </c>
      <c r="AF939">
        <f t="shared" si="566"/>
        <v>0.37027800490596896</v>
      </c>
      <c r="AH939">
        <v>29.2</v>
      </c>
      <c r="AI939" s="3">
        <v>62</v>
      </c>
    </row>
    <row r="940" spans="1:38" x14ac:dyDescent="0.5">
      <c r="A940">
        <v>600</v>
      </c>
      <c r="B940">
        <v>200</v>
      </c>
      <c r="C940">
        <v>0.1</v>
      </c>
      <c r="D940">
        <v>22.4</v>
      </c>
      <c r="E940">
        <v>400</v>
      </c>
      <c r="F940">
        <v>150</v>
      </c>
      <c r="G940" s="3">
        <f t="shared" si="567"/>
        <v>6.6964285714285721</v>
      </c>
      <c r="Q940">
        <v>52.03</v>
      </c>
      <c r="R940">
        <v>7.35</v>
      </c>
      <c r="S940">
        <v>1.41</v>
      </c>
      <c r="T940">
        <v>39.119999999999997</v>
      </c>
      <c r="U940">
        <v>0.09</v>
      </c>
      <c r="V940">
        <f t="shared" si="571"/>
        <v>1.6951758600807225</v>
      </c>
      <c r="W940">
        <f t="shared" si="572"/>
        <v>0.5639054391697097</v>
      </c>
      <c r="X940">
        <v>2</v>
      </c>
      <c r="Y940" s="3">
        <f t="shared" si="573"/>
        <v>21.099019999999999</v>
      </c>
      <c r="Z940">
        <v>61.3</v>
      </c>
      <c r="AA940">
        <v>7.81</v>
      </c>
      <c r="AB940">
        <v>1.08</v>
      </c>
      <c r="AC940">
        <v>29.26</v>
      </c>
      <c r="AD940">
        <v>0.56000000000000005</v>
      </c>
      <c r="AE940">
        <f t="shared" si="535"/>
        <v>1.528874388254486</v>
      </c>
      <c r="AF940">
        <f t="shared" si="566"/>
        <v>0.35799347471451876</v>
      </c>
      <c r="AH940">
        <v>28.9</v>
      </c>
      <c r="AI940" s="3">
        <v>61.9</v>
      </c>
    </row>
    <row r="941" spans="1:38" x14ac:dyDescent="0.5">
      <c r="A941">
        <v>600</v>
      </c>
      <c r="B941">
        <v>200</v>
      </c>
      <c r="C941">
        <v>0.1</v>
      </c>
      <c r="D941">
        <v>135</v>
      </c>
      <c r="E941">
        <v>400</v>
      </c>
      <c r="F941">
        <v>150</v>
      </c>
      <c r="G941" s="3">
        <f t="shared" si="567"/>
        <v>1.1111111111111112</v>
      </c>
      <c r="Q941">
        <v>52.03</v>
      </c>
      <c r="R941">
        <v>7.35</v>
      </c>
      <c r="S941">
        <v>1.41</v>
      </c>
      <c r="T941">
        <v>39.119999999999997</v>
      </c>
      <c r="U941">
        <v>0.09</v>
      </c>
      <c r="V941">
        <f t="shared" si="571"/>
        <v>1.6951758600807225</v>
      </c>
      <c r="W941">
        <f t="shared" si="572"/>
        <v>0.5639054391697097</v>
      </c>
      <c r="X941">
        <v>2</v>
      </c>
      <c r="Y941" s="3">
        <f t="shared" si="573"/>
        <v>21.099019999999999</v>
      </c>
      <c r="Z941">
        <v>69.95</v>
      </c>
      <c r="AA941">
        <v>8.0500000000000007</v>
      </c>
      <c r="AB941">
        <v>1.3</v>
      </c>
      <c r="AC941">
        <v>20.91</v>
      </c>
      <c r="AD941">
        <v>0.09</v>
      </c>
      <c r="AE941">
        <f t="shared" si="535"/>
        <v>1.380986418870622</v>
      </c>
      <c r="AF941">
        <f t="shared" si="566"/>
        <v>0.22419585418155827</v>
      </c>
      <c r="AH941">
        <v>29.1</v>
      </c>
      <c r="AI941" s="3">
        <v>49.8</v>
      </c>
    </row>
    <row r="942" spans="1:38" x14ac:dyDescent="0.5">
      <c r="A942">
        <v>1104</v>
      </c>
      <c r="B942">
        <v>200</v>
      </c>
      <c r="C942">
        <v>0.1</v>
      </c>
      <c r="D942">
        <v>22.4</v>
      </c>
      <c r="E942">
        <v>400</v>
      </c>
      <c r="F942">
        <v>150</v>
      </c>
      <c r="G942" s="3">
        <f t="shared" si="567"/>
        <v>6.6964285714285721</v>
      </c>
      <c r="Q942">
        <v>52.03</v>
      </c>
      <c r="R942">
        <v>7.35</v>
      </c>
      <c r="S942">
        <v>1.41</v>
      </c>
      <c r="T942">
        <v>39.119999999999997</v>
      </c>
      <c r="U942">
        <v>0.09</v>
      </c>
      <c r="V942">
        <f t="shared" si="571"/>
        <v>1.6951758600807225</v>
      </c>
      <c r="W942">
        <f t="shared" si="572"/>
        <v>0.5639054391697097</v>
      </c>
      <c r="X942">
        <v>2</v>
      </c>
      <c r="Y942" s="3">
        <f t="shared" si="573"/>
        <v>21.099019999999999</v>
      </c>
      <c r="Z942">
        <v>58.85</v>
      </c>
      <c r="AA942">
        <v>7.55</v>
      </c>
      <c r="AB942">
        <v>0.76</v>
      </c>
      <c r="AC942">
        <v>32.29</v>
      </c>
      <c r="AD942">
        <v>0.55000000000000004</v>
      </c>
      <c r="AE942">
        <f t="shared" si="535"/>
        <v>1.5395072217502124</v>
      </c>
      <c r="AF942">
        <f t="shared" si="566"/>
        <v>0.41151231945624467</v>
      </c>
      <c r="AH942">
        <v>32.200000000000003</v>
      </c>
      <c r="AI942" s="3">
        <v>47.9</v>
      </c>
    </row>
    <row r="943" spans="1:38" x14ac:dyDescent="0.5">
      <c r="A943">
        <v>300</v>
      </c>
      <c r="B943">
        <v>230</v>
      </c>
      <c r="C943">
        <v>0.1</v>
      </c>
      <c r="D943">
        <v>45</v>
      </c>
      <c r="E943">
        <v>400</v>
      </c>
      <c r="F943">
        <v>150</v>
      </c>
      <c r="G943" s="3">
        <f t="shared" si="567"/>
        <v>3.3333333333333335</v>
      </c>
      <c r="Q943">
        <v>52.03</v>
      </c>
      <c r="R943">
        <v>7.35</v>
      </c>
      <c r="S943">
        <v>1.41</v>
      </c>
      <c r="T943">
        <v>39.119999999999997</v>
      </c>
      <c r="U943">
        <v>0.09</v>
      </c>
      <c r="V943">
        <f t="shared" si="571"/>
        <v>1.6951758600807225</v>
      </c>
      <c r="W943">
        <f t="shared" si="572"/>
        <v>0.5639054391697097</v>
      </c>
      <c r="X943">
        <v>2</v>
      </c>
      <c r="Y943" s="3">
        <f t="shared" si="573"/>
        <v>21.099019999999999</v>
      </c>
      <c r="Z943">
        <v>51.85</v>
      </c>
      <c r="AA943">
        <v>7.36</v>
      </c>
      <c r="AB943">
        <v>1.26</v>
      </c>
      <c r="AC943">
        <v>39.4</v>
      </c>
      <c r="AD943">
        <v>0.13</v>
      </c>
      <c r="AE943">
        <f t="shared" si="535"/>
        <v>1.7033751205400192</v>
      </c>
      <c r="AF943">
        <f t="shared" si="566"/>
        <v>0.56991321118611371</v>
      </c>
      <c r="AH943">
        <v>31.2</v>
      </c>
      <c r="AI943" s="3">
        <v>49.6</v>
      </c>
    </row>
    <row r="944" spans="1:38" x14ac:dyDescent="0.5">
      <c r="A944">
        <v>300</v>
      </c>
      <c r="B944">
        <v>230</v>
      </c>
      <c r="C944">
        <v>0.1</v>
      </c>
      <c r="D944">
        <v>15</v>
      </c>
      <c r="E944">
        <v>400</v>
      </c>
      <c r="F944">
        <v>150</v>
      </c>
      <c r="G944" s="3">
        <f t="shared" si="567"/>
        <v>10</v>
      </c>
      <c r="Q944">
        <v>52.03</v>
      </c>
      <c r="R944">
        <v>7.35</v>
      </c>
      <c r="S944">
        <v>1.41</v>
      </c>
      <c r="T944">
        <v>39.119999999999997</v>
      </c>
      <c r="U944">
        <v>0.09</v>
      </c>
      <c r="V944">
        <f t="shared" si="571"/>
        <v>1.6951758600807225</v>
      </c>
      <c r="W944">
        <f t="shared" si="572"/>
        <v>0.5639054391697097</v>
      </c>
      <c r="X944">
        <v>2</v>
      </c>
      <c r="Y944" s="3">
        <f t="shared" si="573"/>
        <v>21.099019999999999</v>
      </c>
      <c r="Z944">
        <v>57.9</v>
      </c>
      <c r="AA944">
        <v>7.9</v>
      </c>
      <c r="AB944">
        <v>0.7</v>
      </c>
      <c r="AC944">
        <v>33.450000000000003</v>
      </c>
      <c r="AD944">
        <v>0.05</v>
      </c>
      <c r="AE944">
        <f t="shared" si="535"/>
        <v>1.6373056994818653</v>
      </c>
      <c r="AF944">
        <f t="shared" si="566"/>
        <v>0.43329015544041455</v>
      </c>
      <c r="AH944">
        <v>28.3</v>
      </c>
      <c r="AI944" s="3">
        <v>62.2</v>
      </c>
    </row>
    <row r="945" spans="1:38" x14ac:dyDescent="0.5">
      <c r="A945">
        <v>900</v>
      </c>
      <c r="B945">
        <v>230</v>
      </c>
      <c r="C945">
        <v>0.1</v>
      </c>
      <c r="D945">
        <v>45</v>
      </c>
      <c r="E945">
        <v>400</v>
      </c>
      <c r="F945">
        <v>150</v>
      </c>
      <c r="G945" s="3">
        <f t="shared" si="567"/>
        <v>3.3333333333333335</v>
      </c>
      <c r="Q945">
        <v>52.03</v>
      </c>
      <c r="R945">
        <v>7.35</v>
      </c>
      <c r="S945">
        <v>1.41</v>
      </c>
      <c r="T945">
        <v>39.119999999999997</v>
      </c>
      <c r="U945">
        <v>0.09</v>
      </c>
      <c r="V945">
        <f t="shared" si="571"/>
        <v>1.6951758600807225</v>
      </c>
      <c r="W945">
        <f t="shared" si="572"/>
        <v>0.5639054391697097</v>
      </c>
      <c r="X945">
        <v>2</v>
      </c>
      <c r="Y945" s="3">
        <f t="shared" si="573"/>
        <v>21.099019999999999</v>
      </c>
      <c r="Z945">
        <v>67.95</v>
      </c>
      <c r="AA945">
        <v>7.69</v>
      </c>
      <c r="AB945">
        <v>1.34</v>
      </c>
      <c r="AC945">
        <v>22.92</v>
      </c>
      <c r="AD945">
        <v>0.1</v>
      </c>
      <c r="AE945">
        <f t="shared" si="535"/>
        <v>1.3580573951434878</v>
      </c>
      <c r="AF945">
        <f t="shared" si="566"/>
        <v>0.25298013245033113</v>
      </c>
      <c r="AH945">
        <v>32.9</v>
      </c>
      <c r="AI945" s="3">
        <v>27.6</v>
      </c>
    </row>
    <row r="946" spans="1:38" x14ac:dyDescent="0.5">
      <c r="A946">
        <v>900</v>
      </c>
      <c r="B946">
        <v>230</v>
      </c>
      <c r="C946">
        <v>0.1</v>
      </c>
      <c r="D946">
        <v>15</v>
      </c>
      <c r="E946">
        <v>400</v>
      </c>
      <c r="F946">
        <v>150</v>
      </c>
      <c r="G946" s="3">
        <f t="shared" si="567"/>
        <v>10</v>
      </c>
      <c r="Q946">
        <v>52.03</v>
      </c>
      <c r="R946">
        <v>7.35</v>
      </c>
      <c r="S946">
        <v>1.41</v>
      </c>
      <c r="T946">
        <v>39.119999999999997</v>
      </c>
      <c r="U946">
        <v>0.09</v>
      </c>
      <c r="V946">
        <f t="shared" si="571"/>
        <v>1.6951758600807225</v>
      </c>
      <c r="W946">
        <f t="shared" si="572"/>
        <v>0.5639054391697097</v>
      </c>
      <c r="X946">
        <v>2</v>
      </c>
      <c r="Y946" s="3">
        <f t="shared" si="573"/>
        <v>21.099019999999999</v>
      </c>
      <c r="Z946">
        <v>59.4</v>
      </c>
      <c r="AA946">
        <v>8.08</v>
      </c>
      <c r="AB946">
        <v>0.57999999999999996</v>
      </c>
      <c r="AC946">
        <v>31.84</v>
      </c>
      <c r="AD946">
        <v>0.1</v>
      </c>
      <c r="AE946">
        <f t="shared" si="535"/>
        <v>1.6323232323232322</v>
      </c>
      <c r="AF946">
        <f t="shared" si="566"/>
        <v>0.402020202020202</v>
      </c>
      <c r="AH946">
        <v>34.799999999999997</v>
      </c>
      <c r="AI946" s="3">
        <v>35.4</v>
      </c>
    </row>
    <row r="947" spans="1:38" x14ac:dyDescent="0.5">
      <c r="A947">
        <v>600</v>
      </c>
      <c r="B947">
        <v>230</v>
      </c>
      <c r="C947">
        <v>0.1</v>
      </c>
      <c r="D947">
        <v>22.4</v>
      </c>
      <c r="E947">
        <v>400</v>
      </c>
      <c r="F947">
        <v>150</v>
      </c>
      <c r="G947" s="3">
        <f t="shared" si="567"/>
        <v>6.6964285714285721</v>
      </c>
      <c r="Q947">
        <v>52.03</v>
      </c>
      <c r="R947">
        <v>7.35</v>
      </c>
      <c r="S947">
        <v>1.41</v>
      </c>
      <c r="T947">
        <v>39.119999999999997</v>
      </c>
      <c r="U947">
        <v>0.09</v>
      </c>
      <c r="V947">
        <f t="shared" si="571"/>
        <v>1.6951758600807225</v>
      </c>
      <c r="W947">
        <f t="shared" si="572"/>
        <v>0.5639054391697097</v>
      </c>
      <c r="X947">
        <v>2</v>
      </c>
      <c r="Y947" s="3">
        <f t="shared" si="573"/>
        <v>21.099019999999999</v>
      </c>
      <c r="Z947">
        <v>66.2</v>
      </c>
      <c r="AA947">
        <v>7.2</v>
      </c>
      <c r="AB947">
        <v>0.72</v>
      </c>
      <c r="AC947">
        <v>25.83</v>
      </c>
      <c r="AD947">
        <v>0.05</v>
      </c>
      <c r="AE947">
        <f t="shared" si="535"/>
        <v>1.3051359516616314</v>
      </c>
      <c r="AF947">
        <f t="shared" si="566"/>
        <v>0.29263595166163142</v>
      </c>
      <c r="AH947">
        <v>34.6</v>
      </c>
      <c r="AI947" s="3">
        <v>29.4</v>
      </c>
    </row>
    <row r="948" spans="1:38" x14ac:dyDescent="0.5">
      <c r="A948">
        <v>210</v>
      </c>
      <c r="B948">
        <v>180</v>
      </c>
      <c r="C948">
        <v>0.1</v>
      </c>
      <c r="D948">
        <v>500</v>
      </c>
      <c r="E948">
        <v>10000</v>
      </c>
      <c r="F948">
        <v>5000</v>
      </c>
      <c r="G948" s="3">
        <f t="shared" si="567"/>
        <v>10</v>
      </c>
      <c r="O948">
        <v>73.56</v>
      </c>
      <c r="P948" s="3">
        <v>18.760000000000002</v>
      </c>
      <c r="Q948">
        <v>45.81</v>
      </c>
      <c r="R948">
        <v>5.6</v>
      </c>
      <c r="S948">
        <v>0.94</v>
      </c>
      <c r="T948">
        <v>39.89</v>
      </c>
      <c r="U948">
        <v>0.08</v>
      </c>
      <c r="V948">
        <f t="shared" si="571"/>
        <v>1.4669286182056318</v>
      </c>
      <c r="W948">
        <f t="shared" si="572"/>
        <v>0.65307793058284214</v>
      </c>
      <c r="X948">
        <v>7.68</v>
      </c>
      <c r="Y948" s="3">
        <f t="shared" si="573"/>
        <v>16.360215</v>
      </c>
      <c r="Z948">
        <v>47.36</v>
      </c>
      <c r="AA948">
        <v>5.65</v>
      </c>
      <c r="AB948">
        <v>0.14000000000000001</v>
      </c>
      <c r="AC948">
        <v>41.84</v>
      </c>
      <c r="AD948">
        <v>0.06</v>
      </c>
      <c r="AE948">
        <f t="shared" si="535"/>
        <v>1.4315878378378379</v>
      </c>
      <c r="AF948">
        <f t="shared" si="566"/>
        <v>0.66258445945945954</v>
      </c>
      <c r="AG948" s="3">
        <v>4.95</v>
      </c>
      <c r="AH948">
        <v>15.9</v>
      </c>
      <c r="AI948" s="3">
        <v>59.18</v>
      </c>
      <c r="AJ948" s="2" t="s">
        <v>249</v>
      </c>
      <c r="AK948" t="s">
        <v>250</v>
      </c>
      <c r="AL948">
        <v>116</v>
      </c>
    </row>
    <row r="949" spans="1:38" x14ac:dyDescent="0.5">
      <c r="A949">
        <v>120</v>
      </c>
      <c r="B949">
        <v>190</v>
      </c>
      <c r="C949">
        <v>0.1</v>
      </c>
      <c r="D949">
        <v>500</v>
      </c>
      <c r="E949">
        <v>10000</v>
      </c>
      <c r="F949">
        <v>5000</v>
      </c>
      <c r="G949" s="3">
        <f t="shared" ref="G949:G957" si="574">F949/D949</f>
        <v>10</v>
      </c>
      <c r="O949">
        <v>73.56</v>
      </c>
      <c r="P949" s="3">
        <v>18.760000000000002</v>
      </c>
      <c r="Q949">
        <v>45.81</v>
      </c>
      <c r="R949">
        <v>5.6</v>
      </c>
      <c r="S949">
        <v>0.94</v>
      </c>
      <c r="T949">
        <v>39.89</v>
      </c>
      <c r="U949">
        <v>0.08</v>
      </c>
      <c r="V949">
        <f t="shared" ref="V949:V957" si="575">(R949/1)/(Q949/12)</f>
        <v>1.4669286182056318</v>
      </c>
      <c r="W949">
        <f t="shared" ref="W949:W957" si="576">(T949/16)/(Q949/12)</f>
        <v>0.65307793058284214</v>
      </c>
      <c r="X949">
        <v>7.68</v>
      </c>
      <c r="Y949" s="3">
        <f t="shared" ref="Y949:Y955" si="577">(0.338*Q949)+1.428*(R949-(T949/8))</f>
        <v>16.360215</v>
      </c>
      <c r="Z949">
        <v>46.72</v>
      </c>
      <c r="AA949">
        <v>5.84</v>
      </c>
      <c r="AB949">
        <v>0.1</v>
      </c>
      <c r="AC949">
        <v>42.62</v>
      </c>
      <c r="AD949">
        <v>0.05</v>
      </c>
      <c r="AE949">
        <f t="shared" si="535"/>
        <v>1.5</v>
      </c>
      <c r="AF949">
        <f t="shared" si="566"/>
        <v>0.68418236301369861</v>
      </c>
      <c r="AG949" s="3">
        <v>4.76</v>
      </c>
      <c r="AH949">
        <v>16.53</v>
      </c>
      <c r="AI949" s="3">
        <v>64.349999999999994</v>
      </c>
    </row>
    <row r="950" spans="1:38" x14ac:dyDescent="0.5">
      <c r="A950">
        <v>300</v>
      </c>
      <c r="B950">
        <v>190</v>
      </c>
      <c r="C950">
        <v>0.1</v>
      </c>
      <c r="D950">
        <v>500</v>
      </c>
      <c r="E950">
        <v>10000</v>
      </c>
      <c r="F950">
        <v>5000</v>
      </c>
      <c r="G950" s="3">
        <f t="shared" si="574"/>
        <v>10</v>
      </c>
      <c r="O950">
        <v>73.56</v>
      </c>
      <c r="P950" s="3">
        <v>18.760000000000002</v>
      </c>
      <c r="Q950">
        <v>45.81</v>
      </c>
      <c r="R950">
        <v>5.6</v>
      </c>
      <c r="S950">
        <v>0.94</v>
      </c>
      <c r="T950">
        <v>39.89</v>
      </c>
      <c r="U950">
        <v>0.08</v>
      </c>
      <c r="V950">
        <f t="shared" si="575"/>
        <v>1.4669286182056318</v>
      </c>
      <c r="W950">
        <f t="shared" si="576"/>
        <v>0.65307793058284214</v>
      </c>
      <c r="X950">
        <v>7.68</v>
      </c>
      <c r="Y950" s="3">
        <f t="shared" si="577"/>
        <v>16.360215</v>
      </c>
      <c r="Z950">
        <v>46.14</v>
      </c>
      <c r="AA950">
        <v>5.8</v>
      </c>
      <c r="AB950">
        <v>0.15</v>
      </c>
      <c r="AC950">
        <v>42.25</v>
      </c>
      <c r="AD950">
        <v>0.05</v>
      </c>
      <c r="AE950">
        <f t="shared" si="535"/>
        <v>1.5084525357607281</v>
      </c>
      <c r="AF950">
        <f t="shared" si="566"/>
        <v>0.68676853055916776</v>
      </c>
      <c r="AG950" s="3">
        <v>5.61</v>
      </c>
      <c r="AH950">
        <v>16.34</v>
      </c>
      <c r="AI950" s="3">
        <v>65</v>
      </c>
    </row>
    <row r="951" spans="1:38" x14ac:dyDescent="0.5">
      <c r="A951">
        <v>60</v>
      </c>
      <c r="B951">
        <v>215</v>
      </c>
      <c r="C951">
        <v>0.1</v>
      </c>
      <c r="D951">
        <v>500</v>
      </c>
      <c r="E951">
        <v>10000</v>
      </c>
      <c r="F951">
        <v>5000</v>
      </c>
      <c r="G951" s="3">
        <f t="shared" si="574"/>
        <v>10</v>
      </c>
      <c r="O951">
        <v>73.56</v>
      </c>
      <c r="P951" s="3">
        <v>18.760000000000002</v>
      </c>
      <c r="Q951">
        <v>45.81</v>
      </c>
      <c r="R951">
        <v>5.6</v>
      </c>
      <c r="S951">
        <v>0.94</v>
      </c>
      <c r="T951">
        <v>39.89</v>
      </c>
      <c r="U951">
        <v>0.08</v>
      </c>
      <c r="V951">
        <f t="shared" si="575"/>
        <v>1.4669286182056318</v>
      </c>
      <c r="W951">
        <f t="shared" si="576"/>
        <v>0.65307793058284214</v>
      </c>
      <c r="X951">
        <v>7.68</v>
      </c>
      <c r="Y951" s="3">
        <f t="shared" si="577"/>
        <v>16.360215</v>
      </c>
      <c r="Z951">
        <v>49.45</v>
      </c>
      <c r="AA951">
        <v>5.97</v>
      </c>
      <c r="AB951">
        <v>0</v>
      </c>
      <c r="AC951">
        <v>43.54</v>
      </c>
      <c r="AD951">
        <v>0.02</v>
      </c>
      <c r="AE951">
        <f t="shared" si="535"/>
        <v>1.448736097067745</v>
      </c>
      <c r="AF951">
        <f t="shared" si="566"/>
        <v>0.66036400404448936</v>
      </c>
      <c r="AG951" s="3">
        <v>1.02</v>
      </c>
      <c r="AH951">
        <v>18.13</v>
      </c>
      <c r="AI951" s="3">
        <v>72</v>
      </c>
    </row>
    <row r="952" spans="1:38" x14ac:dyDescent="0.5">
      <c r="A952">
        <v>210</v>
      </c>
      <c r="B952">
        <v>215</v>
      </c>
      <c r="C952">
        <v>0.1</v>
      </c>
      <c r="D952">
        <v>500</v>
      </c>
      <c r="E952">
        <v>10000</v>
      </c>
      <c r="F952">
        <v>5000</v>
      </c>
      <c r="G952" s="3">
        <f t="shared" si="574"/>
        <v>10</v>
      </c>
      <c r="O952">
        <v>73.56</v>
      </c>
      <c r="P952" s="3">
        <v>18.760000000000002</v>
      </c>
      <c r="Q952">
        <v>45.81</v>
      </c>
      <c r="R952">
        <v>5.6</v>
      </c>
      <c r="S952">
        <v>0.94</v>
      </c>
      <c r="T952">
        <v>39.89</v>
      </c>
      <c r="U952">
        <v>0.08</v>
      </c>
      <c r="V952">
        <f t="shared" si="575"/>
        <v>1.4669286182056318</v>
      </c>
      <c r="W952">
        <f t="shared" si="576"/>
        <v>0.65307793058284214</v>
      </c>
      <c r="X952">
        <v>7.68</v>
      </c>
      <c r="Y952" s="3">
        <f t="shared" si="577"/>
        <v>16.360215</v>
      </c>
      <c r="Z952">
        <v>46.36</v>
      </c>
      <c r="AA952">
        <v>5.84</v>
      </c>
      <c r="AB952">
        <v>0.09</v>
      </c>
      <c r="AC952">
        <v>40.36</v>
      </c>
      <c r="AD952">
        <v>0.05</v>
      </c>
      <c r="AE952">
        <f t="shared" si="535"/>
        <v>1.5116479723899914</v>
      </c>
      <c r="AF952">
        <f t="shared" si="566"/>
        <v>0.65293356341673858</v>
      </c>
      <c r="AG952" s="3">
        <v>7.3</v>
      </c>
      <c r="AH952">
        <v>16.61</v>
      </c>
      <c r="AI952" s="3">
        <v>62.37</v>
      </c>
    </row>
    <row r="953" spans="1:38" x14ac:dyDescent="0.5">
      <c r="A953">
        <v>360</v>
      </c>
      <c r="B953">
        <v>215</v>
      </c>
      <c r="C953">
        <v>0.1</v>
      </c>
      <c r="D953">
        <v>500</v>
      </c>
      <c r="E953">
        <v>10000</v>
      </c>
      <c r="F953">
        <v>5000</v>
      </c>
      <c r="G953" s="3">
        <f t="shared" si="574"/>
        <v>10</v>
      </c>
      <c r="O953">
        <v>73.56</v>
      </c>
      <c r="P953" s="3">
        <v>18.760000000000002</v>
      </c>
      <c r="Q953">
        <v>45.81</v>
      </c>
      <c r="R953">
        <v>5.6</v>
      </c>
      <c r="S953">
        <v>0.94</v>
      </c>
      <c r="T953">
        <v>39.89</v>
      </c>
      <c r="U953">
        <v>0.08</v>
      </c>
      <c r="V953">
        <f t="shared" si="575"/>
        <v>1.4669286182056318</v>
      </c>
      <c r="W953">
        <f t="shared" si="576"/>
        <v>0.65307793058284214</v>
      </c>
      <c r="X953">
        <v>7.68</v>
      </c>
      <c r="Y953" s="3">
        <f t="shared" si="577"/>
        <v>16.360215</v>
      </c>
      <c r="Z953">
        <v>49.82</v>
      </c>
      <c r="AA953">
        <v>6.24</v>
      </c>
      <c r="AB953">
        <v>0</v>
      </c>
      <c r="AC953">
        <v>42.76</v>
      </c>
      <c r="AD953">
        <v>0.03</v>
      </c>
      <c r="AE953">
        <f t="shared" si="535"/>
        <v>1.5030108390204739</v>
      </c>
      <c r="AF953">
        <f t="shared" si="566"/>
        <v>0.64371738257727817</v>
      </c>
      <c r="AG953" s="3">
        <v>1.1499999999999999</v>
      </c>
      <c r="AH953">
        <v>16.809999999999999</v>
      </c>
      <c r="AI953" s="3">
        <v>62.13</v>
      </c>
    </row>
    <row r="954" spans="1:38" x14ac:dyDescent="0.5">
      <c r="A954">
        <v>120</v>
      </c>
      <c r="B954">
        <v>240</v>
      </c>
      <c r="C954">
        <v>0.1</v>
      </c>
      <c r="D954">
        <v>500</v>
      </c>
      <c r="E954">
        <v>10000</v>
      </c>
      <c r="F954">
        <v>5000</v>
      </c>
      <c r="G954" s="3">
        <f t="shared" si="574"/>
        <v>10</v>
      </c>
      <c r="O954">
        <v>73.56</v>
      </c>
      <c r="P954" s="3">
        <v>18.760000000000002</v>
      </c>
      <c r="Q954">
        <v>45.81</v>
      </c>
      <c r="R954">
        <v>5.6</v>
      </c>
      <c r="S954">
        <v>0.94</v>
      </c>
      <c r="T954">
        <v>39.89</v>
      </c>
      <c r="U954">
        <v>0.08</v>
      </c>
      <c r="V954">
        <f t="shared" si="575"/>
        <v>1.4669286182056318</v>
      </c>
      <c r="W954">
        <f t="shared" si="576"/>
        <v>0.65307793058284214</v>
      </c>
      <c r="X954">
        <v>7.68</v>
      </c>
      <c r="Y954" s="3">
        <f t="shared" si="577"/>
        <v>16.360215</v>
      </c>
      <c r="Z954">
        <v>46.95</v>
      </c>
      <c r="AA954">
        <v>5.78</v>
      </c>
      <c r="AB954">
        <v>0.11</v>
      </c>
      <c r="AC954">
        <v>40.92</v>
      </c>
      <c r="AD954">
        <v>0.05</v>
      </c>
      <c r="AE954">
        <f t="shared" si="535"/>
        <v>1.4773162939297124</v>
      </c>
      <c r="AF954">
        <f t="shared" si="566"/>
        <v>0.65367412140575076</v>
      </c>
      <c r="AG954" s="3">
        <v>6.19</v>
      </c>
      <c r="AH954">
        <v>16.829999999999998</v>
      </c>
      <c r="AI954" s="3">
        <v>59.22</v>
      </c>
    </row>
    <row r="955" spans="1:38" x14ac:dyDescent="0.5">
      <c r="A955">
        <v>300</v>
      </c>
      <c r="B955">
        <v>240</v>
      </c>
      <c r="C955">
        <v>0.1</v>
      </c>
      <c r="D955">
        <v>500</v>
      </c>
      <c r="E955">
        <v>10000</v>
      </c>
      <c r="F955">
        <v>5000</v>
      </c>
      <c r="G955" s="3">
        <f t="shared" si="574"/>
        <v>10</v>
      </c>
      <c r="O955">
        <v>73.56</v>
      </c>
      <c r="P955" s="3">
        <v>18.760000000000002</v>
      </c>
      <c r="Q955">
        <v>45.81</v>
      </c>
      <c r="R955">
        <v>5.6</v>
      </c>
      <c r="S955">
        <v>0.94</v>
      </c>
      <c r="T955">
        <v>39.89</v>
      </c>
      <c r="U955">
        <v>0.08</v>
      </c>
      <c r="V955">
        <f t="shared" si="575"/>
        <v>1.4669286182056318</v>
      </c>
      <c r="W955">
        <f t="shared" si="576"/>
        <v>0.65307793058284214</v>
      </c>
      <c r="X955">
        <v>7.68</v>
      </c>
      <c r="Y955" s="3">
        <f t="shared" si="577"/>
        <v>16.360215</v>
      </c>
      <c r="Z955">
        <v>48.59</v>
      </c>
      <c r="AA955">
        <v>5.8</v>
      </c>
      <c r="AB955">
        <v>0.14000000000000001</v>
      </c>
      <c r="AC955">
        <v>40.869999999999997</v>
      </c>
      <c r="AD955">
        <v>0.06</v>
      </c>
      <c r="AE955">
        <f t="shared" si="535"/>
        <v>1.4323934966042393</v>
      </c>
      <c r="AF955">
        <f t="shared" si="566"/>
        <v>0.63083967894628512</v>
      </c>
      <c r="AG955" s="3">
        <v>4.54</v>
      </c>
      <c r="AH955">
        <v>17.420000000000002</v>
      </c>
      <c r="AI955" s="3">
        <v>58.49</v>
      </c>
    </row>
    <row r="956" spans="1:38" x14ac:dyDescent="0.5">
      <c r="A956">
        <v>210</v>
      </c>
      <c r="B956">
        <v>250</v>
      </c>
      <c r="C956">
        <v>0.1</v>
      </c>
      <c r="D956">
        <v>500</v>
      </c>
      <c r="E956">
        <v>10000</v>
      </c>
      <c r="F956">
        <v>5000</v>
      </c>
      <c r="G956" s="3">
        <f t="shared" si="574"/>
        <v>10</v>
      </c>
      <c r="O956">
        <v>73.56</v>
      </c>
      <c r="P956" s="3">
        <v>18.760000000000002</v>
      </c>
      <c r="Q956">
        <v>45.81</v>
      </c>
      <c r="R956">
        <v>5.6</v>
      </c>
      <c r="S956">
        <v>0.94</v>
      </c>
      <c r="T956">
        <v>39.89</v>
      </c>
      <c r="U956">
        <v>0.08</v>
      </c>
      <c r="V956">
        <f t="shared" si="575"/>
        <v>1.4669286182056318</v>
      </c>
      <c r="W956">
        <f t="shared" si="576"/>
        <v>0.65307793058284214</v>
      </c>
      <c r="X956">
        <v>7.68</v>
      </c>
      <c r="Y956" s="3">
        <f>(0.338*Q956)+1.428*(R956-(T956/8))</f>
        <v>16.360215</v>
      </c>
      <c r="Z956">
        <v>47.2</v>
      </c>
      <c r="AA956">
        <v>5.13</v>
      </c>
      <c r="AB956">
        <v>0.11</v>
      </c>
      <c r="AC956">
        <v>41.3</v>
      </c>
      <c r="AD956">
        <v>0.05</v>
      </c>
      <c r="AE956">
        <f t="shared" si="535"/>
        <v>1.304237288135593</v>
      </c>
      <c r="AF956">
        <f t="shared" si="566"/>
        <v>0.65624999999999989</v>
      </c>
      <c r="AG956" s="3">
        <v>6.21</v>
      </c>
      <c r="AH956">
        <v>17.47</v>
      </c>
      <c r="AI956" s="3">
        <v>35.51</v>
      </c>
    </row>
    <row r="957" spans="1:38" x14ac:dyDescent="0.5">
      <c r="A957">
        <v>360</v>
      </c>
      <c r="B957">
        <v>200</v>
      </c>
      <c r="C957">
        <v>0.1</v>
      </c>
      <c r="D957">
        <v>25</v>
      </c>
      <c r="E957">
        <v>1000</v>
      </c>
      <c r="F957">
        <v>500</v>
      </c>
      <c r="G957" s="3">
        <f t="shared" si="574"/>
        <v>20</v>
      </c>
      <c r="Q957">
        <v>46</v>
      </c>
      <c r="R957">
        <v>6.8</v>
      </c>
      <c r="S957">
        <v>0.6</v>
      </c>
      <c r="T957">
        <v>37.6</v>
      </c>
      <c r="U957">
        <v>0.2</v>
      </c>
      <c r="V957">
        <f t="shared" si="575"/>
        <v>1.7739130434782608</v>
      </c>
      <c r="W957">
        <f t="shared" si="576"/>
        <v>0.61304347826086958</v>
      </c>
      <c r="X957">
        <v>8.8000000000000007</v>
      </c>
      <c r="Y957" s="3">
        <v>20</v>
      </c>
      <c r="Z957">
        <v>53.5</v>
      </c>
      <c r="AA957">
        <v>5.4</v>
      </c>
      <c r="AB957">
        <v>0.5</v>
      </c>
      <c r="AC957">
        <v>29.9</v>
      </c>
      <c r="AD957">
        <v>0.2</v>
      </c>
      <c r="AE957">
        <f t="shared" si="535"/>
        <v>1.2112149532710281</v>
      </c>
      <c r="AF957">
        <f t="shared" si="566"/>
        <v>0.41915887850467293</v>
      </c>
      <c r="AG957" s="3">
        <v>10.4</v>
      </c>
      <c r="AH957">
        <v>21.9</v>
      </c>
      <c r="AI957" s="3">
        <v>49.9</v>
      </c>
      <c r="AJ957" s="2" t="s">
        <v>251</v>
      </c>
      <c r="AK957" t="s">
        <v>73</v>
      </c>
      <c r="AL957">
        <v>117</v>
      </c>
    </row>
    <row r="958" spans="1:38" x14ac:dyDescent="0.5">
      <c r="A958">
        <v>360</v>
      </c>
      <c r="B958">
        <v>260</v>
      </c>
      <c r="C958">
        <v>0.1</v>
      </c>
      <c r="D958">
        <v>25</v>
      </c>
      <c r="E958">
        <v>1000</v>
      </c>
      <c r="F958">
        <v>500</v>
      </c>
      <c r="G958" s="3">
        <f t="shared" ref="G958:G959" si="578">F958/D958</f>
        <v>20</v>
      </c>
      <c r="Q958">
        <v>46</v>
      </c>
      <c r="R958">
        <v>6.8</v>
      </c>
      <c r="S958">
        <v>0.6</v>
      </c>
      <c r="T958">
        <v>37.6</v>
      </c>
      <c r="U958">
        <v>0.2</v>
      </c>
      <c r="V958">
        <f t="shared" ref="V958:V959" si="579">(R958/1)/(Q958/12)</f>
        <v>1.7739130434782608</v>
      </c>
      <c r="W958">
        <f t="shared" ref="W958:W959" si="580">(T958/16)/(Q958/12)</f>
        <v>0.61304347826086958</v>
      </c>
      <c r="X958">
        <v>8.8000000000000007</v>
      </c>
      <c r="Y958" s="3">
        <v>20</v>
      </c>
      <c r="Z958">
        <v>66</v>
      </c>
      <c r="AA958">
        <v>4.2</v>
      </c>
      <c r="AB958">
        <v>0.8</v>
      </c>
      <c r="AC958">
        <v>16.899999999999999</v>
      </c>
      <c r="AD958">
        <v>0.2</v>
      </c>
      <c r="AE958">
        <f t="shared" si="535"/>
        <v>0.76363636363636367</v>
      </c>
      <c r="AF958">
        <f t="shared" si="566"/>
        <v>0.19204545454545452</v>
      </c>
      <c r="AG958" s="3">
        <v>11.9</v>
      </c>
      <c r="AH958">
        <v>26.2</v>
      </c>
      <c r="AI958" s="3">
        <v>31.3</v>
      </c>
    </row>
    <row r="959" spans="1:38" x14ac:dyDescent="0.5">
      <c r="A959">
        <v>30</v>
      </c>
      <c r="B959">
        <v>120</v>
      </c>
      <c r="C959">
        <v>0.1</v>
      </c>
      <c r="D959">
        <v>10</v>
      </c>
      <c r="E959">
        <v>250</v>
      </c>
      <c r="F959">
        <v>100</v>
      </c>
      <c r="G959" s="3">
        <f t="shared" si="578"/>
        <v>10</v>
      </c>
      <c r="H959">
        <v>33.97</v>
      </c>
      <c r="I959">
        <v>3.41</v>
      </c>
      <c r="J959">
        <v>62.62</v>
      </c>
      <c r="O959">
        <v>39.200000000000003</v>
      </c>
      <c r="P959" s="3">
        <v>4.2</v>
      </c>
      <c r="Q959">
        <v>21.6</v>
      </c>
      <c r="R959">
        <v>3.7</v>
      </c>
      <c r="S959">
        <v>3.4</v>
      </c>
      <c r="T959">
        <v>14.3</v>
      </c>
      <c r="U959">
        <v>0.5</v>
      </c>
      <c r="V959">
        <f t="shared" si="579"/>
        <v>2.0555555555555558</v>
      </c>
      <c r="W959">
        <f t="shared" si="580"/>
        <v>0.49652777777777779</v>
      </c>
      <c r="X959">
        <v>56.5</v>
      </c>
      <c r="Y959" s="3">
        <v>9.67</v>
      </c>
      <c r="Z959">
        <v>18.5</v>
      </c>
      <c r="AA959">
        <v>3.4</v>
      </c>
      <c r="AB959">
        <v>2.6</v>
      </c>
      <c r="AC959">
        <v>12.8</v>
      </c>
      <c r="AD959">
        <v>0.5</v>
      </c>
      <c r="AE959">
        <f t="shared" si="535"/>
        <v>2.2054054054054051</v>
      </c>
      <c r="AF959">
        <f t="shared" si="566"/>
        <v>0.51891891891891895</v>
      </c>
      <c r="AG959" s="3">
        <v>62.2</v>
      </c>
      <c r="AH959">
        <f>(0.338*Z959)+1.428*(AA959-(AC959/8))</f>
        <v>8.8233999999999995</v>
      </c>
      <c r="AI959" s="3">
        <v>88.9</v>
      </c>
      <c r="AJ959" s="2" t="s">
        <v>252</v>
      </c>
      <c r="AK959" t="s">
        <v>253</v>
      </c>
      <c r="AL959">
        <v>118</v>
      </c>
    </row>
    <row r="960" spans="1:38" x14ac:dyDescent="0.5">
      <c r="A960">
        <v>30</v>
      </c>
      <c r="B960">
        <v>180</v>
      </c>
      <c r="C960">
        <v>0.1</v>
      </c>
      <c r="D960">
        <v>10</v>
      </c>
      <c r="E960">
        <v>250</v>
      </c>
      <c r="F960">
        <v>100</v>
      </c>
      <c r="G960" s="3">
        <f t="shared" ref="G960:G965" si="581">F960/D960</f>
        <v>10</v>
      </c>
      <c r="H960">
        <v>33.97</v>
      </c>
      <c r="I960">
        <v>3.41</v>
      </c>
      <c r="J960">
        <v>62.62</v>
      </c>
      <c r="O960">
        <v>39.200000000000003</v>
      </c>
      <c r="P960" s="3">
        <v>4.2</v>
      </c>
      <c r="Q960">
        <v>21.6</v>
      </c>
      <c r="R960">
        <v>3.7</v>
      </c>
      <c r="S960">
        <v>3.4</v>
      </c>
      <c r="T960">
        <v>14.3</v>
      </c>
      <c r="U960">
        <v>0.5</v>
      </c>
      <c r="V960">
        <f t="shared" ref="V960:V965" si="582">(R960/1)/(Q960/12)</f>
        <v>2.0555555555555558</v>
      </c>
      <c r="W960">
        <f t="shared" ref="W960:W965" si="583">(T960/16)/(Q960/12)</f>
        <v>0.49652777777777779</v>
      </c>
      <c r="X960">
        <v>56.5</v>
      </c>
      <c r="Y960" s="3">
        <v>9.67</v>
      </c>
      <c r="Z960">
        <v>13.9</v>
      </c>
      <c r="AA960">
        <v>2.2999999999999998</v>
      </c>
      <c r="AB960">
        <v>1.9</v>
      </c>
      <c r="AC960">
        <v>9</v>
      </c>
      <c r="AD960">
        <v>0.4</v>
      </c>
      <c r="AE960">
        <f t="shared" si="535"/>
        <v>1.9856115107913666</v>
      </c>
      <c r="AF960">
        <f t="shared" si="566"/>
        <v>0.48561151079136688</v>
      </c>
      <c r="AG960" s="3">
        <v>72.5</v>
      </c>
      <c r="AH960">
        <f t="shared" ref="AH960:AH982" si="584">(0.338*Z960)+1.428*(AA960-(AC960/8))</f>
        <v>6.376100000000001</v>
      </c>
      <c r="AI960" s="3">
        <v>77.099999999999994</v>
      </c>
    </row>
    <row r="961" spans="1:35" x14ac:dyDescent="0.5">
      <c r="A961">
        <v>30</v>
      </c>
      <c r="B961">
        <v>240</v>
      </c>
      <c r="C961">
        <v>0.1</v>
      </c>
      <c r="D961">
        <v>10</v>
      </c>
      <c r="E961">
        <v>250</v>
      </c>
      <c r="F961">
        <v>100</v>
      </c>
      <c r="G961" s="3">
        <f t="shared" si="581"/>
        <v>10</v>
      </c>
      <c r="H961">
        <v>33.97</v>
      </c>
      <c r="I961">
        <v>3.41</v>
      </c>
      <c r="J961">
        <v>62.62</v>
      </c>
      <c r="O961">
        <v>39.200000000000003</v>
      </c>
      <c r="P961" s="3">
        <v>4.2</v>
      </c>
      <c r="Q961">
        <v>21.6</v>
      </c>
      <c r="R961">
        <v>3.7</v>
      </c>
      <c r="S961">
        <v>3.4</v>
      </c>
      <c r="T961">
        <v>14.3</v>
      </c>
      <c r="U961">
        <v>0.5</v>
      </c>
      <c r="V961">
        <f t="shared" si="582"/>
        <v>2.0555555555555558</v>
      </c>
      <c r="W961">
        <f t="shared" si="583"/>
        <v>0.49652777777777779</v>
      </c>
      <c r="X961">
        <v>56.5</v>
      </c>
      <c r="Y961" s="3">
        <v>9.67</v>
      </c>
      <c r="Z961">
        <v>9.6999999999999993</v>
      </c>
      <c r="AA961">
        <v>1.8</v>
      </c>
      <c r="AB961">
        <v>1.2</v>
      </c>
      <c r="AC961">
        <v>6</v>
      </c>
      <c r="AD961">
        <v>0.3</v>
      </c>
      <c r="AE961">
        <f t="shared" si="535"/>
        <v>2.2268041237113407</v>
      </c>
      <c r="AF961">
        <f t="shared" si="566"/>
        <v>0.46391752577319595</v>
      </c>
      <c r="AG961" s="3">
        <v>81</v>
      </c>
      <c r="AH961">
        <f t="shared" si="584"/>
        <v>4.7780000000000005</v>
      </c>
      <c r="AI961" s="3">
        <v>70.2</v>
      </c>
    </row>
    <row r="962" spans="1:35" x14ac:dyDescent="0.5">
      <c r="A962">
        <v>30</v>
      </c>
      <c r="B962">
        <v>300</v>
      </c>
      <c r="C962">
        <v>0.1</v>
      </c>
      <c r="D962">
        <v>10</v>
      </c>
      <c r="E962">
        <v>250</v>
      </c>
      <c r="F962">
        <v>100</v>
      </c>
      <c r="G962" s="3">
        <f t="shared" si="581"/>
        <v>10</v>
      </c>
      <c r="H962">
        <v>33.97</v>
      </c>
      <c r="I962">
        <v>3.41</v>
      </c>
      <c r="J962">
        <v>62.62</v>
      </c>
      <c r="O962">
        <v>39.200000000000003</v>
      </c>
      <c r="P962" s="3">
        <v>4.2</v>
      </c>
      <c r="Q962">
        <v>21.6</v>
      </c>
      <c r="R962">
        <v>3.7</v>
      </c>
      <c r="S962">
        <v>3.4</v>
      </c>
      <c r="T962">
        <v>14.3</v>
      </c>
      <c r="U962">
        <v>0.5</v>
      </c>
      <c r="V962">
        <f t="shared" si="582"/>
        <v>2.0555555555555558</v>
      </c>
      <c r="W962">
        <f t="shared" si="583"/>
        <v>0.49652777777777779</v>
      </c>
      <c r="X962">
        <v>56.5</v>
      </c>
      <c r="Y962" s="3">
        <v>9.67</v>
      </c>
      <c r="Z962">
        <v>8.8000000000000007</v>
      </c>
      <c r="AA962">
        <v>1.6</v>
      </c>
      <c r="AB962">
        <v>0.9</v>
      </c>
      <c r="AC962">
        <v>3.5</v>
      </c>
      <c r="AD962">
        <v>0.3</v>
      </c>
      <c r="AE962">
        <f t="shared" si="535"/>
        <v>2.1818181818181817</v>
      </c>
      <c r="AF962">
        <f t="shared" si="566"/>
        <v>0.29829545454545453</v>
      </c>
      <c r="AG962" s="3">
        <v>84.9</v>
      </c>
      <c r="AH962">
        <f t="shared" si="584"/>
        <v>4.6344500000000011</v>
      </c>
      <c r="AI962" s="3">
        <v>66.400000000000006</v>
      </c>
    </row>
    <row r="963" spans="1:35" x14ac:dyDescent="0.5">
      <c r="A963">
        <v>60</v>
      </c>
      <c r="B963">
        <v>300</v>
      </c>
      <c r="C963">
        <v>0.1</v>
      </c>
      <c r="D963">
        <v>10</v>
      </c>
      <c r="E963">
        <v>250</v>
      </c>
      <c r="F963">
        <v>100</v>
      </c>
      <c r="G963" s="3">
        <f t="shared" si="581"/>
        <v>10</v>
      </c>
      <c r="H963">
        <v>33.97</v>
      </c>
      <c r="I963">
        <v>3.41</v>
      </c>
      <c r="J963">
        <v>62.62</v>
      </c>
      <c r="O963">
        <v>39.200000000000003</v>
      </c>
      <c r="P963" s="3">
        <v>4.2</v>
      </c>
      <c r="Q963">
        <v>21.6</v>
      </c>
      <c r="R963">
        <v>3.7</v>
      </c>
      <c r="S963">
        <v>3.4</v>
      </c>
      <c r="T963">
        <v>14.3</v>
      </c>
      <c r="U963">
        <v>0.5</v>
      </c>
      <c r="V963">
        <f t="shared" si="582"/>
        <v>2.0555555555555558</v>
      </c>
      <c r="W963">
        <f t="shared" si="583"/>
        <v>0.49652777777777779</v>
      </c>
      <c r="X963">
        <v>56.5</v>
      </c>
      <c r="Y963" s="3">
        <v>9.67</v>
      </c>
      <c r="Z963">
        <v>7.6</v>
      </c>
      <c r="AA963">
        <v>1.5</v>
      </c>
      <c r="AB963">
        <v>0.8</v>
      </c>
      <c r="AC963">
        <v>3</v>
      </c>
      <c r="AD963">
        <v>0.3</v>
      </c>
      <c r="AE963">
        <f t="shared" si="535"/>
        <v>2.3684210526315792</v>
      </c>
      <c r="AF963">
        <f t="shared" si="566"/>
        <v>0.2960526315789474</v>
      </c>
      <c r="AG963" s="3">
        <v>86.8</v>
      </c>
      <c r="AH963">
        <f t="shared" si="584"/>
        <v>4.1753</v>
      </c>
      <c r="AI963" s="3">
        <v>65.8</v>
      </c>
    </row>
    <row r="964" spans="1:35" x14ac:dyDescent="0.5">
      <c r="A964">
        <v>120</v>
      </c>
      <c r="B964">
        <v>300</v>
      </c>
      <c r="C964">
        <v>0.1</v>
      </c>
      <c r="D964">
        <v>10</v>
      </c>
      <c r="E964">
        <v>250</v>
      </c>
      <c r="F964">
        <v>100</v>
      </c>
      <c r="G964" s="3">
        <f t="shared" si="581"/>
        <v>10</v>
      </c>
      <c r="H964">
        <v>33.97</v>
      </c>
      <c r="I964">
        <v>3.41</v>
      </c>
      <c r="J964">
        <v>62.62</v>
      </c>
      <c r="O964">
        <v>39.200000000000003</v>
      </c>
      <c r="P964" s="3">
        <v>4.2</v>
      </c>
      <c r="Q964">
        <v>21.6</v>
      </c>
      <c r="R964">
        <v>3.7</v>
      </c>
      <c r="S964">
        <v>3.4</v>
      </c>
      <c r="T964">
        <v>14.3</v>
      </c>
      <c r="U964">
        <v>0.5</v>
      </c>
      <c r="V964">
        <f t="shared" si="582"/>
        <v>2.0555555555555558</v>
      </c>
      <c r="W964">
        <f t="shared" si="583"/>
        <v>0.49652777777777779</v>
      </c>
      <c r="X964">
        <v>56.5</v>
      </c>
      <c r="Y964" s="3">
        <v>9.67</v>
      </c>
      <c r="Z964">
        <v>7.5</v>
      </c>
      <c r="AA964">
        <v>1.4</v>
      </c>
      <c r="AB964">
        <v>0.8</v>
      </c>
      <c r="AC964">
        <v>2.6</v>
      </c>
      <c r="AD964">
        <v>0.2</v>
      </c>
      <c r="AE964">
        <f t="shared" si="535"/>
        <v>2.2399999999999998</v>
      </c>
      <c r="AF964">
        <f t="shared" si="566"/>
        <v>0.26</v>
      </c>
      <c r="AG964" s="3">
        <v>87.5</v>
      </c>
      <c r="AH964">
        <f t="shared" si="584"/>
        <v>4.0701000000000001</v>
      </c>
      <c r="AI964" s="3">
        <v>65.099999999999994</v>
      </c>
    </row>
    <row r="965" spans="1:35" x14ac:dyDescent="0.5">
      <c r="A965">
        <v>30</v>
      </c>
      <c r="B965">
        <v>120</v>
      </c>
      <c r="C965">
        <v>0.1</v>
      </c>
      <c r="D965">
        <v>10</v>
      </c>
      <c r="E965">
        <v>250</v>
      </c>
      <c r="F965">
        <v>100</v>
      </c>
      <c r="G965" s="3">
        <f t="shared" si="581"/>
        <v>10</v>
      </c>
      <c r="H965">
        <v>49.47</v>
      </c>
      <c r="I965">
        <v>7.84</v>
      </c>
      <c r="J965">
        <v>42.69</v>
      </c>
      <c r="O965">
        <v>78.5</v>
      </c>
      <c r="P965" s="3">
        <v>13.5</v>
      </c>
      <c r="Q965">
        <v>44.6</v>
      </c>
      <c r="R965">
        <v>6.6</v>
      </c>
      <c r="S965">
        <v>7.3</v>
      </c>
      <c r="T965">
        <v>33</v>
      </c>
      <c r="U965">
        <v>0.5</v>
      </c>
      <c r="V965">
        <f t="shared" si="582"/>
        <v>1.7757847533632285</v>
      </c>
      <c r="W965">
        <f t="shared" si="583"/>
        <v>0.55493273542600896</v>
      </c>
      <c r="X965">
        <v>8</v>
      </c>
      <c r="Y965" s="3">
        <v>19.059999999999999</v>
      </c>
      <c r="Z965">
        <v>45.9</v>
      </c>
      <c r="AA965">
        <v>6</v>
      </c>
      <c r="AB965">
        <v>6.7</v>
      </c>
      <c r="AC965">
        <v>33.1</v>
      </c>
      <c r="AD965">
        <v>0.5</v>
      </c>
      <c r="AE965">
        <f t="shared" si="535"/>
        <v>1.5686274509803924</v>
      </c>
      <c r="AF965">
        <f t="shared" si="566"/>
        <v>0.54084967320261446</v>
      </c>
      <c r="AG965" s="3">
        <v>7.8</v>
      </c>
      <c r="AH965">
        <f t="shared" si="584"/>
        <v>18.173850000000002</v>
      </c>
      <c r="AI965" s="3">
        <v>78.400000000000006</v>
      </c>
    </row>
    <row r="966" spans="1:35" x14ac:dyDescent="0.5">
      <c r="A966">
        <v>30</v>
      </c>
      <c r="B966">
        <v>180</v>
      </c>
      <c r="C966">
        <v>0.1</v>
      </c>
      <c r="D966">
        <v>10</v>
      </c>
      <c r="E966">
        <v>250</v>
      </c>
      <c r="F966">
        <v>100</v>
      </c>
      <c r="G966" s="3">
        <f t="shared" ref="G966:G977" si="585">F966/D966</f>
        <v>10</v>
      </c>
      <c r="H966">
        <v>49.47</v>
      </c>
      <c r="I966">
        <v>7.84</v>
      </c>
      <c r="J966">
        <v>42.69</v>
      </c>
      <c r="O966">
        <v>78.5</v>
      </c>
      <c r="P966" s="3">
        <v>13.5</v>
      </c>
      <c r="Q966">
        <v>44.6</v>
      </c>
      <c r="R966">
        <v>6.6</v>
      </c>
      <c r="S966">
        <v>7.3</v>
      </c>
      <c r="T966">
        <v>33</v>
      </c>
      <c r="U966">
        <v>0.5</v>
      </c>
      <c r="V966">
        <f t="shared" ref="V966:V971" si="586">(R966/1)/(Q966/12)</f>
        <v>1.7757847533632285</v>
      </c>
      <c r="W966">
        <f t="shared" ref="W966:W971" si="587">(T966/16)/(Q966/12)</f>
        <v>0.55493273542600896</v>
      </c>
      <c r="X966">
        <v>8</v>
      </c>
      <c r="Y966" s="3">
        <v>19.059999999999999</v>
      </c>
      <c r="Z966">
        <v>46.7</v>
      </c>
      <c r="AA966">
        <v>5.9</v>
      </c>
      <c r="AB966">
        <v>6.4</v>
      </c>
      <c r="AC966">
        <v>29.1</v>
      </c>
      <c r="AD966">
        <v>0.5</v>
      </c>
      <c r="AE966">
        <f t="shared" si="535"/>
        <v>1.5160599571734474</v>
      </c>
      <c r="AF966">
        <f t="shared" si="566"/>
        <v>0.46734475374732332</v>
      </c>
      <c r="AG966" s="3">
        <v>11.4</v>
      </c>
      <c r="AH966">
        <f t="shared" si="584"/>
        <v>19.015450000000001</v>
      </c>
      <c r="AI966" s="3">
        <v>38.299999999999997</v>
      </c>
    </row>
    <row r="967" spans="1:35" x14ac:dyDescent="0.5">
      <c r="A967">
        <v>30</v>
      </c>
      <c r="B967">
        <v>240</v>
      </c>
      <c r="C967">
        <v>0.1</v>
      </c>
      <c r="D967">
        <v>10</v>
      </c>
      <c r="E967">
        <v>250</v>
      </c>
      <c r="F967">
        <v>100</v>
      </c>
      <c r="G967" s="3">
        <f t="shared" si="585"/>
        <v>10</v>
      </c>
      <c r="H967">
        <v>49.47</v>
      </c>
      <c r="I967">
        <v>7.84</v>
      </c>
      <c r="J967">
        <v>42.69</v>
      </c>
      <c r="O967">
        <v>78.5</v>
      </c>
      <c r="P967" s="3">
        <v>13.5</v>
      </c>
      <c r="Q967">
        <v>44.6</v>
      </c>
      <c r="R967">
        <v>6.6</v>
      </c>
      <c r="S967">
        <v>7.3</v>
      </c>
      <c r="T967">
        <v>33</v>
      </c>
      <c r="U967">
        <v>0.5</v>
      </c>
      <c r="V967">
        <f t="shared" si="586"/>
        <v>1.7757847533632285</v>
      </c>
      <c r="W967">
        <f t="shared" si="587"/>
        <v>0.55493273542600896</v>
      </c>
      <c r="X967">
        <v>8</v>
      </c>
      <c r="Y967" s="3">
        <v>19.059999999999999</v>
      </c>
      <c r="Z967">
        <v>53.8</v>
      </c>
      <c r="AA967">
        <v>6.1</v>
      </c>
      <c r="AB967">
        <v>5.9</v>
      </c>
      <c r="AC967">
        <v>16.399999999999999</v>
      </c>
      <c r="AD967">
        <v>0.4</v>
      </c>
      <c r="AE967">
        <f t="shared" si="535"/>
        <v>1.3605947955390334</v>
      </c>
      <c r="AF967">
        <f t="shared" si="566"/>
        <v>0.22862453531598512</v>
      </c>
      <c r="AG967" s="3">
        <v>17.399999999999999</v>
      </c>
      <c r="AH967">
        <f t="shared" si="584"/>
        <v>23.9678</v>
      </c>
      <c r="AI967" s="3">
        <v>26.4</v>
      </c>
    </row>
    <row r="968" spans="1:35" x14ac:dyDescent="0.5">
      <c r="A968">
        <v>30</v>
      </c>
      <c r="B968">
        <v>300</v>
      </c>
      <c r="C968">
        <v>0.1</v>
      </c>
      <c r="D968">
        <v>10</v>
      </c>
      <c r="E968">
        <v>250</v>
      </c>
      <c r="F968">
        <v>100</v>
      </c>
      <c r="G968" s="3">
        <f t="shared" si="585"/>
        <v>10</v>
      </c>
      <c r="H968">
        <v>49.47</v>
      </c>
      <c r="I968">
        <v>7.84</v>
      </c>
      <c r="J968">
        <v>42.69</v>
      </c>
      <c r="O968">
        <v>78.5</v>
      </c>
      <c r="P968" s="3">
        <v>13.5</v>
      </c>
      <c r="Q968">
        <v>44.6</v>
      </c>
      <c r="R968">
        <v>6.6</v>
      </c>
      <c r="S968">
        <v>7.3</v>
      </c>
      <c r="T968">
        <v>33</v>
      </c>
      <c r="U968">
        <v>0.5</v>
      </c>
      <c r="V968">
        <f t="shared" si="586"/>
        <v>1.7757847533632285</v>
      </c>
      <c r="W968">
        <f t="shared" si="587"/>
        <v>0.55493273542600896</v>
      </c>
      <c r="X968">
        <v>8</v>
      </c>
      <c r="Y968" s="3">
        <v>19.059999999999999</v>
      </c>
      <c r="Z968">
        <v>57.5</v>
      </c>
      <c r="AA968">
        <v>5.9</v>
      </c>
      <c r="AB968">
        <v>5.6</v>
      </c>
      <c r="AC968">
        <v>10.199999999999999</v>
      </c>
      <c r="AD968">
        <v>0.4</v>
      </c>
      <c r="AE968">
        <f t="shared" si="535"/>
        <v>1.231304347826087</v>
      </c>
      <c r="AF968">
        <f t="shared" si="566"/>
        <v>0.13304347826086954</v>
      </c>
      <c r="AG968" s="3">
        <v>20.399999999999999</v>
      </c>
      <c r="AH968">
        <f t="shared" si="584"/>
        <v>26.039500000000004</v>
      </c>
      <c r="AI968" s="3">
        <v>17.899999999999999</v>
      </c>
    </row>
    <row r="969" spans="1:35" x14ac:dyDescent="0.5">
      <c r="A969">
        <v>60</v>
      </c>
      <c r="B969">
        <v>300</v>
      </c>
      <c r="C969">
        <v>0.1</v>
      </c>
      <c r="D969">
        <v>10</v>
      </c>
      <c r="E969">
        <v>250</v>
      </c>
      <c r="F969">
        <v>100</v>
      </c>
      <c r="G969" s="3">
        <f t="shared" si="585"/>
        <v>10</v>
      </c>
      <c r="H969">
        <v>49.47</v>
      </c>
      <c r="I969">
        <v>7.84</v>
      </c>
      <c r="J969">
        <v>42.69</v>
      </c>
      <c r="O969">
        <v>78.5</v>
      </c>
      <c r="P969" s="3">
        <v>13.5</v>
      </c>
      <c r="Q969">
        <v>44.6</v>
      </c>
      <c r="R969">
        <v>6.6</v>
      </c>
      <c r="S969">
        <v>7.3</v>
      </c>
      <c r="T969">
        <v>33</v>
      </c>
      <c r="U969">
        <v>0.5</v>
      </c>
      <c r="V969">
        <f t="shared" si="586"/>
        <v>1.7757847533632285</v>
      </c>
      <c r="W969">
        <f t="shared" si="587"/>
        <v>0.55493273542600896</v>
      </c>
      <c r="X969">
        <v>8</v>
      </c>
      <c r="Y969" s="3">
        <v>19.059999999999999</v>
      </c>
      <c r="Z969">
        <v>53.4</v>
      </c>
      <c r="AA969">
        <v>5.3</v>
      </c>
      <c r="AB969">
        <v>4.9000000000000004</v>
      </c>
      <c r="AC969">
        <v>8.1</v>
      </c>
      <c r="AD969">
        <v>0.3</v>
      </c>
      <c r="AE969">
        <f t="shared" si="535"/>
        <v>1.1910112359550562</v>
      </c>
      <c r="AF969">
        <f t="shared" si="566"/>
        <v>0.11376404494382021</v>
      </c>
      <c r="AG969" s="3">
        <v>28</v>
      </c>
      <c r="AH969">
        <f t="shared" si="584"/>
        <v>24.171749999999999</v>
      </c>
      <c r="AI969" s="3">
        <v>17.7</v>
      </c>
    </row>
    <row r="970" spans="1:35" x14ac:dyDescent="0.5">
      <c r="A970">
        <v>120</v>
      </c>
      <c r="B970">
        <v>300</v>
      </c>
      <c r="C970">
        <v>0.1</v>
      </c>
      <c r="D970">
        <v>10</v>
      </c>
      <c r="E970">
        <v>250</v>
      </c>
      <c r="F970">
        <v>100</v>
      </c>
      <c r="G970" s="3">
        <f t="shared" si="585"/>
        <v>10</v>
      </c>
      <c r="H970">
        <v>49.47</v>
      </c>
      <c r="I970">
        <v>7.84</v>
      </c>
      <c r="J970">
        <v>42.69</v>
      </c>
      <c r="O970">
        <v>78.5</v>
      </c>
      <c r="P970" s="3">
        <v>13.5</v>
      </c>
      <c r="Q970">
        <v>44.6</v>
      </c>
      <c r="R970">
        <v>6.6</v>
      </c>
      <c r="S970">
        <v>7.3</v>
      </c>
      <c r="T970">
        <v>33</v>
      </c>
      <c r="U970">
        <v>0.5</v>
      </c>
      <c r="V970">
        <f t="shared" si="586"/>
        <v>1.7757847533632285</v>
      </c>
      <c r="W970">
        <f t="shared" si="587"/>
        <v>0.55493273542600896</v>
      </c>
      <c r="X970">
        <v>8</v>
      </c>
      <c r="Y970" s="3">
        <v>19.059999999999999</v>
      </c>
      <c r="Z970">
        <v>53.3</v>
      </c>
      <c r="AA970">
        <v>5.2</v>
      </c>
      <c r="AB970">
        <v>4.7</v>
      </c>
      <c r="AC970">
        <v>6.4</v>
      </c>
      <c r="AD970">
        <v>0.3</v>
      </c>
      <c r="AE970">
        <f t="shared" si="535"/>
        <v>1.1707317073170733</v>
      </c>
      <c r="AF970">
        <f t="shared" si="566"/>
        <v>9.0056285178236412E-2</v>
      </c>
      <c r="AG970" s="3">
        <v>30.1</v>
      </c>
      <c r="AH970">
        <f t="shared" si="584"/>
        <v>24.2986</v>
      </c>
      <c r="AI970" s="3">
        <v>17.399999999999999</v>
      </c>
    </row>
    <row r="971" spans="1:35" x14ac:dyDescent="0.5">
      <c r="A971">
        <v>30</v>
      </c>
      <c r="B971">
        <v>120</v>
      </c>
      <c r="C971">
        <v>0.1</v>
      </c>
      <c r="D971">
        <v>10</v>
      </c>
      <c r="E971">
        <v>250</v>
      </c>
      <c r="F971">
        <v>100</v>
      </c>
      <c r="G971" s="3">
        <f t="shared" si="585"/>
        <v>10</v>
      </c>
      <c r="H971">
        <v>21.13</v>
      </c>
      <c r="I971">
        <v>2.98</v>
      </c>
      <c r="J971">
        <v>75.89</v>
      </c>
      <c r="O971">
        <v>37.299999999999997</v>
      </c>
      <c r="P971" s="3">
        <v>12.6</v>
      </c>
      <c r="Q971">
        <v>24.8</v>
      </c>
      <c r="R971">
        <v>3.2</v>
      </c>
      <c r="S971">
        <v>1.5</v>
      </c>
      <c r="T971">
        <v>19.899999999999999</v>
      </c>
      <c r="U971">
        <v>0.2</v>
      </c>
      <c r="V971">
        <f t="shared" si="586"/>
        <v>1.5483870967741935</v>
      </c>
      <c r="W971">
        <f t="shared" si="587"/>
        <v>0.60181451612903214</v>
      </c>
      <c r="X971">
        <v>50.4</v>
      </c>
      <c r="Y971" s="3">
        <v>11.55</v>
      </c>
      <c r="Z971">
        <v>26</v>
      </c>
      <c r="AA971">
        <v>2.9</v>
      </c>
      <c r="AB971">
        <v>1.4</v>
      </c>
      <c r="AC971">
        <v>16.600000000000001</v>
      </c>
      <c r="AD971">
        <v>0.2</v>
      </c>
      <c r="AE971">
        <f t="shared" si="535"/>
        <v>1.3384615384615386</v>
      </c>
      <c r="AF971">
        <f t="shared" si="566"/>
        <v>0.47884615384615392</v>
      </c>
      <c r="AG971" s="3">
        <v>52.9</v>
      </c>
      <c r="AH971">
        <f t="shared" si="584"/>
        <v>9.9660999999999991</v>
      </c>
      <c r="AI971" s="3">
        <v>91.4</v>
      </c>
    </row>
    <row r="972" spans="1:35" x14ac:dyDescent="0.5">
      <c r="A972">
        <v>30</v>
      </c>
      <c r="B972">
        <v>180</v>
      </c>
      <c r="C972">
        <v>0.1</v>
      </c>
      <c r="D972">
        <v>10</v>
      </c>
      <c r="E972">
        <v>250</v>
      </c>
      <c r="F972">
        <v>100</v>
      </c>
      <c r="G972" s="3">
        <f t="shared" si="585"/>
        <v>10</v>
      </c>
      <c r="H972">
        <v>21.13</v>
      </c>
      <c r="I972">
        <v>2.98</v>
      </c>
      <c r="J972">
        <v>75.89</v>
      </c>
      <c r="O972">
        <v>37.299999999999997</v>
      </c>
      <c r="P972" s="3">
        <v>12.6</v>
      </c>
      <c r="Q972">
        <v>24.8</v>
      </c>
      <c r="R972">
        <v>3.2</v>
      </c>
      <c r="S972">
        <v>1.5</v>
      </c>
      <c r="T972">
        <v>19.899999999999999</v>
      </c>
      <c r="U972">
        <v>0.2</v>
      </c>
      <c r="V972">
        <f t="shared" ref="V972:V977" si="588">(R972/1)/(Q972/12)</f>
        <v>1.5483870967741935</v>
      </c>
      <c r="W972">
        <f t="shared" ref="W972:W977" si="589">(T972/16)/(Q972/12)</f>
        <v>0.60181451612903214</v>
      </c>
      <c r="X972">
        <v>50.4</v>
      </c>
      <c r="Y972" s="3">
        <v>11.55</v>
      </c>
      <c r="Z972">
        <v>23.9</v>
      </c>
      <c r="AA972">
        <v>2.8</v>
      </c>
      <c r="AB972">
        <v>1.2</v>
      </c>
      <c r="AC972">
        <v>11.6</v>
      </c>
      <c r="AD972">
        <v>0.1</v>
      </c>
      <c r="AE972">
        <f t="shared" si="535"/>
        <v>1.4058577405857742</v>
      </c>
      <c r="AF972">
        <f t="shared" si="566"/>
        <v>0.36401673640167365</v>
      </c>
      <c r="AG972" s="3">
        <v>60.4</v>
      </c>
      <c r="AH972">
        <f t="shared" si="584"/>
        <v>10.006</v>
      </c>
      <c r="AI972" s="3">
        <v>79.599999999999994</v>
      </c>
    </row>
    <row r="973" spans="1:35" x14ac:dyDescent="0.5">
      <c r="A973">
        <v>30</v>
      </c>
      <c r="B973">
        <v>240</v>
      </c>
      <c r="C973">
        <v>0.1</v>
      </c>
      <c r="D973">
        <v>10</v>
      </c>
      <c r="E973">
        <v>250</v>
      </c>
      <c r="F973">
        <v>100</v>
      </c>
      <c r="G973" s="3">
        <f t="shared" si="585"/>
        <v>10</v>
      </c>
      <c r="H973">
        <v>21.13</v>
      </c>
      <c r="I973">
        <v>2.98</v>
      </c>
      <c r="J973">
        <v>75.89</v>
      </c>
      <c r="O973">
        <v>37.299999999999997</v>
      </c>
      <c r="P973" s="3">
        <v>12.6</v>
      </c>
      <c r="Q973">
        <v>24.8</v>
      </c>
      <c r="R973">
        <v>3.2</v>
      </c>
      <c r="S973">
        <v>1.5</v>
      </c>
      <c r="T973">
        <v>19.899999999999999</v>
      </c>
      <c r="U973">
        <v>0.2</v>
      </c>
      <c r="V973">
        <f t="shared" si="588"/>
        <v>1.5483870967741935</v>
      </c>
      <c r="W973">
        <f t="shared" si="589"/>
        <v>0.60181451612903214</v>
      </c>
      <c r="X973">
        <v>50.4</v>
      </c>
      <c r="Y973" s="3">
        <v>11.55</v>
      </c>
      <c r="Z973">
        <v>23.8</v>
      </c>
      <c r="AA973">
        <v>2.9</v>
      </c>
      <c r="AB973">
        <v>1.1000000000000001</v>
      </c>
      <c r="AC973">
        <v>9.1999999999999993</v>
      </c>
      <c r="AD973">
        <v>0.1</v>
      </c>
      <c r="AE973">
        <f t="shared" si="535"/>
        <v>1.4621848739495797</v>
      </c>
      <c r="AF973">
        <f t="shared" si="566"/>
        <v>0.28991596638655459</v>
      </c>
      <c r="AG973" s="3">
        <v>62.9</v>
      </c>
      <c r="AH973">
        <f t="shared" si="584"/>
        <v>10.543400000000002</v>
      </c>
      <c r="AI973" s="3">
        <v>72.5</v>
      </c>
    </row>
    <row r="974" spans="1:35" x14ac:dyDescent="0.5">
      <c r="A974">
        <v>30</v>
      </c>
      <c r="B974">
        <v>300</v>
      </c>
      <c r="C974">
        <v>0.1</v>
      </c>
      <c r="D974">
        <v>10</v>
      </c>
      <c r="E974">
        <v>250</v>
      </c>
      <c r="F974">
        <v>100</v>
      </c>
      <c r="G974" s="3">
        <f t="shared" si="585"/>
        <v>10</v>
      </c>
      <c r="H974">
        <v>21.13</v>
      </c>
      <c r="I974">
        <v>2.98</v>
      </c>
      <c r="J974">
        <v>75.89</v>
      </c>
      <c r="O974">
        <v>37.299999999999997</v>
      </c>
      <c r="P974" s="3">
        <v>12.6</v>
      </c>
      <c r="Q974">
        <v>24.8</v>
      </c>
      <c r="R974">
        <v>3.2</v>
      </c>
      <c r="S974">
        <v>1.5</v>
      </c>
      <c r="T974">
        <v>19.899999999999999</v>
      </c>
      <c r="U974">
        <v>0.2</v>
      </c>
      <c r="V974">
        <f t="shared" si="588"/>
        <v>1.5483870967741935</v>
      </c>
      <c r="W974">
        <f t="shared" si="589"/>
        <v>0.60181451612903214</v>
      </c>
      <c r="X974">
        <v>50.4</v>
      </c>
      <c r="Y974" s="3">
        <v>11.55</v>
      </c>
      <c r="Z974">
        <v>23.4</v>
      </c>
      <c r="AA974">
        <v>2.6</v>
      </c>
      <c r="AB974">
        <v>1</v>
      </c>
      <c r="AC974">
        <v>4.8</v>
      </c>
      <c r="AD974">
        <v>0.1</v>
      </c>
      <c r="AE974">
        <f t="shared" si="535"/>
        <v>1.3333333333333335</v>
      </c>
      <c r="AF974">
        <f t="shared" si="566"/>
        <v>0.15384615384615385</v>
      </c>
      <c r="AG974" s="3">
        <v>68.099999999999994</v>
      </c>
      <c r="AH974">
        <f t="shared" si="584"/>
        <v>10.7652</v>
      </c>
      <c r="AI974" s="3">
        <v>70.900000000000006</v>
      </c>
    </row>
    <row r="975" spans="1:35" x14ac:dyDescent="0.5">
      <c r="A975">
        <v>60</v>
      </c>
      <c r="B975">
        <v>300</v>
      </c>
      <c r="C975">
        <v>0.1</v>
      </c>
      <c r="D975">
        <v>10</v>
      </c>
      <c r="E975">
        <v>250</v>
      </c>
      <c r="F975">
        <v>100</v>
      </c>
      <c r="G975" s="3">
        <f t="shared" si="585"/>
        <v>10</v>
      </c>
      <c r="H975">
        <v>21.13</v>
      </c>
      <c r="I975">
        <v>2.98</v>
      </c>
      <c r="J975">
        <v>75.89</v>
      </c>
      <c r="O975">
        <v>37.299999999999997</v>
      </c>
      <c r="P975" s="3">
        <v>12.6</v>
      </c>
      <c r="Q975">
        <v>24.8</v>
      </c>
      <c r="R975">
        <v>3.2</v>
      </c>
      <c r="S975">
        <v>1.5</v>
      </c>
      <c r="T975">
        <v>19.899999999999999</v>
      </c>
      <c r="U975">
        <v>0.2</v>
      </c>
      <c r="V975">
        <f t="shared" si="588"/>
        <v>1.5483870967741935</v>
      </c>
      <c r="W975">
        <f t="shared" si="589"/>
        <v>0.60181451612903214</v>
      </c>
      <c r="X975">
        <v>50.4</v>
      </c>
      <c r="Y975" s="3">
        <v>11.55</v>
      </c>
      <c r="Z975">
        <v>23.7</v>
      </c>
      <c r="AA975">
        <v>2.2999999999999998</v>
      </c>
      <c r="AB975">
        <v>0.9</v>
      </c>
      <c r="AC975">
        <v>4.4000000000000004</v>
      </c>
      <c r="AD975">
        <v>0.1</v>
      </c>
      <c r="AE975">
        <f t="shared" si="535"/>
        <v>1.1645569620253164</v>
      </c>
      <c r="AF975">
        <f t="shared" si="566"/>
        <v>0.13924050632911394</v>
      </c>
      <c r="AG975" s="3">
        <v>68.599999999999994</v>
      </c>
      <c r="AH975">
        <f t="shared" si="584"/>
        <v>10.509599999999999</v>
      </c>
      <c r="AI975" s="3">
        <v>66.400000000000006</v>
      </c>
    </row>
    <row r="976" spans="1:35" x14ac:dyDescent="0.5">
      <c r="A976">
        <v>120</v>
      </c>
      <c r="B976">
        <v>300</v>
      </c>
      <c r="C976">
        <v>0.1</v>
      </c>
      <c r="D976">
        <v>10</v>
      </c>
      <c r="E976">
        <v>250</v>
      </c>
      <c r="F976">
        <v>100</v>
      </c>
      <c r="G976" s="3">
        <f t="shared" si="585"/>
        <v>10</v>
      </c>
      <c r="H976">
        <v>21.13</v>
      </c>
      <c r="I976">
        <v>2.98</v>
      </c>
      <c r="J976">
        <v>75.89</v>
      </c>
      <c r="O976">
        <v>37.299999999999997</v>
      </c>
      <c r="P976" s="3">
        <v>12.6</v>
      </c>
      <c r="Q976">
        <v>24.8</v>
      </c>
      <c r="R976">
        <v>3.2</v>
      </c>
      <c r="S976">
        <v>1.5</v>
      </c>
      <c r="T976">
        <v>19.899999999999999</v>
      </c>
      <c r="U976">
        <v>0.2</v>
      </c>
      <c r="V976">
        <f t="shared" si="588"/>
        <v>1.5483870967741935</v>
      </c>
      <c r="W976">
        <f t="shared" si="589"/>
        <v>0.60181451612903214</v>
      </c>
      <c r="X976">
        <v>50.4</v>
      </c>
      <c r="Y976" s="3">
        <v>11.55</v>
      </c>
      <c r="Z976">
        <v>22.5</v>
      </c>
      <c r="AA976">
        <v>2.2999999999999998</v>
      </c>
      <c r="AB976">
        <v>0.9</v>
      </c>
      <c r="AC976">
        <v>5.2</v>
      </c>
      <c r="AD976">
        <v>0.1</v>
      </c>
      <c r="AE976">
        <f t="shared" si="535"/>
        <v>1.2266666666666666</v>
      </c>
      <c r="AF976">
        <f t="shared" si="566"/>
        <v>0.17333333333333334</v>
      </c>
      <c r="AG976" s="3">
        <v>69</v>
      </c>
      <c r="AH976">
        <f t="shared" si="584"/>
        <v>9.9611999999999998</v>
      </c>
      <c r="AI976" s="3">
        <v>65.099999999999994</v>
      </c>
    </row>
    <row r="977" spans="1:40" x14ac:dyDescent="0.5">
      <c r="A977">
        <v>30</v>
      </c>
      <c r="B977">
        <v>180</v>
      </c>
      <c r="C977">
        <v>0.1</v>
      </c>
      <c r="D977">
        <v>10</v>
      </c>
      <c r="E977">
        <v>350</v>
      </c>
      <c r="F977">
        <v>100</v>
      </c>
      <c r="G977" s="3">
        <f t="shared" si="585"/>
        <v>10</v>
      </c>
      <c r="O977">
        <v>87.5</v>
      </c>
      <c r="P977" s="3">
        <v>5.4</v>
      </c>
      <c r="Q977">
        <v>46.58</v>
      </c>
      <c r="R977">
        <v>6.9</v>
      </c>
      <c r="S977">
        <v>10.5</v>
      </c>
      <c r="T977">
        <v>35.450000000000003</v>
      </c>
      <c r="U977">
        <v>0.56000000000000005</v>
      </c>
      <c r="V977">
        <f t="shared" si="588"/>
        <v>1.7775869471876344</v>
      </c>
      <c r="W977">
        <f t="shared" si="589"/>
        <v>0.57079218548733368</v>
      </c>
      <c r="X977">
        <v>7.1</v>
      </c>
      <c r="Y977" s="3">
        <f>(0.338*Q977)+1.428*(R977-(T977/8))</f>
        <v>19.269414999999999</v>
      </c>
      <c r="Z977">
        <v>48.36</v>
      </c>
      <c r="AA977">
        <v>6.24</v>
      </c>
      <c r="AB977">
        <v>9.92</v>
      </c>
      <c r="AC977">
        <v>34.950000000000003</v>
      </c>
      <c r="AD977">
        <v>0.54</v>
      </c>
      <c r="AE977">
        <f t="shared" ref="AE977:AE985" si="590">(AA977/1)/(Z977/12)</f>
        <v>1.5483870967741935</v>
      </c>
      <c r="AF977">
        <f t="shared" ref="AF977:AF985" si="591">(AC977/16)/(Z977/12)</f>
        <v>0.54202853598014888</v>
      </c>
      <c r="AH977">
        <f t="shared" si="584"/>
        <v>19.017825000000002</v>
      </c>
      <c r="AI977" s="3">
        <v>46</v>
      </c>
      <c r="AJ977" s="2" t="s">
        <v>254</v>
      </c>
      <c r="AK977" t="s">
        <v>256</v>
      </c>
      <c r="AL977">
        <v>119</v>
      </c>
      <c r="AN977" t="s">
        <v>255</v>
      </c>
    </row>
    <row r="978" spans="1:40" x14ac:dyDescent="0.5">
      <c r="A978">
        <v>30</v>
      </c>
      <c r="B978">
        <v>200</v>
      </c>
      <c r="C978">
        <v>0.1</v>
      </c>
      <c r="D978">
        <v>10</v>
      </c>
      <c r="E978">
        <v>350</v>
      </c>
      <c r="F978">
        <v>100</v>
      </c>
      <c r="G978" s="3">
        <f t="shared" ref="G978:G983" si="592">F978/D978</f>
        <v>10</v>
      </c>
      <c r="O978">
        <v>87.5</v>
      </c>
      <c r="P978" s="3">
        <v>5.4</v>
      </c>
      <c r="Q978">
        <v>46.58</v>
      </c>
      <c r="R978">
        <v>6.9</v>
      </c>
      <c r="S978">
        <v>10.5</v>
      </c>
      <c r="T978">
        <v>35.450000000000003</v>
      </c>
      <c r="U978">
        <v>0.56000000000000005</v>
      </c>
      <c r="V978">
        <f t="shared" ref="V978:V983" si="593">(R978/1)/(Q978/12)</f>
        <v>1.7775869471876344</v>
      </c>
      <c r="W978">
        <f t="shared" ref="W978:W983" si="594">(T978/16)/(Q978/12)</f>
        <v>0.57079218548733368</v>
      </c>
      <c r="X978">
        <v>7.1</v>
      </c>
      <c r="Y978" s="3">
        <f>(0.338*Q978)+1.428*(R978-(T978/8))</f>
        <v>19.269414999999999</v>
      </c>
      <c r="Z978">
        <v>52.25</v>
      </c>
      <c r="AA978">
        <v>6.57</v>
      </c>
      <c r="AB978">
        <v>8.49</v>
      </c>
      <c r="AC978">
        <v>32.14</v>
      </c>
      <c r="AD978">
        <v>0.55000000000000004</v>
      </c>
      <c r="AE978">
        <f t="shared" si="590"/>
        <v>1.5088995215311005</v>
      </c>
      <c r="AF978">
        <f t="shared" si="591"/>
        <v>0.46133971291866027</v>
      </c>
      <c r="AH978">
        <f t="shared" si="584"/>
        <v>21.305470000000003</v>
      </c>
      <c r="AI978" s="3">
        <v>31</v>
      </c>
    </row>
    <row r="979" spans="1:40" x14ac:dyDescent="0.5">
      <c r="A979">
        <v>30</v>
      </c>
      <c r="B979">
        <v>220</v>
      </c>
      <c r="C979">
        <v>0.1</v>
      </c>
      <c r="D979">
        <v>10</v>
      </c>
      <c r="E979">
        <v>350</v>
      </c>
      <c r="F979">
        <v>100</v>
      </c>
      <c r="G979" s="3">
        <f t="shared" si="592"/>
        <v>10</v>
      </c>
      <c r="O979">
        <v>87.5</v>
      </c>
      <c r="P979" s="3">
        <v>5.4</v>
      </c>
      <c r="Q979">
        <v>46.58</v>
      </c>
      <c r="R979">
        <v>6.9</v>
      </c>
      <c r="S979">
        <v>10.5</v>
      </c>
      <c r="T979">
        <v>35.450000000000003</v>
      </c>
      <c r="U979">
        <v>0.56000000000000005</v>
      </c>
      <c r="V979">
        <f t="shared" si="593"/>
        <v>1.7775869471876344</v>
      </c>
      <c r="W979">
        <f t="shared" si="594"/>
        <v>0.57079218548733368</v>
      </c>
      <c r="X979">
        <v>7.1</v>
      </c>
      <c r="Y979" s="3">
        <f t="shared" ref="Y979:Y982" si="595">(0.338*Q979)+1.428*(R979-(T979/8))</f>
        <v>19.269414999999999</v>
      </c>
      <c r="Z979">
        <v>58.06</v>
      </c>
      <c r="AA979">
        <v>7.04</v>
      </c>
      <c r="AB979">
        <v>7.61</v>
      </c>
      <c r="AC979">
        <v>26.91</v>
      </c>
      <c r="AD979">
        <v>0.38</v>
      </c>
      <c r="AE979">
        <f t="shared" si="590"/>
        <v>1.4550465036169478</v>
      </c>
      <c r="AF979">
        <f t="shared" si="591"/>
        <v>0.34761453668618669</v>
      </c>
      <c r="AH979">
        <f t="shared" si="584"/>
        <v>24.873965000000002</v>
      </c>
      <c r="AI979" s="3">
        <v>24</v>
      </c>
    </row>
    <row r="980" spans="1:40" x14ac:dyDescent="0.5">
      <c r="A980">
        <v>30</v>
      </c>
      <c r="B980">
        <v>240</v>
      </c>
      <c r="C980">
        <v>0.1</v>
      </c>
      <c r="D980">
        <v>10</v>
      </c>
      <c r="E980">
        <v>350</v>
      </c>
      <c r="F980">
        <v>100</v>
      </c>
      <c r="G980" s="3">
        <f t="shared" si="592"/>
        <v>10</v>
      </c>
      <c r="O980">
        <v>87.5</v>
      </c>
      <c r="P980" s="3">
        <v>5.4</v>
      </c>
      <c r="Q980">
        <v>46.58</v>
      </c>
      <c r="R980">
        <v>6.9</v>
      </c>
      <c r="S980">
        <v>10.5</v>
      </c>
      <c r="T980">
        <v>35.450000000000003</v>
      </c>
      <c r="U980">
        <v>0.56000000000000005</v>
      </c>
      <c r="V980">
        <f t="shared" si="593"/>
        <v>1.7775869471876344</v>
      </c>
      <c r="W980">
        <f t="shared" si="594"/>
        <v>0.57079218548733368</v>
      </c>
      <c r="X980">
        <v>7.1</v>
      </c>
      <c r="Y980" s="3">
        <f t="shared" si="595"/>
        <v>19.269414999999999</v>
      </c>
      <c r="Z980">
        <v>57.2</v>
      </c>
      <c r="AA980">
        <v>6.57</v>
      </c>
      <c r="AB980">
        <v>6.45</v>
      </c>
      <c r="AC980">
        <v>29.38</v>
      </c>
      <c r="AD980">
        <v>0.4</v>
      </c>
      <c r="AE980">
        <f t="shared" si="590"/>
        <v>1.3783216783216783</v>
      </c>
      <c r="AF980">
        <f t="shared" si="591"/>
        <v>0.3852272727272727</v>
      </c>
      <c r="AH980">
        <f t="shared" si="584"/>
        <v>23.471230000000002</v>
      </c>
      <c r="AI980" s="3">
        <v>21</v>
      </c>
    </row>
    <row r="981" spans="1:40" x14ac:dyDescent="0.5">
      <c r="A981">
        <v>30</v>
      </c>
      <c r="B981">
        <v>260</v>
      </c>
      <c r="C981">
        <v>0.1</v>
      </c>
      <c r="D981">
        <v>10</v>
      </c>
      <c r="E981">
        <v>350</v>
      </c>
      <c r="F981">
        <v>100</v>
      </c>
      <c r="G981" s="3">
        <f t="shared" si="592"/>
        <v>10</v>
      </c>
      <c r="O981">
        <v>87.5</v>
      </c>
      <c r="P981" s="3">
        <v>5.4</v>
      </c>
      <c r="Q981">
        <v>46.58</v>
      </c>
      <c r="R981">
        <v>6.9</v>
      </c>
      <c r="S981">
        <v>10.5</v>
      </c>
      <c r="T981">
        <v>35.450000000000003</v>
      </c>
      <c r="U981">
        <v>0.56000000000000005</v>
      </c>
      <c r="V981">
        <f t="shared" si="593"/>
        <v>1.7775869471876344</v>
      </c>
      <c r="W981">
        <f t="shared" si="594"/>
        <v>0.57079218548733368</v>
      </c>
      <c r="X981">
        <v>7.1</v>
      </c>
      <c r="Y981" s="3">
        <f t="shared" si="595"/>
        <v>19.269414999999999</v>
      </c>
      <c r="Z981">
        <v>61.38</v>
      </c>
      <c r="AA981">
        <v>7.03</v>
      </c>
      <c r="AB981">
        <v>6.63</v>
      </c>
      <c r="AC981">
        <v>24.62</v>
      </c>
      <c r="AD981">
        <v>0.34</v>
      </c>
      <c r="AE981">
        <f t="shared" si="590"/>
        <v>1.3743890518084065</v>
      </c>
      <c r="AF981">
        <f t="shared" si="591"/>
        <v>0.30083088954056697</v>
      </c>
      <c r="AH981">
        <f>(0.338*Z981)+1.428*(AA981-(AC981/8))</f>
        <v>26.390610000000002</v>
      </c>
      <c r="AI981" s="3">
        <v>22</v>
      </c>
    </row>
    <row r="982" spans="1:40" x14ac:dyDescent="0.5">
      <c r="A982">
        <v>30</v>
      </c>
      <c r="B982">
        <v>280</v>
      </c>
      <c r="C982">
        <v>0.1</v>
      </c>
      <c r="D982">
        <v>10</v>
      </c>
      <c r="E982">
        <v>350</v>
      </c>
      <c r="F982">
        <v>100</v>
      </c>
      <c r="G982" s="3">
        <f t="shared" si="592"/>
        <v>10</v>
      </c>
      <c r="O982">
        <v>87.5</v>
      </c>
      <c r="P982" s="3">
        <v>5.4</v>
      </c>
      <c r="Q982">
        <v>46.58</v>
      </c>
      <c r="R982">
        <v>6.9</v>
      </c>
      <c r="S982">
        <v>10.5</v>
      </c>
      <c r="T982">
        <v>35.450000000000003</v>
      </c>
      <c r="U982">
        <v>0.56000000000000005</v>
      </c>
      <c r="V982">
        <f t="shared" si="593"/>
        <v>1.7775869471876344</v>
      </c>
      <c r="W982">
        <f t="shared" si="594"/>
        <v>0.57079218548733368</v>
      </c>
      <c r="X982">
        <v>7.1</v>
      </c>
      <c r="Y982" s="3">
        <f t="shared" si="595"/>
        <v>19.269414999999999</v>
      </c>
      <c r="Z982">
        <v>60.27</v>
      </c>
      <c r="AA982">
        <v>6.99</v>
      </c>
      <c r="AB982">
        <v>5.97</v>
      </c>
      <c r="AC982">
        <v>26.42</v>
      </c>
      <c r="AD982">
        <v>0.35</v>
      </c>
      <c r="AE982">
        <f t="shared" si="590"/>
        <v>1.3917371826779492</v>
      </c>
      <c r="AF982">
        <f t="shared" si="591"/>
        <v>0.32877053260328526</v>
      </c>
      <c r="AH982">
        <f t="shared" si="584"/>
        <v>25.637010000000004</v>
      </c>
      <c r="AI982" s="3">
        <v>21</v>
      </c>
    </row>
    <row r="983" spans="1:40" x14ac:dyDescent="0.5">
      <c r="A983">
        <v>60</v>
      </c>
      <c r="B983">
        <v>180</v>
      </c>
      <c r="C983">
        <v>0.1</v>
      </c>
      <c r="D983">
        <v>10</v>
      </c>
      <c r="E983">
        <v>250</v>
      </c>
      <c r="F983">
        <v>150</v>
      </c>
      <c r="G983" s="3">
        <f t="shared" si="592"/>
        <v>15</v>
      </c>
      <c r="N983">
        <v>7.04</v>
      </c>
      <c r="O983">
        <v>84.02</v>
      </c>
      <c r="P983" s="3">
        <v>6.25</v>
      </c>
      <c r="Q983">
        <v>46.18</v>
      </c>
      <c r="R983">
        <v>5.89</v>
      </c>
      <c r="S983">
        <v>0.25</v>
      </c>
      <c r="T983">
        <v>45</v>
      </c>
      <c r="U983">
        <v>0</v>
      </c>
      <c r="V983">
        <f t="shared" si="593"/>
        <v>1.5305326981377219</v>
      </c>
      <c r="W983">
        <f t="shared" si="594"/>
        <v>0.73083585967951492</v>
      </c>
      <c r="X983">
        <v>2.67</v>
      </c>
      <c r="Y983" s="3">
        <v>18.350000000000001</v>
      </c>
      <c r="Z983">
        <v>49.42</v>
      </c>
      <c r="AA983">
        <v>5.85</v>
      </c>
      <c r="AB983">
        <v>0.2</v>
      </c>
      <c r="AC983">
        <v>43.02</v>
      </c>
      <c r="AD983">
        <v>0</v>
      </c>
      <c r="AE983">
        <f t="shared" si="590"/>
        <v>1.4204775394577094</v>
      </c>
      <c r="AF983">
        <f t="shared" si="591"/>
        <v>0.65287333063537034</v>
      </c>
      <c r="AG983" s="3">
        <v>1.5</v>
      </c>
      <c r="AH983">
        <v>19.66</v>
      </c>
      <c r="AI983" s="3">
        <v>73</v>
      </c>
      <c r="AJ983" s="2" t="s">
        <v>257</v>
      </c>
      <c r="AK983" t="s">
        <v>258</v>
      </c>
      <c r="AL983">
        <v>120</v>
      </c>
    </row>
    <row r="984" spans="1:40" x14ac:dyDescent="0.5">
      <c r="A984">
        <v>60</v>
      </c>
      <c r="B984">
        <v>200</v>
      </c>
      <c r="C984">
        <v>0.1</v>
      </c>
      <c r="D984">
        <v>10</v>
      </c>
      <c r="E984">
        <v>250</v>
      </c>
      <c r="F984">
        <v>150</v>
      </c>
      <c r="G984" s="3">
        <f t="shared" ref="G984:G986" si="596">F984/D984</f>
        <v>15</v>
      </c>
      <c r="N984">
        <v>7.04</v>
      </c>
      <c r="O984">
        <v>84.02</v>
      </c>
      <c r="P984" s="3">
        <v>6.25</v>
      </c>
      <c r="Q984">
        <v>46.18</v>
      </c>
      <c r="R984">
        <v>5.89</v>
      </c>
      <c r="S984">
        <v>0.25</v>
      </c>
      <c r="T984">
        <v>45</v>
      </c>
      <c r="U984">
        <v>0</v>
      </c>
      <c r="V984">
        <f t="shared" ref="V984:V985" si="597">(R984/1)/(Q984/12)</f>
        <v>1.5305326981377219</v>
      </c>
      <c r="W984">
        <f t="shared" ref="W984:W985" si="598">(T984/16)/(Q984/12)</f>
        <v>0.73083585967951492</v>
      </c>
      <c r="X984">
        <v>2.67</v>
      </c>
      <c r="Y984" s="3">
        <v>18.350000000000001</v>
      </c>
      <c r="Z984">
        <v>52.25</v>
      </c>
      <c r="AA984">
        <v>5.85</v>
      </c>
      <c r="AB984">
        <v>0.18</v>
      </c>
      <c r="AC984">
        <v>42.83</v>
      </c>
      <c r="AD984">
        <v>0</v>
      </c>
      <c r="AE984">
        <f t="shared" si="590"/>
        <v>1.3435406698564591</v>
      </c>
      <c r="AF984">
        <f t="shared" si="591"/>
        <v>0.61478468899521521</v>
      </c>
      <c r="AG984" s="3">
        <v>1.07</v>
      </c>
      <c r="AH984">
        <v>20</v>
      </c>
      <c r="AI984" s="3">
        <v>54</v>
      </c>
    </row>
    <row r="985" spans="1:40" x14ac:dyDescent="0.5">
      <c r="A985">
        <v>60</v>
      </c>
      <c r="B985">
        <v>220</v>
      </c>
      <c r="C985">
        <v>0.1</v>
      </c>
      <c r="D985">
        <v>10</v>
      </c>
      <c r="E985">
        <v>250</v>
      </c>
      <c r="F985">
        <v>150</v>
      </c>
      <c r="G985" s="3">
        <f t="shared" si="596"/>
        <v>15</v>
      </c>
      <c r="N985">
        <v>7.04</v>
      </c>
      <c r="O985">
        <v>84.02</v>
      </c>
      <c r="P985" s="3">
        <v>6.25</v>
      </c>
      <c r="Q985">
        <v>46.18</v>
      </c>
      <c r="R985">
        <v>5.89</v>
      </c>
      <c r="S985">
        <v>0.25</v>
      </c>
      <c r="T985">
        <v>45</v>
      </c>
      <c r="U985">
        <v>0</v>
      </c>
      <c r="V985">
        <f t="shared" si="597"/>
        <v>1.5305326981377219</v>
      </c>
      <c r="W985">
        <f t="shared" si="598"/>
        <v>0.73083585967951492</v>
      </c>
      <c r="X985">
        <v>2.67</v>
      </c>
      <c r="Y985" s="3">
        <v>18.350000000000001</v>
      </c>
      <c r="Z985">
        <v>52.96</v>
      </c>
      <c r="AA985">
        <v>5.81</v>
      </c>
      <c r="AB985">
        <v>0.19</v>
      </c>
      <c r="AC985">
        <v>39.97</v>
      </c>
      <c r="AD985">
        <v>0</v>
      </c>
      <c r="AE985">
        <f t="shared" si="590"/>
        <v>1.316465256797583</v>
      </c>
      <c r="AF985">
        <f t="shared" si="591"/>
        <v>0.56604040785498488</v>
      </c>
      <c r="AG985" s="3">
        <v>0.88</v>
      </c>
      <c r="AH985">
        <v>21.18</v>
      </c>
      <c r="AI985" s="3">
        <v>51</v>
      </c>
    </row>
    <row r="986" spans="1:40" x14ac:dyDescent="0.5">
      <c r="A986">
        <v>30</v>
      </c>
      <c r="B986">
        <v>190</v>
      </c>
      <c r="C986">
        <v>0.1</v>
      </c>
      <c r="D986">
        <v>1</v>
      </c>
      <c r="E986">
        <v>25</v>
      </c>
      <c r="F986">
        <v>9</v>
      </c>
      <c r="G986" s="3">
        <f t="shared" si="596"/>
        <v>9</v>
      </c>
      <c r="O986">
        <v>77.73</v>
      </c>
      <c r="P986" s="3">
        <v>18.350000000000001</v>
      </c>
      <c r="Q986">
        <v>50.94</v>
      </c>
      <c r="R986">
        <v>7.01</v>
      </c>
      <c r="S986">
        <v>4.33</v>
      </c>
      <c r="T986">
        <v>33.56</v>
      </c>
      <c r="U986">
        <v>0.24</v>
      </c>
      <c r="V986">
        <f t="shared" ref="V986:V993" si="599">(R986/1)/(Q986/12)</f>
        <v>1.6513545347467609</v>
      </c>
      <c r="W986">
        <f t="shared" ref="W986:W993" si="600">(T986/16)/(Q986/12)</f>
        <v>0.49411071849234395</v>
      </c>
      <c r="X986">
        <v>3.91</v>
      </c>
      <c r="Y986" s="3">
        <v>22.53</v>
      </c>
      <c r="Z986">
        <v>59.33</v>
      </c>
      <c r="AA986">
        <v>6.91</v>
      </c>
      <c r="AB986">
        <v>4.2300000000000004</v>
      </c>
      <c r="AC986">
        <v>25.36</v>
      </c>
      <c r="AD986">
        <v>0.5</v>
      </c>
      <c r="AE986">
        <f t="shared" ref="AE986:AE1019" si="601">(AA986/1)/(Z986/12)</f>
        <v>1.3976066071127591</v>
      </c>
      <c r="AF986">
        <f t="shared" ref="AF986:AF1019" si="602">(AC986/16)/(Z986/12)</f>
        <v>0.32057980785437384</v>
      </c>
      <c r="AG986" s="3">
        <v>3.66</v>
      </c>
      <c r="AH986">
        <v>26.23</v>
      </c>
      <c r="AI986" s="3">
        <v>69.48</v>
      </c>
      <c r="AJ986" s="2" t="s">
        <v>259</v>
      </c>
      <c r="AK986" t="s">
        <v>260</v>
      </c>
      <c r="AL986">
        <v>121</v>
      </c>
    </row>
    <row r="987" spans="1:40" x14ac:dyDescent="0.5">
      <c r="A987">
        <v>60</v>
      </c>
      <c r="B987">
        <v>190</v>
      </c>
      <c r="C987">
        <v>0.1</v>
      </c>
      <c r="D987">
        <v>1</v>
      </c>
      <c r="E987">
        <v>25</v>
      </c>
      <c r="F987">
        <v>9</v>
      </c>
      <c r="G987" s="3">
        <f t="shared" ref="G987:G994" si="603">F987/D987</f>
        <v>9</v>
      </c>
      <c r="O987">
        <v>77.73</v>
      </c>
      <c r="P987" s="3">
        <v>18.350000000000001</v>
      </c>
      <c r="Q987">
        <v>50.94</v>
      </c>
      <c r="R987">
        <v>7.01</v>
      </c>
      <c r="S987">
        <v>4.33</v>
      </c>
      <c r="T987">
        <v>33.56</v>
      </c>
      <c r="U987">
        <v>0.24</v>
      </c>
      <c r="V987">
        <f t="shared" si="599"/>
        <v>1.6513545347467609</v>
      </c>
      <c r="W987">
        <f t="shared" si="600"/>
        <v>0.49411071849234395</v>
      </c>
      <c r="X987">
        <v>3.91</v>
      </c>
      <c r="Y987" s="3">
        <v>22.53</v>
      </c>
      <c r="Z987">
        <v>59.87</v>
      </c>
      <c r="AA987">
        <v>6.85</v>
      </c>
      <c r="AB987">
        <v>4.07</v>
      </c>
      <c r="AC987">
        <v>25.46</v>
      </c>
      <c r="AD987">
        <v>0.48</v>
      </c>
      <c r="AE987">
        <f t="shared" si="601"/>
        <v>1.3729747786871553</v>
      </c>
      <c r="AF987">
        <f t="shared" si="602"/>
        <v>0.31894103891765491</v>
      </c>
      <c r="AG987" s="3">
        <v>3.27</v>
      </c>
      <c r="AH987">
        <v>26.32</v>
      </c>
      <c r="AI987" s="3">
        <v>68.94</v>
      </c>
    </row>
    <row r="988" spans="1:40" x14ac:dyDescent="0.5">
      <c r="A988">
        <v>120</v>
      </c>
      <c r="B988">
        <v>190</v>
      </c>
      <c r="C988">
        <v>0.1</v>
      </c>
      <c r="D988">
        <v>1</v>
      </c>
      <c r="E988">
        <v>25</v>
      </c>
      <c r="F988">
        <v>9</v>
      </c>
      <c r="G988" s="3">
        <f t="shared" si="603"/>
        <v>9</v>
      </c>
      <c r="O988">
        <v>77.73</v>
      </c>
      <c r="P988" s="3">
        <v>18.350000000000001</v>
      </c>
      <c r="Q988">
        <v>50.94</v>
      </c>
      <c r="R988">
        <v>7.01</v>
      </c>
      <c r="S988">
        <v>4.33</v>
      </c>
      <c r="T988">
        <v>33.56</v>
      </c>
      <c r="U988">
        <v>0.24</v>
      </c>
      <c r="V988">
        <f t="shared" si="599"/>
        <v>1.6513545347467609</v>
      </c>
      <c r="W988">
        <f t="shared" si="600"/>
        <v>0.49411071849234395</v>
      </c>
      <c r="X988">
        <v>3.91</v>
      </c>
      <c r="Y988" s="3">
        <v>22.53</v>
      </c>
      <c r="Z988">
        <v>60.67</v>
      </c>
      <c r="AA988">
        <v>6.82</v>
      </c>
      <c r="AB988">
        <v>4</v>
      </c>
      <c r="AC988">
        <v>24.66</v>
      </c>
      <c r="AD988">
        <v>0.48</v>
      </c>
      <c r="AE988">
        <f t="shared" si="601"/>
        <v>1.3489368716004617</v>
      </c>
      <c r="AF988">
        <f t="shared" si="602"/>
        <v>0.30484588758859404</v>
      </c>
      <c r="AG988" s="3">
        <v>3.37</v>
      </c>
      <c r="AH988">
        <v>26.66</v>
      </c>
      <c r="AI988" s="3">
        <v>67.709999999999994</v>
      </c>
    </row>
    <row r="989" spans="1:40" x14ac:dyDescent="0.5">
      <c r="A989">
        <v>240</v>
      </c>
      <c r="B989">
        <v>190</v>
      </c>
      <c r="C989">
        <v>0.1</v>
      </c>
      <c r="D989">
        <v>1</v>
      </c>
      <c r="E989">
        <v>25</v>
      </c>
      <c r="F989">
        <v>9</v>
      </c>
      <c r="G989" s="3">
        <f t="shared" si="603"/>
        <v>9</v>
      </c>
      <c r="O989">
        <v>77.73</v>
      </c>
      <c r="P989" s="3">
        <v>18.350000000000001</v>
      </c>
      <c r="Q989">
        <v>50.94</v>
      </c>
      <c r="R989">
        <v>7.01</v>
      </c>
      <c r="S989">
        <v>4.33</v>
      </c>
      <c r="T989">
        <v>33.56</v>
      </c>
      <c r="U989">
        <v>0.24</v>
      </c>
      <c r="V989">
        <f t="shared" si="599"/>
        <v>1.6513545347467609</v>
      </c>
      <c r="W989">
        <f t="shared" si="600"/>
        <v>0.49411071849234395</v>
      </c>
      <c r="X989">
        <v>3.91</v>
      </c>
      <c r="Y989" s="3">
        <v>22.53</v>
      </c>
      <c r="Z989">
        <v>61.88</v>
      </c>
      <c r="AA989">
        <v>6.87</v>
      </c>
      <c r="AB989">
        <v>3.96</v>
      </c>
      <c r="AC989">
        <v>23.25</v>
      </c>
      <c r="AD989">
        <v>0.46</v>
      </c>
      <c r="AE989">
        <f t="shared" si="601"/>
        <v>1.3322559793148028</v>
      </c>
      <c r="AF989">
        <f t="shared" si="602"/>
        <v>0.28179541047188106</v>
      </c>
      <c r="AG989" s="3">
        <v>3.58</v>
      </c>
      <c r="AH989">
        <v>27.28</v>
      </c>
      <c r="AI989" s="3">
        <v>66.709999999999994</v>
      </c>
    </row>
    <row r="990" spans="1:40" x14ac:dyDescent="0.5">
      <c r="A990">
        <v>30</v>
      </c>
      <c r="B990">
        <v>220</v>
      </c>
      <c r="C990">
        <v>0.1</v>
      </c>
      <c r="D990">
        <v>1</v>
      </c>
      <c r="E990">
        <v>25</v>
      </c>
      <c r="F990">
        <v>9</v>
      </c>
      <c r="G990" s="3">
        <f t="shared" si="603"/>
        <v>9</v>
      </c>
      <c r="O990">
        <v>77.73</v>
      </c>
      <c r="P990" s="3">
        <v>18.350000000000001</v>
      </c>
      <c r="Q990">
        <v>50.94</v>
      </c>
      <c r="R990">
        <v>7.01</v>
      </c>
      <c r="S990">
        <v>4.33</v>
      </c>
      <c r="T990">
        <v>33.56</v>
      </c>
      <c r="U990">
        <v>0.24</v>
      </c>
      <c r="V990">
        <f t="shared" si="599"/>
        <v>1.6513545347467609</v>
      </c>
      <c r="W990">
        <f t="shared" si="600"/>
        <v>0.49411071849234395</v>
      </c>
      <c r="X990">
        <v>3.91</v>
      </c>
      <c r="Y990" s="3">
        <v>22.53</v>
      </c>
      <c r="Z990">
        <v>63.42</v>
      </c>
      <c r="AA990">
        <v>6.9</v>
      </c>
      <c r="AB990">
        <v>4.42</v>
      </c>
      <c r="AC990">
        <v>21.29</v>
      </c>
      <c r="AD990">
        <v>0.41</v>
      </c>
      <c r="AE990">
        <f t="shared" si="601"/>
        <v>1.3055818353831599</v>
      </c>
      <c r="AF990">
        <f t="shared" si="602"/>
        <v>0.25177388836329234</v>
      </c>
      <c r="AG990" s="3">
        <v>3.57</v>
      </c>
      <c r="AH990">
        <v>28.04</v>
      </c>
      <c r="AI990" s="3">
        <v>68.03</v>
      </c>
    </row>
    <row r="991" spans="1:40" x14ac:dyDescent="0.5">
      <c r="A991">
        <v>60</v>
      </c>
      <c r="B991">
        <v>220</v>
      </c>
      <c r="C991">
        <v>0.1</v>
      </c>
      <c r="D991">
        <v>1</v>
      </c>
      <c r="E991">
        <v>25</v>
      </c>
      <c r="F991">
        <v>9</v>
      </c>
      <c r="G991" s="3">
        <f t="shared" si="603"/>
        <v>9</v>
      </c>
      <c r="O991">
        <v>77.73</v>
      </c>
      <c r="P991" s="3">
        <v>18.350000000000001</v>
      </c>
      <c r="Q991">
        <v>50.94</v>
      </c>
      <c r="R991">
        <v>7.01</v>
      </c>
      <c r="S991">
        <v>4.33</v>
      </c>
      <c r="T991">
        <v>33.56</v>
      </c>
      <c r="U991">
        <v>0.24</v>
      </c>
      <c r="V991">
        <f t="shared" si="599"/>
        <v>1.6513545347467609</v>
      </c>
      <c r="W991">
        <f t="shared" si="600"/>
        <v>0.49411071849234395</v>
      </c>
      <c r="X991">
        <v>3.91</v>
      </c>
      <c r="Y991" s="3">
        <v>22.53</v>
      </c>
      <c r="Z991">
        <v>64.27</v>
      </c>
      <c r="AA991">
        <v>6.94</v>
      </c>
      <c r="AB991">
        <v>4.68</v>
      </c>
      <c r="AC991">
        <v>19.95</v>
      </c>
      <c r="AD991">
        <v>0.42</v>
      </c>
      <c r="AE991">
        <f t="shared" si="601"/>
        <v>1.2957834137233548</v>
      </c>
      <c r="AF991">
        <f t="shared" si="602"/>
        <v>0.23280690835537576</v>
      </c>
      <c r="AG991" s="3">
        <v>3.73</v>
      </c>
      <c r="AH991">
        <v>28.52</v>
      </c>
      <c r="AI991" s="3">
        <v>67.77</v>
      </c>
    </row>
    <row r="992" spans="1:40" x14ac:dyDescent="0.5">
      <c r="A992">
        <v>120</v>
      </c>
      <c r="B992">
        <v>220</v>
      </c>
      <c r="C992">
        <v>0.1</v>
      </c>
      <c r="D992">
        <v>1</v>
      </c>
      <c r="E992">
        <v>25</v>
      </c>
      <c r="F992">
        <v>9</v>
      </c>
      <c r="G992" s="3">
        <f t="shared" si="603"/>
        <v>9</v>
      </c>
      <c r="O992">
        <v>77.73</v>
      </c>
      <c r="P992" s="3">
        <v>18.350000000000001</v>
      </c>
      <c r="Q992">
        <v>50.94</v>
      </c>
      <c r="R992">
        <v>7.01</v>
      </c>
      <c r="S992">
        <v>4.33</v>
      </c>
      <c r="T992">
        <v>33.56</v>
      </c>
      <c r="U992">
        <v>0.24</v>
      </c>
      <c r="V992">
        <f t="shared" si="599"/>
        <v>1.6513545347467609</v>
      </c>
      <c r="W992">
        <f t="shared" si="600"/>
        <v>0.49411071849234395</v>
      </c>
      <c r="X992">
        <v>3.91</v>
      </c>
      <c r="Y992" s="3">
        <v>22.53</v>
      </c>
      <c r="Z992">
        <v>65.42</v>
      </c>
      <c r="AA992">
        <v>6.74</v>
      </c>
      <c r="AB992">
        <v>4.9400000000000004</v>
      </c>
      <c r="AC992">
        <v>18.559999999999999</v>
      </c>
      <c r="AD992">
        <v>0.4</v>
      </c>
      <c r="AE992">
        <f t="shared" si="601"/>
        <v>1.2363191684500152</v>
      </c>
      <c r="AF992">
        <f t="shared" si="602"/>
        <v>0.2127789666768572</v>
      </c>
      <c r="AG992" s="3">
        <v>3.94</v>
      </c>
      <c r="AH992">
        <v>28.83</v>
      </c>
      <c r="AI992" s="3">
        <v>66.599999999999994</v>
      </c>
    </row>
    <row r="993" spans="1:35" x14ac:dyDescent="0.5">
      <c r="A993">
        <v>240</v>
      </c>
      <c r="B993">
        <v>220</v>
      </c>
      <c r="C993">
        <v>0.1</v>
      </c>
      <c r="D993">
        <v>1</v>
      </c>
      <c r="E993">
        <v>25</v>
      </c>
      <c r="F993">
        <v>9</v>
      </c>
      <c r="G993" s="3">
        <f t="shared" si="603"/>
        <v>9</v>
      </c>
      <c r="O993">
        <v>77.73</v>
      </c>
      <c r="P993" s="3">
        <v>18.350000000000001</v>
      </c>
      <c r="Q993">
        <v>50.94</v>
      </c>
      <c r="R993">
        <v>7.01</v>
      </c>
      <c r="S993">
        <v>4.33</v>
      </c>
      <c r="T993">
        <v>33.56</v>
      </c>
      <c r="U993">
        <v>0.24</v>
      </c>
      <c r="V993">
        <f t="shared" si="599"/>
        <v>1.6513545347467609</v>
      </c>
      <c r="W993">
        <f t="shared" si="600"/>
        <v>0.49411071849234395</v>
      </c>
      <c r="X993">
        <v>3.91</v>
      </c>
      <c r="Y993" s="3">
        <v>22.53</v>
      </c>
      <c r="Z993">
        <v>67.63</v>
      </c>
      <c r="AA993">
        <v>6.79</v>
      </c>
      <c r="AB993">
        <v>5.48</v>
      </c>
      <c r="AC993">
        <v>15.65</v>
      </c>
      <c r="AD993">
        <v>0.41</v>
      </c>
      <c r="AE993">
        <f t="shared" si="601"/>
        <v>1.2047907733254473</v>
      </c>
      <c r="AF993">
        <f t="shared" si="602"/>
        <v>0.17355463551678249</v>
      </c>
      <c r="AG993" s="3">
        <v>4.04</v>
      </c>
      <c r="AH993">
        <v>29.95</v>
      </c>
      <c r="AI993" s="3">
        <v>65.400000000000006</v>
      </c>
    </row>
    <row r="994" spans="1:35" x14ac:dyDescent="0.5">
      <c r="A994">
        <v>30</v>
      </c>
      <c r="B994">
        <v>190</v>
      </c>
      <c r="C994">
        <v>0.1</v>
      </c>
      <c r="D994">
        <v>1</v>
      </c>
      <c r="E994">
        <v>25</v>
      </c>
      <c r="F994">
        <v>9</v>
      </c>
      <c r="G994" s="3">
        <f t="shared" si="603"/>
        <v>9</v>
      </c>
      <c r="O994">
        <v>79.790000000000006</v>
      </c>
      <c r="P994" s="3">
        <v>16.920000000000002</v>
      </c>
      <c r="Q994">
        <v>51.25</v>
      </c>
      <c r="R994">
        <v>7.11</v>
      </c>
      <c r="S994">
        <v>3.51</v>
      </c>
      <c r="T994">
        <v>34.68</v>
      </c>
      <c r="U994">
        <v>0.17</v>
      </c>
      <c r="V994">
        <f>(R994/1)/(Q994/12)</f>
        <v>1.6647804878048782</v>
      </c>
      <c r="W994">
        <f>(T994/16)/(Q994/12)</f>
        <v>0.50751219512195123</v>
      </c>
      <c r="X994">
        <v>3.29</v>
      </c>
      <c r="Y994" s="3">
        <v>22.64</v>
      </c>
      <c r="Z994">
        <v>59.59</v>
      </c>
      <c r="AA994">
        <v>6.96</v>
      </c>
      <c r="AB994">
        <v>4.25</v>
      </c>
      <c r="AC994">
        <v>26.71</v>
      </c>
      <c r="AD994">
        <v>0.25</v>
      </c>
      <c r="AE994">
        <f t="shared" si="601"/>
        <v>1.4015774458801813</v>
      </c>
      <c r="AF994">
        <f t="shared" si="602"/>
        <v>0.33617217653968789</v>
      </c>
      <c r="AG994" s="3">
        <v>2.2400000000000002</v>
      </c>
      <c r="AH994">
        <v>26.21</v>
      </c>
      <c r="AI994" s="3">
        <v>67.099999999999994</v>
      </c>
    </row>
    <row r="995" spans="1:35" x14ac:dyDescent="0.5">
      <c r="A995">
        <v>60</v>
      </c>
      <c r="B995">
        <v>190</v>
      </c>
      <c r="C995">
        <v>0.1</v>
      </c>
      <c r="D995">
        <v>1</v>
      </c>
      <c r="E995">
        <v>25</v>
      </c>
      <c r="F995">
        <v>9</v>
      </c>
      <c r="G995" s="3">
        <f t="shared" ref="G995:G1010" si="604">F995/D995</f>
        <v>9</v>
      </c>
      <c r="O995">
        <v>79.790000000000006</v>
      </c>
      <c r="P995" s="3">
        <v>16.920000000000002</v>
      </c>
      <c r="Q995">
        <v>51.25</v>
      </c>
      <c r="R995">
        <v>7.11</v>
      </c>
      <c r="S995">
        <v>3.51</v>
      </c>
      <c r="T995">
        <v>34.68</v>
      </c>
      <c r="U995">
        <v>0.17</v>
      </c>
      <c r="V995">
        <f t="shared" ref="V995:V1002" si="605">(R995/1)/(Q995/12)</f>
        <v>1.6647804878048782</v>
      </c>
      <c r="W995">
        <f t="shared" ref="W995:W1002" si="606">(T995/16)/(Q995/12)</f>
        <v>0.50751219512195123</v>
      </c>
      <c r="X995">
        <v>3.29</v>
      </c>
      <c r="Y995" s="3">
        <v>22.64</v>
      </c>
      <c r="Z995">
        <v>59.93</v>
      </c>
      <c r="AA995">
        <v>6.99</v>
      </c>
      <c r="AB995">
        <v>3.97</v>
      </c>
      <c r="AC995">
        <v>26.12</v>
      </c>
      <c r="AD995">
        <v>0.32</v>
      </c>
      <c r="AE995">
        <f t="shared" si="601"/>
        <v>1.3996329050558987</v>
      </c>
      <c r="AF995">
        <f t="shared" si="602"/>
        <v>0.32688136158851994</v>
      </c>
      <c r="AG995" s="3">
        <v>2.65</v>
      </c>
      <c r="AH995">
        <v>26.43</v>
      </c>
      <c r="AI995" s="3">
        <v>66.22</v>
      </c>
    </row>
    <row r="996" spans="1:35" x14ac:dyDescent="0.5">
      <c r="A996">
        <v>120</v>
      </c>
      <c r="B996">
        <v>190</v>
      </c>
      <c r="C996">
        <v>0.1</v>
      </c>
      <c r="D996">
        <v>1</v>
      </c>
      <c r="E996">
        <v>25</v>
      </c>
      <c r="F996">
        <v>9</v>
      </c>
      <c r="G996" s="3">
        <f t="shared" si="604"/>
        <v>9</v>
      </c>
      <c r="O996">
        <v>79.790000000000006</v>
      </c>
      <c r="P996" s="3">
        <v>16.920000000000002</v>
      </c>
      <c r="Q996">
        <v>51.25</v>
      </c>
      <c r="R996">
        <v>7.11</v>
      </c>
      <c r="S996">
        <v>3.51</v>
      </c>
      <c r="T996">
        <v>34.68</v>
      </c>
      <c r="U996">
        <v>0.17</v>
      </c>
      <c r="V996">
        <f t="shared" si="605"/>
        <v>1.6647804878048782</v>
      </c>
      <c r="W996">
        <f t="shared" si="606"/>
        <v>0.50751219512195123</v>
      </c>
      <c r="X996">
        <v>3.29</v>
      </c>
      <c r="Y996" s="3">
        <v>22.64</v>
      </c>
      <c r="Z996">
        <v>60.91</v>
      </c>
      <c r="AA996">
        <v>6.78</v>
      </c>
      <c r="AB996">
        <v>3.95</v>
      </c>
      <c r="AC996">
        <v>25.62</v>
      </c>
      <c r="AD996">
        <v>0.2</v>
      </c>
      <c r="AE996">
        <f t="shared" si="601"/>
        <v>1.3357412575931704</v>
      </c>
      <c r="AF996">
        <f t="shared" si="602"/>
        <v>0.31546544081431627</v>
      </c>
      <c r="AG996" s="3">
        <v>2.54</v>
      </c>
      <c r="AH996">
        <v>26.57</v>
      </c>
      <c r="AI996" s="3">
        <v>65.36</v>
      </c>
    </row>
    <row r="997" spans="1:35" x14ac:dyDescent="0.5">
      <c r="A997">
        <v>240</v>
      </c>
      <c r="B997">
        <v>190</v>
      </c>
      <c r="C997">
        <v>0.1</v>
      </c>
      <c r="D997">
        <v>1</v>
      </c>
      <c r="E997">
        <v>25</v>
      </c>
      <c r="F997">
        <v>9</v>
      </c>
      <c r="G997" s="3">
        <f t="shared" si="604"/>
        <v>9</v>
      </c>
      <c r="O997">
        <v>79.790000000000006</v>
      </c>
      <c r="P997" s="3">
        <v>16.920000000000002</v>
      </c>
      <c r="Q997">
        <v>51.25</v>
      </c>
      <c r="R997">
        <v>7.11</v>
      </c>
      <c r="S997">
        <v>3.51</v>
      </c>
      <c r="T997">
        <v>34.68</v>
      </c>
      <c r="U997">
        <v>0.17</v>
      </c>
      <c r="V997">
        <f t="shared" si="605"/>
        <v>1.6647804878048782</v>
      </c>
      <c r="W997">
        <f t="shared" si="606"/>
        <v>0.50751219512195123</v>
      </c>
      <c r="X997">
        <v>3.29</v>
      </c>
      <c r="Y997" s="3">
        <v>22.64</v>
      </c>
      <c r="Z997">
        <v>61.07</v>
      </c>
      <c r="AA997">
        <v>6.87</v>
      </c>
      <c r="AB997">
        <v>3.11</v>
      </c>
      <c r="AC997">
        <v>26.26</v>
      </c>
      <c r="AD997">
        <v>0.15</v>
      </c>
      <c r="AE997">
        <f t="shared" si="601"/>
        <v>1.3499263140658262</v>
      </c>
      <c r="AF997">
        <f t="shared" si="602"/>
        <v>0.32249877190109716</v>
      </c>
      <c r="AG997" s="3">
        <v>2.54</v>
      </c>
      <c r="AH997">
        <v>26.66</v>
      </c>
      <c r="AI997" s="3">
        <v>64.849999999999994</v>
      </c>
    </row>
    <row r="998" spans="1:35" x14ac:dyDescent="0.5">
      <c r="A998">
        <v>30</v>
      </c>
      <c r="B998">
        <v>220</v>
      </c>
      <c r="C998">
        <v>0.1</v>
      </c>
      <c r="D998">
        <v>1</v>
      </c>
      <c r="E998">
        <v>25</v>
      </c>
      <c r="F998">
        <v>9</v>
      </c>
      <c r="G998" s="3">
        <f t="shared" si="604"/>
        <v>9</v>
      </c>
      <c r="O998">
        <v>79.790000000000006</v>
      </c>
      <c r="P998" s="3">
        <v>16.920000000000002</v>
      </c>
      <c r="Q998">
        <v>51.25</v>
      </c>
      <c r="R998">
        <v>7.11</v>
      </c>
      <c r="S998">
        <v>3.51</v>
      </c>
      <c r="T998">
        <v>34.68</v>
      </c>
      <c r="U998">
        <v>0.17</v>
      </c>
      <c r="V998">
        <f t="shared" si="605"/>
        <v>1.6647804878048782</v>
      </c>
      <c r="W998">
        <f t="shared" si="606"/>
        <v>0.50751219512195123</v>
      </c>
      <c r="X998">
        <v>3.29</v>
      </c>
      <c r="Y998" s="3">
        <v>22.64</v>
      </c>
      <c r="Z998">
        <v>62.4</v>
      </c>
      <c r="AA998">
        <v>6.79</v>
      </c>
      <c r="AB998">
        <v>3.21</v>
      </c>
      <c r="AC998">
        <v>24.8</v>
      </c>
      <c r="AD998">
        <v>0.16</v>
      </c>
      <c r="AE998">
        <f t="shared" si="601"/>
        <v>1.3057692307692308</v>
      </c>
      <c r="AF998">
        <f t="shared" si="602"/>
        <v>0.29807692307692307</v>
      </c>
      <c r="AG998" s="3">
        <v>2.64</v>
      </c>
      <c r="AH998">
        <v>27.19</v>
      </c>
      <c r="AI998" s="3">
        <v>56.78</v>
      </c>
    </row>
    <row r="999" spans="1:35" x14ac:dyDescent="0.5">
      <c r="A999">
        <v>60</v>
      </c>
      <c r="B999">
        <v>220</v>
      </c>
      <c r="C999">
        <v>0.1</v>
      </c>
      <c r="D999">
        <v>1</v>
      </c>
      <c r="E999">
        <v>25</v>
      </c>
      <c r="F999">
        <v>9</v>
      </c>
      <c r="G999" s="3">
        <f t="shared" si="604"/>
        <v>9</v>
      </c>
      <c r="O999">
        <v>79.790000000000006</v>
      </c>
      <c r="P999" s="3">
        <v>16.920000000000002</v>
      </c>
      <c r="Q999">
        <v>51.25</v>
      </c>
      <c r="R999">
        <v>7.11</v>
      </c>
      <c r="S999">
        <v>3.51</v>
      </c>
      <c r="T999">
        <v>34.68</v>
      </c>
      <c r="U999">
        <v>0.17</v>
      </c>
      <c r="V999">
        <f t="shared" si="605"/>
        <v>1.6647804878048782</v>
      </c>
      <c r="W999">
        <f t="shared" si="606"/>
        <v>0.50751219512195123</v>
      </c>
      <c r="X999">
        <v>3.29</v>
      </c>
      <c r="Y999" s="3">
        <v>22.64</v>
      </c>
      <c r="Z999">
        <v>63.7</v>
      </c>
      <c r="AA999">
        <v>6.84</v>
      </c>
      <c r="AB999">
        <v>3.38</v>
      </c>
      <c r="AC999">
        <v>23.49</v>
      </c>
      <c r="AD999">
        <v>0.16</v>
      </c>
      <c r="AE999">
        <f t="shared" si="601"/>
        <v>1.2885400313971742</v>
      </c>
      <c r="AF999">
        <f t="shared" si="602"/>
        <v>0.27656985871271583</v>
      </c>
      <c r="AG999" s="3">
        <v>2.4300000000000002</v>
      </c>
      <c r="AH999">
        <v>27.83</v>
      </c>
      <c r="AI999" s="3">
        <v>55.12</v>
      </c>
    </row>
    <row r="1000" spans="1:35" x14ac:dyDescent="0.5">
      <c r="A1000">
        <v>120</v>
      </c>
      <c r="B1000">
        <v>220</v>
      </c>
      <c r="C1000">
        <v>0.1</v>
      </c>
      <c r="D1000">
        <v>1</v>
      </c>
      <c r="E1000">
        <v>25</v>
      </c>
      <c r="F1000">
        <v>9</v>
      </c>
      <c r="G1000" s="3">
        <f t="shared" si="604"/>
        <v>9</v>
      </c>
      <c r="O1000">
        <v>79.790000000000006</v>
      </c>
      <c r="P1000" s="3">
        <v>16.920000000000002</v>
      </c>
      <c r="Q1000">
        <v>51.25</v>
      </c>
      <c r="R1000">
        <v>7.11</v>
      </c>
      <c r="S1000">
        <v>3.51</v>
      </c>
      <c r="T1000">
        <v>34.68</v>
      </c>
      <c r="U1000">
        <v>0.17</v>
      </c>
      <c r="V1000">
        <f t="shared" si="605"/>
        <v>1.6647804878048782</v>
      </c>
      <c r="W1000">
        <f t="shared" si="606"/>
        <v>0.50751219512195123</v>
      </c>
      <c r="X1000">
        <v>3.29</v>
      </c>
      <c r="Y1000" s="3">
        <v>22.64</v>
      </c>
      <c r="Z1000">
        <v>65.47</v>
      </c>
      <c r="AA1000">
        <v>6.85</v>
      </c>
      <c r="AB1000">
        <v>3.55</v>
      </c>
      <c r="AC1000">
        <v>21.44</v>
      </c>
      <c r="AD1000">
        <v>0.16</v>
      </c>
      <c r="AE1000">
        <f t="shared" si="601"/>
        <v>1.2555368871238735</v>
      </c>
      <c r="AF1000">
        <f t="shared" si="602"/>
        <v>0.2456086757293417</v>
      </c>
      <c r="AG1000" s="3">
        <v>2.5299999999999998</v>
      </c>
      <c r="AH1000">
        <v>28.67</v>
      </c>
      <c r="AI1000" s="3">
        <v>53.81</v>
      </c>
    </row>
    <row r="1001" spans="1:35" x14ac:dyDescent="0.5">
      <c r="A1001">
        <v>240</v>
      </c>
      <c r="B1001">
        <v>220</v>
      </c>
      <c r="C1001">
        <v>0.1</v>
      </c>
      <c r="D1001">
        <v>1</v>
      </c>
      <c r="E1001">
        <v>25</v>
      </c>
      <c r="F1001">
        <v>9</v>
      </c>
      <c r="G1001" s="3">
        <f t="shared" si="604"/>
        <v>9</v>
      </c>
      <c r="O1001">
        <v>79.790000000000006</v>
      </c>
      <c r="P1001" s="3">
        <v>16.920000000000002</v>
      </c>
      <c r="Q1001">
        <v>51.25</v>
      </c>
      <c r="R1001">
        <v>7.11</v>
      </c>
      <c r="S1001">
        <v>3.51</v>
      </c>
      <c r="T1001">
        <v>34.68</v>
      </c>
      <c r="U1001">
        <v>0.17</v>
      </c>
      <c r="V1001">
        <f t="shared" si="605"/>
        <v>1.6647804878048782</v>
      </c>
      <c r="W1001">
        <f t="shared" si="606"/>
        <v>0.50751219512195123</v>
      </c>
      <c r="X1001">
        <v>3.29</v>
      </c>
      <c r="Y1001" s="3">
        <v>22.64</v>
      </c>
      <c r="Z1001">
        <v>67.47</v>
      </c>
      <c r="AA1001">
        <v>6.75</v>
      </c>
      <c r="AB1001">
        <v>3.88</v>
      </c>
      <c r="AC1001">
        <v>18.8</v>
      </c>
      <c r="AD1001">
        <v>0.17</v>
      </c>
      <c r="AE1001">
        <f t="shared" si="601"/>
        <v>1.2005335704757671</v>
      </c>
      <c r="AF1001">
        <f t="shared" si="602"/>
        <v>0.20898176967541132</v>
      </c>
      <c r="AG1001" s="3">
        <v>2.93</v>
      </c>
      <c r="AH1001">
        <v>29.52</v>
      </c>
      <c r="AI1001" s="3">
        <v>49.16</v>
      </c>
    </row>
    <row r="1002" spans="1:35" x14ac:dyDescent="0.5">
      <c r="A1002">
        <v>30</v>
      </c>
      <c r="B1002">
        <v>190</v>
      </c>
      <c r="C1002">
        <v>0.1</v>
      </c>
      <c r="D1002">
        <v>1</v>
      </c>
      <c r="E1002">
        <v>25</v>
      </c>
      <c r="F1002">
        <v>9</v>
      </c>
      <c r="G1002" s="3">
        <f t="shared" si="604"/>
        <v>9</v>
      </c>
      <c r="O1002">
        <v>80.7</v>
      </c>
      <c r="P1002" s="3">
        <v>17.18</v>
      </c>
      <c r="Q1002">
        <v>51.22</v>
      </c>
      <c r="R1002">
        <v>7.15</v>
      </c>
      <c r="S1002">
        <v>3.27</v>
      </c>
      <c r="T1002">
        <v>36.07</v>
      </c>
      <c r="U1002">
        <v>0.16</v>
      </c>
      <c r="V1002">
        <f t="shared" si="605"/>
        <v>1.6751269035532994</v>
      </c>
      <c r="W1002">
        <f t="shared" si="606"/>
        <v>0.52816282702069506</v>
      </c>
      <c r="X1002">
        <v>2.12</v>
      </c>
      <c r="Y1002" s="3">
        <v>22.54</v>
      </c>
      <c r="Z1002">
        <v>58.81</v>
      </c>
      <c r="AA1002">
        <v>7.25</v>
      </c>
      <c r="AB1002">
        <v>3.26</v>
      </c>
      <c r="AC1002">
        <v>28.87</v>
      </c>
      <c r="AD1002">
        <v>0.4</v>
      </c>
      <c r="AE1002">
        <f t="shared" si="601"/>
        <v>1.479340248257099</v>
      </c>
      <c r="AF1002">
        <f t="shared" si="602"/>
        <v>0.36817718075157285</v>
      </c>
      <c r="AG1002" s="3">
        <v>1.42</v>
      </c>
      <c r="AH1002">
        <v>26.08</v>
      </c>
      <c r="AI1002" s="3">
        <v>66.59</v>
      </c>
    </row>
    <row r="1003" spans="1:35" x14ac:dyDescent="0.5">
      <c r="A1003">
        <v>60</v>
      </c>
      <c r="B1003">
        <v>190</v>
      </c>
      <c r="C1003">
        <v>0.1</v>
      </c>
      <c r="D1003">
        <v>1</v>
      </c>
      <c r="E1003">
        <v>25</v>
      </c>
      <c r="F1003">
        <v>9</v>
      </c>
      <c r="G1003" s="3">
        <f t="shared" si="604"/>
        <v>9</v>
      </c>
      <c r="O1003">
        <v>80.7</v>
      </c>
      <c r="P1003" s="3">
        <v>17.18</v>
      </c>
      <c r="Q1003">
        <v>51.22</v>
      </c>
      <c r="R1003">
        <v>7.15</v>
      </c>
      <c r="S1003">
        <v>3.27</v>
      </c>
      <c r="T1003">
        <v>36.07</v>
      </c>
      <c r="U1003">
        <v>0.16</v>
      </c>
      <c r="V1003">
        <f t="shared" ref="V1003:V1020" si="607">(R1003/1)/(Q1003/12)</f>
        <v>1.6751269035532994</v>
      </c>
      <c r="W1003">
        <f t="shared" ref="W1003:W1020" si="608">(T1003/16)/(Q1003/12)</f>
        <v>0.52816282702069506</v>
      </c>
      <c r="X1003">
        <v>2.12</v>
      </c>
      <c r="Y1003" s="3">
        <v>22.54</v>
      </c>
      <c r="Z1003">
        <v>59.42</v>
      </c>
      <c r="AA1003">
        <v>7.01</v>
      </c>
      <c r="AB1003">
        <v>3.04</v>
      </c>
      <c r="AC1003">
        <v>28.16</v>
      </c>
      <c r="AD1003">
        <v>0.34</v>
      </c>
      <c r="AE1003">
        <f t="shared" si="601"/>
        <v>1.4156849545607537</v>
      </c>
      <c r="AF1003">
        <f t="shared" si="602"/>
        <v>0.3554358801750252</v>
      </c>
      <c r="AG1003" s="3">
        <v>2.02</v>
      </c>
      <c r="AH1003">
        <v>26.08</v>
      </c>
      <c r="AI1003" s="3">
        <v>66.260000000000005</v>
      </c>
    </row>
    <row r="1004" spans="1:35" x14ac:dyDescent="0.5">
      <c r="A1004">
        <v>120</v>
      </c>
      <c r="B1004">
        <v>190</v>
      </c>
      <c r="C1004">
        <v>0.1</v>
      </c>
      <c r="D1004">
        <v>1</v>
      </c>
      <c r="E1004">
        <v>25</v>
      </c>
      <c r="F1004">
        <v>9</v>
      </c>
      <c r="G1004" s="3">
        <f t="shared" si="604"/>
        <v>9</v>
      </c>
      <c r="O1004">
        <v>80.7</v>
      </c>
      <c r="P1004" s="3">
        <v>17.18</v>
      </c>
      <c r="Q1004">
        <v>51.22</v>
      </c>
      <c r="R1004">
        <v>7.15</v>
      </c>
      <c r="S1004">
        <v>3.27</v>
      </c>
      <c r="T1004">
        <v>36.07</v>
      </c>
      <c r="U1004">
        <v>0.16</v>
      </c>
      <c r="V1004">
        <f t="shared" si="607"/>
        <v>1.6751269035532994</v>
      </c>
      <c r="W1004">
        <f t="shared" si="608"/>
        <v>0.52816282702069506</v>
      </c>
      <c r="X1004">
        <v>2.12</v>
      </c>
      <c r="Y1004" s="3">
        <v>22.54</v>
      </c>
      <c r="Z1004">
        <v>60.47</v>
      </c>
      <c r="AA1004">
        <v>7.05</v>
      </c>
      <c r="AB1004">
        <v>2.89</v>
      </c>
      <c r="AC1004">
        <v>27.36</v>
      </c>
      <c r="AD1004">
        <v>0.41</v>
      </c>
      <c r="AE1004">
        <f t="shared" si="601"/>
        <v>1.3990408467008433</v>
      </c>
      <c r="AF1004">
        <f t="shared" si="602"/>
        <v>0.33934182239126842</v>
      </c>
      <c r="AG1004" s="3">
        <v>1.83</v>
      </c>
      <c r="AH1004">
        <v>26.59</v>
      </c>
      <c r="AI1004" s="3">
        <v>64.489999999999995</v>
      </c>
    </row>
    <row r="1005" spans="1:35" x14ac:dyDescent="0.5">
      <c r="A1005">
        <v>240</v>
      </c>
      <c r="B1005">
        <v>190</v>
      </c>
      <c r="C1005">
        <v>0.1</v>
      </c>
      <c r="D1005">
        <v>1</v>
      </c>
      <c r="E1005">
        <v>25</v>
      </c>
      <c r="F1005">
        <v>9</v>
      </c>
      <c r="G1005" s="3">
        <f t="shared" si="604"/>
        <v>9</v>
      </c>
      <c r="O1005">
        <v>80.7</v>
      </c>
      <c r="P1005" s="3">
        <v>17.18</v>
      </c>
      <c r="Q1005">
        <v>51.22</v>
      </c>
      <c r="R1005">
        <v>7.15</v>
      </c>
      <c r="S1005">
        <v>3.27</v>
      </c>
      <c r="T1005">
        <v>36.07</v>
      </c>
      <c r="U1005">
        <v>0.16</v>
      </c>
      <c r="V1005">
        <f t="shared" si="607"/>
        <v>1.6751269035532994</v>
      </c>
      <c r="W1005">
        <f t="shared" si="608"/>
        <v>0.52816282702069506</v>
      </c>
      <c r="X1005">
        <v>2.12</v>
      </c>
      <c r="Y1005" s="3">
        <v>22.54</v>
      </c>
      <c r="Z1005">
        <v>61.98</v>
      </c>
      <c r="AA1005">
        <v>7.16</v>
      </c>
      <c r="AB1005">
        <v>3.03</v>
      </c>
      <c r="AC1005">
        <v>25.62</v>
      </c>
      <c r="AD1005">
        <v>0.39</v>
      </c>
      <c r="AE1005">
        <f t="shared" si="601"/>
        <v>1.3862536302032915</v>
      </c>
      <c r="AF1005">
        <f t="shared" si="602"/>
        <v>0.31001936108422073</v>
      </c>
      <c r="AG1005" s="3">
        <v>1.82</v>
      </c>
      <c r="AH1005">
        <v>27.42</v>
      </c>
      <c r="AI1005" s="3">
        <v>56.91</v>
      </c>
    </row>
    <row r="1006" spans="1:35" x14ac:dyDescent="0.5">
      <c r="A1006">
        <v>30</v>
      </c>
      <c r="B1006">
        <v>220</v>
      </c>
      <c r="C1006">
        <v>0.1</v>
      </c>
      <c r="D1006">
        <v>1</v>
      </c>
      <c r="E1006">
        <v>25</v>
      </c>
      <c r="F1006">
        <v>9</v>
      </c>
      <c r="G1006" s="3">
        <f t="shared" si="604"/>
        <v>9</v>
      </c>
      <c r="O1006">
        <v>80.7</v>
      </c>
      <c r="P1006" s="3">
        <v>17.18</v>
      </c>
      <c r="Q1006">
        <v>51.22</v>
      </c>
      <c r="R1006">
        <v>7.15</v>
      </c>
      <c r="S1006">
        <v>3.27</v>
      </c>
      <c r="T1006">
        <v>36.07</v>
      </c>
      <c r="U1006">
        <v>0.16</v>
      </c>
      <c r="V1006">
        <f t="shared" si="607"/>
        <v>1.6751269035532994</v>
      </c>
      <c r="W1006">
        <f t="shared" si="608"/>
        <v>0.52816282702069506</v>
      </c>
      <c r="X1006">
        <v>2.12</v>
      </c>
      <c r="Y1006" s="3">
        <v>22.54</v>
      </c>
      <c r="Z1006">
        <v>62.76</v>
      </c>
      <c r="AA1006">
        <v>7.04</v>
      </c>
      <c r="AB1006">
        <v>2.94</v>
      </c>
      <c r="AC1006">
        <v>25.52</v>
      </c>
      <c r="AD1006">
        <v>0.22</v>
      </c>
      <c r="AE1006">
        <f t="shared" si="601"/>
        <v>1.3460803059273423</v>
      </c>
      <c r="AF1006">
        <f t="shared" si="602"/>
        <v>0.30497131931166349</v>
      </c>
      <c r="AG1006" s="3">
        <v>1.52</v>
      </c>
      <c r="AH1006">
        <v>27.55</v>
      </c>
      <c r="AI1006" s="3">
        <v>63.4</v>
      </c>
    </row>
    <row r="1007" spans="1:35" x14ac:dyDescent="0.5">
      <c r="A1007">
        <v>60</v>
      </c>
      <c r="B1007">
        <v>220</v>
      </c>
      <c r="C1007">
        <v>0.1</v>
      </c>
      <c r="D1007">
        <v>1</v>
      </c>
      <c r="E1007">
        <v>25</v>
      </c>
      <c r="F1007">
        <v>9</v>
      </c>
      <c r="G1007" s="3">
        <f t="shared" si="604"/>
        <v>9</v>
      </c>
      <c r="O1007">
        <v>80.7</v>
      </c>
      <c r="P1007" s="3">
        <v>17.18</v>
      </c>
      <c r="Q1007">
        <v>51.22</v>
      </c>
      <c r="R1007">
        <v>7.15</v>
      </c>
      <c r="S1007">
        <v>3.27</v>
      </c>
      <c r="T1007">
        <v>36.07</v>
      </c>
      <c r="U1007">
        <v>0.16</v>
      </c>
      <c r="V1007">
        <f t="shared" si="607"/>
        <v>1.6751269035532994</v>
      </c>
      <c r="W1007">
        <f t="shared" si="608"/>
        <v>0.52816282702069506</v>
      </c>
      <c r="X1007">
        <v>2.12</v>
      </c>
      <c r="Y1007" s="3">
        <v>22.54</v>
      </c>
      <c r="Z1007">
        <v>64</v>
      </c>
      <c r="AA1007">
        <v>7</v>
      </c>
      <c r="AB1007">
        <v>3</v>
      </c>
      <c r="AC1007">
        <v>24.26</v>
      </c>
      <c r="AD1007">
        <v>0.22</v>
      </c>
      <c r="AE1007">
        <f t="shared" si="601"/>
        <v>1.3125</v>
      </c>
      <c r="AF1007">
        <f t="shared" si="602"/>
        <v>0.28429687500000006</v>
      </c>
      <c r="AG1007" s="3">
        <v>1.53</v>
      </c>
      <c r="AH1007">
        <v>28.06</v>
      </c>
      <c r="AI1007" s="3">
        <v>57.92</v>
      </c>
    </row>
    <row r="1008" spans="1:35" x14ac:dyDescent="0.5">
      <c r="A1008">
        <v>120</v>
      </c>
      <c r="B1008">
        <v>220</v>
      </c>
      <c r="C1008">
        <v>0.1</v>
      </c>
      <c r="D1008">
        <v>1</v>
      </c>
      <c r="E1008">
        <v>25</v>
      </c>
      <c r="F1008">
        <v>9</v>
      </c>
      <c r="G1008" s="3">
        <f t="shared" si="604"/>
        <v>9</v>
      </c>
      <c r="O1008">
        <v>80.7</v>
      </c>
      <c r="P1008" s="3">
        <v>17.18</v>
      </c>
      <c r="Q1008">
        <v>51.22</v>
      </c>
      <c r="R1008">
        <v>7.15</v>
      </c>
      <c r="S1008">
        <v>3.27</v>
      </c>
      <c r="T1008">
        <v>36.07</v>
      </c>
      <c r="U1008">
        <v>0.16</v>
      </c>
      <c r="V1008">
        <f t="shared" si="607"/>
        <v>1.6751269035532994</v>
      </c>
      <c r="W1008">
        <f t="shared" si="608"/>
        <v>0.52816282702069506</v>
      </c>
      <c r="X1008">
        <v>2.12</v>
      </c>
      <c r="Y1008" s="3">
        <v>22.54</v>
      </c>
      <c r="Z1008">
        <v>65.569999999999993</v>
      </c>
      <c r="AA1008">
        <v>7</v>
      </c>
      <c r="AB1008">
        <v>3.24</v>
      </c>
      <c r="AC1008">
        <v>22.35</v>
      </c>
      <c r="AD1008">
        <v>0.21</v>
      </c>
      <c r="AE1008">
        <f t="shared" si="601"/>
        <v>1.2810736617355498</v>
      </c>
      <c r="AF1008">
        <f t="shared" si="602"/>
        <v>0.2556428244624066</v>
      </c>
      <c r="AG1008" s="3">
        <v>1.62</v>
      </c>
      <c r="AH1008">
        <v>28.8</v>
      </c>
      <c r="AI1008" s="3">
        <v>49.35</v>
      </c>
    </row>
    <row r="1009" spans="1:38" x14ac:dyDescent="0.5">
      <c r="A1009">
        <v>240</v>
      </c>
      <c r="B1009">
        <v>220</v>
      </c>
      <c r="C1009">
        <v>0.1</v>
      </c>
      <c r="D1009">
        <v>1</v>
      </c>
      <c r="E1009">
        <v>25</v>
      </c>
      <c r="F1009">
        <v>9</v>
      </c>
      <c r="G1009" s="3">
        <f t="shared" si="604"/>
        <v>9</v>
      </c>
      <c r="O1009">
        <v>80.7</v>
      </c>
      <c r="P1009" s="3">
        <v>17.18</v>
      </c>
      <c r="Q1009">
        <v>51.22</v>
      </c>
      <c r="R1009">
        <v>7.15</v>
      </c>
      <c r="S1009">
        <v>3.27</v>
      </c>
      <c r="T1009">
        <v>36.07</v>
      </c>
      <c r="U1009">
        <v>0.16</v>
      </c>
      <c r="V1009">
        <f t="shared" si="607"/>
        <v>1.6751269035532994</v>
      </c>
      <c r="W1009">
        <f t="shared" si="608"/>
        <v>0.52816282702069506</v>
      </c>
      <c r="X1009">
        <v>2.12</v>
      </c>
      <c r="Y1009" s="3">
        <v>22.54</v>
      </c>
      <c r="Z1009">
        <v>68.17</v>
      </c>
      <c r="AA1009">
        <v>7.03</v>
      </c>
      <c r="AB1009">
        <v>3.47</v>
      </c>
      <c r="AC1009">
        <v>19.399999999999999</v>
      </c>
      <c r="AD1009">
        <v>0.22</v>
      </c>
      <c r="AE1009">
        <f t="shared" si="601"/>
        <v>1.2374944990465016</v>
      </c>
      <c r="AF1009">
        <f t="shared" si="602"/>
        <v>0.21343699574592928</v>
      </c>
      <c r="AG1009" s="3">
        <v>1.72</v>
      </c>
      <c r="AH1009">
        <v>30.04</v>
      </c>
      <c r="AI1009" s="3">
        <v>45.14</v>
      </c>
    </row>
    <row r="1010" spans="1:38" x14ac:dyDescent="0.5">
      <c r="A1010">
        <v>600</v>
      </c>
      <c r="B1010">
        <v>220</v>
      </c>
      <c r="C1010">
        <v>0.1</v>
      </c>
      <c r="D1010">
        <v>5</v>
      </c>
      <c r="E1010">
        <v>50</v>
      </c>
      <c r="F1010">
        <v>30</v>
      </c>
      <c r="G1010" s="3">
        <f t="shared" si="604"/>
        <v>6</v>
      </c>
      <c r="O1010">
        <v>81.510000000000005</v>
      </c>
      <c r="P1010" s="3">
        <v>1.0900000000000001</v>
      </c>
      <c r="Q1010">
        <v>40.85</v>
      </c>
      <c r="R1010">
        <v>6.3</v>
      </c>
      <c r="S1010">
        <v>3.73</v>
      </c>
      <c r="T1010">
        <v>31.3</v>
      </c>
      <c r="U1010">
        <v>0.42</v>
      </c>
      <c r="V1010">
        <f t="shared" si="607"/>
        <v>1.850673194614443</v>
      </c>
      <c r="W1010">
        <f t="shared" si="608"/>
        <v>0.57466340269277849</v>
      </c>
      <c r="X1010">
        <v>17.399999999999999</v>
      </c>
      <c r="Y1010" s="3">
        <v>18.059999999999999</v>
      </c>
      <c r="Z1010">
        <v>51.51</v>
      </c>
      <c r="AA1010">
        <v>6.28</v>
      </c>
      <c r="AB1010">
        <v>3.05</v>
      </c>
      <c r="AC1010">
        <v>17.760000000000002</v>
      </c>
      <c r="AD1010">
        <v>0.32</v>
      </c>
      <c r="AE1010">
        <f t="shared" si="601"/>
        <v>1.4630168899242868</v>
      </c>
      <c r="AF1010">
        <f t="shared" si="602"/>
        <v>0.25859056493884686</v>
      </c>
      <c r="AG1010" s="3">
        <v>21.08</v>
      </c>
      <c r="AH1010">
        <v>23.09</v>
      </c>
      <c r="AI1010" s="3">
        <v>49.78</v>
      </c>
      <c r="AJ1010" s="2" t="s">
        <v>261</v>
      </c>
      <c r="AK1010" t="s">
        <v>262</v>
      </c>
      <c r="AL1010">
        <v>122</v>
      </c>
    </row>
    <row r="1011" spans="1:38" x14ac:dyDescent="0.5">
      <c r="A1011">
        <v>600</v>
      </c>
      <c r="B1011">
        <v>220</v>
      </c>
      <c r="C1011">
        <v>0.1</v>
      </c>
      <c r="D1011">
        <v>5</v>
      </c>
      <c r="E1011">
        <v>50</v>
      </c>
      <c r="F1011">
        <v>30</v>
      </c>
      <c r="G1011" s="3">
        <f t="shared" ref="G1011:G1013" si="609">F1011/D1011</f>
        <v>6</v>
      </c>
      <c r="O1011">
        <v>91.99</v>
      </c>
      <c r="P1011" s="3">
        <v>0.49</v>
      </c>
      <c r="Q1011">
        <v>45.79</v>
      </c>
      <c r="R1011">
        <v>6.38</v>
      </c>
      <c r="S1011">
        <v>1.29</v>
      </c>
      <c r="T1011">
        <v>46.03</v>
      </c>
      <c r="U1011">
        <v>0.03</v>
      </c>
      <c r="V1011">
        <f t="shared" si="607"/>
        <v>1.6719807818300938</v>
      </c>
      <c r="W1011">
        <f t="shared" si="608"/>
        <v>0.75393098929897362</v>
      </c>
      <c r="X1011">
        <v>0.49</v>
      </c>
      <c r="Y1011" s="3">
        <v>18.71</v>
      </c>
      <c r="Z1011">
        <v>58.96</v>
      </c>
      <c r="AA1011">
        <v>6.16</v>
      </c>
      <c r="AB1011">
        <v>0.96</v>
      </c>
      <c r="AC1011">
        <v>32.94</v>
      </c>
      <c r="AD1011">
        <v>0.01</v>
      </c>
      <c r="AE1011">
        <f t="shared" si="601"/>
        <v>1.2537313432835822</v>
      </c>
      <c r="AF1011">
        <f t="shared" si="602"/>
        <v>0.41901289009497966</v>
      </c>
      <c r="AG1011" s="3">
        <v>0.98</v>
      </c>
      <c r="AH1011">
        <v>24.4</v>
      </c>
      <c r="AI1011" s="3">
        <v>62.28</v>
      </c>
    </row>
    <row r="1012" spans="1:38" x14ac:dyDescent="0.5">
      <c r="A1012">
        <v>600</v>
      </c>
      <c r="B1012">
        <v>220</v>
      </c>
      <c r="C1012">
        <v>0.1</v>
      </c>
      <c r="D1012">
        <v>5</v>
      </c>
      <c r="E1012">
        <v>50</v>
      </c>
      <c r="F1012">
        <v>30</v>
      </c>
      <c r="G1012" s="3">
        <f t="shared" si="609"/>
        <v>6</v>
      </c>
      <c r="O1012">
        <v>88.87</v>
      </c>
      <c r="P1012" s="3">
        <v>3.43</v>
      </c>
      <c r="Q1012">
        <v>43.39</v>
      </c>
      <c r="R1012">
        <v>6.23</v>
      </c>
      <c r="S1012">
        <v>0.57999999999999996</v>
      </c>
      <c r="T1012">
        <v>46.34</v>
      </c>
      <c r="U1012">
        <v>0.02</v>
      </c>
      <c r="V1012">
        <f t="shared" si="607"/>
        <v>1.7229776446185758</v>
      </c>
      <c r="W1012">
        <f t="shared" si="608"/>
        <v>0.80099101175386045</v>
      </c>
      <c r="X1012">
        <v>3.43</v>
      </c>
      <c r="Y1012" s="3">
        <v>17.62</v>
      </c>
      <c r="Z1012">
        <v>52.94</v>
      </c>
      <c r="AA1012">
        <v>6.04</v>
      </c>
      <c r="AB1012">
        <v>0.43</v>
      </c>
      <c r="AC1012">
        <v>29.54</v>
      </c>
      <c r="AD1012">
        <v>0.02</v>
      </c>
      <c r="AE1012">
        <f t="shared" si="601"/>
        <v>1.3690970910464679</v>
      </c>
      <c r="AF1012">
        <f t="shared" si="602"/>
        <v>0.41849263316962604</v>
      </c>
      <c r="AG1012" s="3">
        <v>4.49</v>
      </c>
      <c r="AH1012">
        <v>24.73</v>
      </c>
      <c r="AI1012" s="3">
        <v>55.76</v>
      </c>
    </row>
    <row r="1013" spans="1:38" x14ac:dyDescent="0.5">
      <c r="A1013">
        <v>240</v>
      </c>
      <c r="B1013">
        <v>200</v>
      </c>
      <c r="C1013">
        <v>1.5</v>
      </c>
      <c r="D1013">
        <v>50</v>
      </c>
      <c r="E1013">
        <v>1000</v>
      </c>
      <c r="F1013">
        <v>400</v>
      </c>
      <c r="G1013" s="3">
        <f t="shared" si="609"/>
        <v>8</v>
      </c>
      <c r="N1013">
        <v>7.22</v>
      </c>
      <c r="O1013">
        <v>76.58</v>
      </c>
      <c r="P1013" s="3">
        <v>16.04</v>
      </c>
      <c r="Q1013">
        <v>47</v>
      </c>
      <c r="R1013">
        <v>5.76</v>
      </c>
      <c r="S1013">
        <v>0.11</v>
      </c>
      <c r="T1013">
        <v>46.96</v>
      </c>
      <c r="U1013">
        <v>0.01</v>
      </c>
      <c r="V1013">
        <f t="shared" si="607"/>
        <v>1.4706382978723405</v>
      </c>
      <c r="W1013">
        <f t="shared" si="608"/>
        <v>0.74936170212765962</v>
      </c>
      <c r="X1013">
        <v>0.16</v>
      </c>
      <c r="Y1013" s="3">
        <v>18.079999999999998</v>
      </c>
      <c r="Z1013">
        <v>59</v>
      </c>
      <c r="AA1013">
        <v>5.85</v>
      </c>
      <c r="AB1013">
        <v>0.18</v>
      </c>
      <c r="AC1013">
        <v>34.5</v>
      </c>
      <c r="AD1013">
        <v>0</v>
      </c>
      <c r="AE1013">
        <f t="shared" si="601"/>
        <v>1.1898305084745762</v>
      </c>
      <c r="AF1013">
        <f t="shared" si="602"/>
        <v>0.4385593220338983</v>
      </c>
      <c r="AG1013" s="3">
        <v>0.47</v>
      </c>
      <c r="AH1013">
        <v>21.51</v>
      </c>
      <c r="AI1013" s="3">
        <v>70</v>
      </c>
      <c r="AJ1013" s="2" t="s">
        <v>263</v>
      </c>
      <c r="AK1013" t="s">
        <v>67</v>
      </c>
      <c r="AL1013">
        <v>123</v>
      </c>
    </row>
    <row r="1014" spans="1:38" x14ac:dyDescent="0.5">
      <c r="A1014">
        <v>240</v>
      </c>
      <c r="B1014">
        <v>200</v>
      </c>
      <c r="C1014">
        <v>1.5</v>
      </c>
      <c r="D1014">
        <v>50</v>
      </c>
      <c r="E1014">
        <v>1000</v>
      </c>
      <c r="F1014">
        <v>400</v>
      </c>
      <c r="G1014" s="3">
        <f t="shared" ref="G1014:G1016" si="610">F1014/D1014</f>
        <v>8</v>
      </c>
      <c r="N1014">
        <v>7.51</v>
      </c>
      <c r="O1014">
        <v>80.28</v>
      </c>
      <c r="P1014" s="3">
        <v>12.11</v>
      </c>
      <c r="Q1014">
        <v>48.1</v>
      </c>
      <c r="R1014">
        <v>6.57</v>
      </c>
      <c r="S1014">
        <v>0.1</v>
      </c>
      <c r="T1014">
        <v>45.12</v>
      </c>
      <c r="U1014">
        <v>0.01</v>
      </c>
      <c r="V1014">
        <f t="shared" si="607"/>
        <v>1.6390852390852391</v>
      </c>
      <c r="W1014">
        <f t="shared" si="608"/>
        <v>0.70353430353430346</v>
      </c>
      <c r="X1014">
        <v>0.1</v>
      </c>
      <c r="Y1014" s="3">
        <v>19.2</v>
      </c>
      <c r="Z1014">
        <v>62.7</v>
      </c>
      <c r="AA1014">
        <v>6.49</v>
      </c>
      <c r="AB1014">
        <v>0.06</v>
      </c>
      <c r="AC1014">
        <v>30.55</v>
      </c>
      <c r="AD1014">
        <v>0</v>
      </c>
      <c r="AE1014">
        <f t="shared" si="601"/>
        <v>1.2421052631578946</v>
      </c>
      <c r="AF1014">
        <f t="shared" si="602"/>
        <v>0.36543062200956933</v>
      </c>
      <c r="AG1014" s="3">
        <v>0.2</v>
      </c>
      <c r="AH1014">
        <v>23.88</v>
      </c>
      <c r="AI1014" s="3">
        <v>79</v>
      </c>
    </row>
    <row r="1015" spans="1:38" x14ac:dyDescent="0.5">
      <c r="A1015">
        <v>240</v>
      </c>
      <c r="B1015">
        <v>200</v>
      </c>
      <c r="C1015">
        <v>1.5</v>
      </c>
      <c r="D1015">
        <v>50</v>
      </c>
      <c r="E1015">
        <v>1000</v>
      </c>
      <c r="F1015">
        <v>400</v>
      </c>
      <c r="G1015" s="3">
        <f t="shared" si="610"/>
        <v>8</v>
      </c>
      <c r="N1015">
        <v>1.33</v>
      </c>
      <c r="O1015">
        <v>50.45</v>
      </c>
      <c r="P1015" s="3">
        <v>8.61</v>
      </c>
      <c r="Q1015">
        <v>29.6</v>
      </c>
      <c r="R1015">
        <v>4.3</v>
      </c>
      <c r="S1015">
        <v>4.3499999999999996</v>
      </c>
      <c r="T1015">
        <v>20.11</v>
      </c>
      <c r="U1015">
        <v>1.58</v>
      </c>
      <c r="V1015">
        <f t="shared" si="607"/>
        <v>1.743243243243243</v>
      </c>
      <c r="W1015">
        <f t="shared" si="608"/>
        <v>0.50954391891891893</v>
      </c>
      <c r="X1015">
        <v>40.06</v>
      </c>
      <c r="Y1015" s="3">
        <v>14.34</v>
      </c>
      <c r="Z1015">
        <v>29.6</v>
      </c>
      <c r="AA1015">
        <v>4.3</v>
      </c>
      <c r="AB1015">
        <v>2.3199999999999998</v>
      </c>
      <c r="AC1015">
        <v>11.12</v>
      </c>
      <c r="AD1015">
        <v>1.42</v>
      </c>
      <c r="AE1015">
        <f t="shared" si="601"/>
        <v>1.743243243243243</v>
      </c>
      <c r="AF1015">
        <f t="shared" si="602"/>
        <v>0.28175675675675671</v>
      </c>
      <c r="AG1015" s="3">
        <v>55.8</v>
      </c>
      <c r="AH1015">
        <v>11.4</v>
      </c>
      <c r="AI1015" s="3">
        <v>64</v>
      </c>
    </row>
    <row r="1016" spans="1:38" x14ac:dyDescent="0.5">
      <c r="A1016">
        <v>300</v>
      </c>
      <c r="B1016">
        <v>200</v>
      </c>
      <c r="C1016">
        <v>0.1</v>
      </c>
      <c r="D1016">
        <v>100</v>
      </c>
      <c r="E1016">
        <v>2000</v>
      </c>
      <c r="F1016">
        <v>400</v>
      </c>
      <c r="G1016" s="3">
        <f t="shared" si="610"/>
        <v>4</v>
      </c>
      <c r="N1016">
        <v>6.8</v>
      </c>
      <c r="O1016">
        <v>79.900000000000006</v>
      </c>
      <c r="P1016" s="3">
        <v>4.3</v>
      </c>
      <c r="Q1016">
        <v>36.9</v>
      </c>
      <c r="R1016">
        <v>5.3</v>
      </c>
      <c r="S1016">
        <v>0</v>
      </c>
      <c r="T1016">
        <v>42</v>
      </c>
      <c r="U1016">
        <v>0</v>
      </c>
      <c r="V1016">
        <f t="shared" si="607"/>
        <v>1.7235772357723578</v>
      </c>
      <c r="W1016">
        <f t="shared" si="608"/>
        <v>0.85365853658536595</v>
      </c>
      <c r="X1016">
        <v>15.8</v>
      </c>
      <c r="Y1016" s="3">
        <v>12.6</v>
      </c>
      <c r="Z1016">
        <v>36.4</v>
      </c>
      <c r="AA1016">
        <v>5.0999999999999996</v>
      </c>
      <c r="AB1016">
        <v>0</v>
      </c>
      <c r="AC1016">
        <v>44.3</v>
      </c>
      <c r="AD1016">
        <v>0</v>
      </c>
      <c r="AE1016">
        <f t="shared" si="601"/>
        <v>1.6813186813186813</v>
      </c>
      <c r="AF1016">
        <f t="shared" si="602"/>
        <v>0.91277472527472525</v>
      </c>
      <c r="AG1016" s="3">
        <v>14.2</v>
      </c>
      <c r="AH1016">
        <v>13.6</v>
      </c>
      <c r="AI1016" s="3">
        <v>83</v>
      </c>
      <c r="AJ1016" s="2" t="s">
        <v>264</v>
      </c>
      <c r="AK1016" t="s">
        <v>265</v>
      </c>
      <c r="AL1016">
        <v>124</v>
      </c>
    </row>
    <row r="1017" spans="1:38" x14ac:dyDescent="0.5">
      <c r="A1017">
        <v>300</v>
      </c>
      <c r="B1017">
        <v>200</v>
      </c>
      <c r="C1017">
        <v>0.1</v>
      </c>
      <c r="D1017">
        <v>100</v>
      </c>
      <c r="E1017">
        <v>2000</v>
      </c>
      <c r="F1017">
        <v>400</v>
      </c>
      <c r="G1017" s="3">
        <f t="shared" ref="G1017:G1020" si="611">F1017/D1017</f>
        <v>4</v>
      </c>
      <c r="N1017">
        <v>9.4</v>
      </c>
      <c r="O1017">
        <v>91.8</v>
      </c>
      <c r="P1017" s="3">
        <v>1.3</v>
      </c>
      <c r="Q1017">
        <v>42.7</v>
      </c>
      <c r="R1017">
        <v>5.7</v>
      </c>
      <c r="S1017">
        <v>0</v>
      </c>
      <c r="T1017">
        <v>44.6</v>
      </c>
      <c r="U1017">
        <v>0</v>
      </c>
      <c r="V1017">
        <f t="shared" si="607"/>
        <v>1.6018735362997658</v>
      </c>
      <c r="W1017">
        <f t="shared" si="608"/>
        <v>0.78337236533957844</v>
      </c>
      <c r="X1017">
        <v>7</v>
      </c>
      <c r="Y1017" s="3">
        <v>16.399999999999999</v>
      </c>
      <c r="Z1017">
        <v>50</v>
      </c>
      <c r="AA1017">
        <v>5.6</v>
      </c>
      <c r="AB1017">
        <v>0</v>
      </c>
      <c r="AC1017">
        <v>41</v>
      </c>
      <c r="AD1017">
        <v>0</v>
      </c>
      <c r="AE1017">
        <f t="shared" si="601"/>
        <v>1.3439999999999999</v>
      </c>
      <c r="AF1017">
        <f t="shared" si="602"/>
        <v>0.61499999999999999</v>
      </c>
      <c r="AG1017" s="3">
        <v>3.4</v>
      </c>
      <c r="AH1017">
        <v>19.3</v>
      </c>
      <c r="AI1017" s="3">
        <v>70</v>
      </c>
    </row>
    <row r="1018" spans="1:38" x14ac:dyDescent="0.5">
      <c r="A1018">
        <v>300</v>
      </c>
      <c r="B1018">
        <v>200</v>
      </c>
      <c r="C1018">
        <v>0.1</v>
      </c>
      <c r="D1018">
        <v>100</v>
      </c>
      <c r="E1018">
        <v>2000</v>
      </c>
      <c r="F1018">
        <v>400</v>
      </c>
      <c r="G1018" s="3">
        <f t="shared" si="611"/>
        <v>4</v>
      </c>
      <c r="N1018">
        <v>5.5</v>
      </c>
      <c r="O1018">
        <v>83.7</v>
      </c>
      <c r="P1018" s="3">
        <v>3.8</v>
      </c>
      <c r="Q1018">
        <v>35.299999999999997</v>
      </c>
      <c r="R1018">
        <v>4.7</v>
      </c>
      <c r="S1018">
        <v>0</v>
      </c>
      <c r="T1018">
        <v>47.6</v>
      </c>
      <c r="U1018">
        <v>0</v>
      </c>
      <c r="V1018">
        <f t="shared" si="607"/>
        <v>1.5977337110481589</v>
      </c>
      <c r="W1018">
        <f t="shared" si="608"/>
        <v>1.011331444759207</v>
      </c>
      <c r="X1018">
        <v>12.4</v>
      </c>
      <c r="Y1018" s="3">
        <v>13.4</v>
      </c>
      <c r="Z1018">
        <v>39.200000000000003</v>
      </c>
      <c r="AA1018">
        <v>6.4</v>
      </c>
      <c r="AB1018">
        <v>0</v>
      </c>
      <c r="AC1018">
        <v>44.4</v>
      </c>
      <c r="AD1018">
        <v>0</v>
      </c>
      <c r="AE1018">
        <f t="shared" si="601"/>
        <v>1.9591836734693877</v>
      </c>
      <c r="AF1018">
        <f t="shared" si="602"/>
        <v>0.84948979591836726</v>
      </c>
      <c r="AG1018" s="3">
        <v>11</v>
      </c>
      <c r="AH1018">
        <v>15</v>
      </c>
      <c r="AI1018" s="3">
        <v>70</v>
      </c>
    </row>
    <row r="1019" spans="1:38" x14ac:dyDescent="0.5">
      <c r="A1019">
        <v>300</v>
      </c>
      <c r="B1019">
        <v>200</v>
      </c>
      <c r="C1019">
        <v>0.1</v>
      </c>
      <c r="D1019">
        <v>100</v>
      </c>
      <c r="E1019">
        <v>2000</v>
      </c>
      <c r="F1019">
        <v>400</v>
      </c>
      <c r="G1019" s="3">
        <f t="shared" si="611"/>
        <v>4</v>
      </c>
      <c r="N1019">
        <v>75</v>
      </c>
      <c r="O1019">
        <v>93.2</v>
      </c>
      <c r="P1019" s="3">
        <v>5</v>
      </c>
      <c r="Q1019">
        <v>50.6</v>
      </c>
      <c r="R1019">
        <v>6.6</v>
      </c>
      <c r="S1019">
        <v>2.2999999999999998</v>
      </c>
      <c r="T1019">
        <v>39</v>
      </c>
      <c r="U1019">
        <v>0</v>
      </c>
      <c r="V1019">
        <f t="shared" si="607"/>
        <v>1.5652173913043477</v>
      </c>
      <c r="W1019">
        <f t="shared" si="608"/>
        <v>0.57806324110671936</v>
      </c>
      <c r="X1019">
        <v>1.8</v>
      </c>
      <c r="Y1019" s="3">
        <v>18.8</v>
      </c>
      <c r="Z1019">
        <v>71.599999999999994</v>
      </c>
      <c r="AA1019">
        <v>8.5</v>
      </c>
      <c r="AB1019">
        <v>2.8</v>
      </c>
      <c r="AC1019">
        <v>15.8</v>
      </c>
      <c r="AD1019">
        <v>0</v>
      </c>
      <c r="AE1019">
        <f t="shared" si="601"/>
        <v>1.4245810055865924</v>
      </c>
      <c r="AF1019">
        <f t="shared" si="602"/>
        <v>0.16550279329608941</v>
      </c>
      <c r="AG1019" s="3">
        <v>1</v>
      </c>
      <c r="AH1019">
        <v>29.6</v>
      </c>
      <c r="AI1019" s="3">
        <v>61</v>
      </c>
    </row>
    <row r="1020" spans="1:38" x14ac:dyDescent="0.5">
      <c r="A1020">
        <v>60</v>
      </c>
      <c r="B1020">
        <v>200</v>
      </c>
      <c r="C1020">
        <v>0.1</v>
      </c>
      <c r="D1020">
        <v>20</v>
      </c>
      <c r="E1020">
        <v>500</v>
      </c>
      <c r="F1020">
        <v>160</v>
      </c>
      <c r="G1020" s="3">
        <f t="shared" si="611"/>
        <v>8</v>
      </c>
      <c r="H1020">
        <v>21.56</v>
      </c>
      <c r="M1020">
        <v>5.78</v>
      </c>
      <c r="Q1020">
        <v>51.14</v>
      </c>
      <c r="R1020">
        <v>7.63</v>
      </c>
      <c r="S1020">
        <v>3.45</v>
      </c>
      <c r="T1020">
        <v>26.01</v>
      </c>
      <c r="U1020">
        <v>7.0000000000000007E-2</v>
      </c>
      <c r="V1020">
        <f t="shared" si="607"/>
        <v>1.7903793508017207</v>
      </c>
      <c r="W1020">
        <f t="shared" si="608"/>
        <v>0.3814528744622605</v>
      </c>
      <c r="X1020">
        <v>11.47</v>
      </c>
      <c r="Y1020" s="3">
        <v>22.12</v>
      </c>
      <c r="Z1020">
        <v>66.11</v>
      </c>
      <c r="AA1020">
        <v>7.09</v>
      </c>
      <c r="AB1020">
        <v>2.41</v>
      </c>
      <c r="AC1020">
        <v>12.96</v>
      </c>
      <c r="AD1020">
        <v>0.08</v>
      </c>
      <c r="AE1020">
        <f t="shared" ref="AE1020:AE1092" si="612">(AA1020/1)/(Z1020/12)</f>
        <v>1.2869459990924217</v>
      </c>
      <c r="AF1020">
        <f t="shared" ref="AF1020:AF1092" si="613">(AC1020/16)/(Z1020/12)</f>
        <v>0.14702768113749812</v>
      </c>
      <c r="AG1020" s="3">
        <v>11.35</v>
      </c>
      <c r="AH1020">
        <v>28.88</v>
      </c>
      <c r="AI1020" s="3">
        <v>56.15</v>
      </c>
      <c r="AJ1020" s="2" t="s">
        <v>266</v>
      </c>
      <c r="AK1020" t="s">
        <v>28</v>
      </c>
      <c r="AL1020">
        <v>125</v>
      </c>
    </row>
    <row r="1021" spans="1:38" x14ac:dyDescent="0.5">
      <c r="A1021">
        <v>60</v>
      </c>
      <c r="B1021">
        <v>230</v>
      </c>
      <c r="C1021">
        <v>0.1</v>
      </c>
      <c r="D1021">
        <v>20</v>
      </c>
      <c r="E1021">
        <v>500</v>
      </c>
      <c r="F1021">
        <v>160</v>
      </c>
      <c r="G1021" s="3">
        <f t="shared" ref="G1021:G1029" si="614">F1021/D1021</f>
        <v>8</v>
      </c>
      <c r="H1021">
        <v>21.56</v>
      </c>
      <c r="M1021">
        <v>5.78</v>
      </c>
      <c r="Q1021">
        <v>51.14</v>
      </c>
      <c r="R1021">
        <v>7.63</v>
      </c>
      <c r="S1021">
        <v>3.45</v>
      </c>
      <c r="T1021">
        <v>26.01</v>
      </c>
      <c r="U1021">
        <v>7.0000000000000007E-2</v>
      </c>
      <c r="V1021">
        <f t="shared" ref="V1021:V1029" si="615">(R1021/1)/(Q1021/12)</f>
        <v>1.7903793508017207</v>
      </c>
      <c r="W1021">
        <f t="shared" ref="W1021:W1029" si="616">(T1021/16)/(Q1021/12)</f>
        <v>0.3814528744622605</v>
      </c>
      <c r="X1021">
        <v>11.47</v>
      </c>
      <c r="Y1021" s="3">
        <v>22.12</v>
      </c>
      <c r="Z1021">
        <v>70.069999999999993</v>
      </c>
      <c r="AA1021">
        <v>6.91</v>
      </c>
      <c r="AB1021">
        <v>3.1</v>
      </c>
      <c r="AC1021">
        <v>11.37</v>
      </c>
      <c r="AD1021">
        <v>0.1</v>
      </c>
      <c r="AE1021">
        <f t="shared" si="612"/>
        <v>1.1833880405308979</v>
      </c>
      <c r="AF1021">
        <f t="shared" si="613"/>
        <v>0.12169972884258598</v>
      </c>
      <c r="AG1021" s="3">
        <v>8.4499999999999993</v>
      </c>
      <c r="AH1021">
        <v>30.29</v>
      </c>
      <c r="AI1021" s="3">
        <v>39.76</v>
      </c>
    </row>
    <row r="1022" spans="1:38" x14ac:dyDescent="0.5">
      <c r="A1022">
        <v>60</v>
      </c>
      <c r="B1022">
        <v>260</v>
      </c>
      <c r="C1022">
        <v>0.1</v>
      </c>
      <c r="D1022">
        <v>20</v>
      </c>
      <c r="E1022">
        <v>500</v>
      </c>
      <c r="F1022">
        <v>160</v>
      </c>
      <c r="G1022" s="3">
        <f t="shared" si="614"/>
        <v>8</v>
      </c>
      <c r="H1022">
        <v>21.56</v>
      </c>
      <c r="M1022">
        <v>5.78</v>
      </c>
      <c r="Q1022">
        <v>51.14</v>
      </c>
      <c r="R1022">
        <v>7.63</v>
      </c>
      <c r="S1022">
        <v>3.45</v>
      </c>
      <c r="T1022">
        <v>26.01</v>
      </c>
      <c r="U1022">
        <v>7.0000000000000007E-2</v>
      </c>
      <c r="V1022">
        <f t="shared" si="615"/>
        <v>1.7903793508017207</v>
      </c>
      <c r="W1022">
        <f t="shared" si="616"/>
        <v>0.3814528744622605</v>
      </c>
      <c r="X1022">
        <v>11.47</v>
      </c>
      <c r="Y1022" s="3">
        <v>22.12</v>
      </c>
      <c r="Z1022">
        <v>72.540000000000006</v>
      </c>
      <c r="AA1022">
        <v>6.83</v>
      </c>
      <c r="AB1022">
        <v>3.49</v>
      </c>
      <c r="AC1022">
        <v>7.27</v>
      </c>
      <c r="AD1022">
        <v>0.14000000000000001</v>
      </c>
      <c r="AE1022">
        <f t="shared" si="612"/>
        <v>1.1298593879239038</v>
      </c>
      <c r="AF1022">
        <f t="shared" si="613"/>
        <v>7.5165425971877572E-2</v>
      </c>
      <c r="AG1022" s="3">
        <v>9.73</v>
      </c>
      <c r="AH1022">
        <v>31.76</v>
      </c>
      <c r="AI1022" s="3">
        <v>35.71</v>
      </c>
    </row>
    <row r="1023" spans="1:38" x14ac:dyDescent="0.5">
      <c r="A1023">
        <v>180</v>
      </c>
      <c r="B1023">
        <v>200</v>
      </c>
      <c r="C1023">
        <v>0.1</v>
      </c>
      <c r="D1023">
        <v>20</v>
      </c>
      <c r="E1023">
        <v>500</v>
      </c>
      <c r="F1023">
        <v>160</v>
      </c>
      <c r="G1023" s="3">
        <f t="shared" si="614"/>
        <v>8</v>
      </c>
      <c r="H1023">
        <v>21.56</v>
      </c>
      <c r="M1023">
        <v>5.78</v>
      </c>
      <c r="Q1023">
        <v>51.14</v>
      </c>
      <c r="R1023">
        <v>7.63</v>
      </c>
      <c r="S1023">
        <v>3.45</v>
      </c>
      <c r="T1023">
        <v>26.01</v>
      </c>
      <c r="U1023">
        <v>7.0000000000000007E-2</v>
      </c>
      <c r="V1023">
        <f t="shared" si="615"/>
        <v>1.7903793508017207</v>
      </c>
      <c r="W1023">
        <f t="shared" si="616"/>
        <v>0.3814528744622605</v>
      </c>
      <c r="X1023">
        <v>11.47</v>
      </c>
      <c r="Y1023" s="3">
        <v>22.12</v>
      </c>
      <c r="Z1023">
        <v>66.56</v>
      </c>
      <c r="AA1023">
        <v>7.11</v>
      </c>
      <c r="AB1023">
        <v>2.52</v>
      </c>
      <c r="AC1023">
        <v>12.98</v>
      </c>
      <c r="AD1023">
        <v>0.08</v>
      </c>
      <c r="AE1023">
        <f t="shared" si="612"/>
        <v>1.2818509615384615</v>
      </c>
      <c r="AF1023">
        <f t="shared" si="613"/>
        <v>0.14625901442307693</v>
      </c>
      <c r="AG1023" s="3">
        <v>9.4499999999999993</v>
      </c>
      <c r="AH1023">
        <v>29.05</v>
      </c>
      <c r="AI1023" s="3">
        <v>48.43</v>
      </c>
    </row>
    <row r="1024" spans="1:38" x14ac:dyDescent="0.5">
      <c r="A1024">
        <v>180</v>
      </c>
      <c r="B1024">
        <v>230</v>
      </c>
      <c r="C1024">
        <v>0.1</v>
      </c>
      <c r="D1024">
        <v>20</v>
      </c>
      <c r="E1024">
        <v>500</v>
      </c>
      <c r="F1024">
        <v>160</v>
      </c>
      <c r="G1024" s="3">
        <f t="shared" si="614"/>
        <v>8</v>
      </c>
      <c r="H1024">
        <v>21.56</v>
      </c>
      <c r="M1024">
        <v>5.78</v>
      </c>
      <c r="Q1024">
        <v>51.14</v>
      </c>
      <c r="R1024">
        <v>7.63</v>
      </c>
      <c r="S1024">
        <v>3.45</v>
      </c>
      <c r="T1024">
        <v>26.01</v>
      </c>
      <c r="U1024">
        <v>7.0000000000000007E-2</v>
      </c>
      <c r="V1024">
        <f t="shared" si="615"/>
        <v>1.7903793508017207</v>
      </c>
      <c r="W1024">
        <f t="shared" si="616"/>
        <v>0.3814528744622605</v>
      </c>
      <c r="X1024">
        <v>11.47</v>
      </c>
      <c r="Y1024" s="3">
        <v>22.12</v>
      </c>
      <c r="Z1024">
        <v>70.040000000000006</v>
      </c>
      <c r="AA1024">
        <v>7.11</v>
      </c>
      <c r="AB1024">
        <v>3.19</v>
      </c>
      <c r="AC1024">
        <v>10.9</v>
      </c>
      <c r="AD1024">
        <v>0.15</v>
      </c>
      <c r="AE1024">
        <f t="shared" si="612"/>
        <v>1.2181610508280982</v>
      </c>
      <c r="AF1024">
        <f t="shared" si="613"/>
        <v>0.11671901770416905</v>
      </c>
      <c r="AG1024" s="3">
        <v>8.61</v>
      </c>
      <c r="AH1024">
        <v>30.61</v>
      </c>
      <c r="AI1024" s="3">
        <v>40.9</v>
      </c>
    </row>
    <row r="1025" spans="1:38" x14ac:dyDescent="0.5">
      <c r="A1025">
        <v>180</v>
      </c>
      <c r="B1025">
        <v>260</v>
      </c>
      <c r="C1025">
        <v>0.1</v>
      </c>
      <c r="D1025">
        <v>20</v>
      </c>
      <c r="E1025">
        <v>500</v>
      </c>
      <c r="F1025">
        <v>160</v>
      </c>
      <c r="G1025" s="3">
        <f t="shared" si="614"/>
        <v>8</v>
      </c>
      <c r="H1025">
        <v>21.56</v>
      </c>
      <c r="M1025">
        <v>5.78</v>
      </c>
      <c r="Q1025">
        <v>51.14</v>
      </c>
      <c r="R1025">
        <v>7.63</v>
      </c>
      <c r="S1025">
        <v>3.45</v>
      </c>
      <c r="T1025">
        <v>26.01</v>
      </c>
      <c r="U1025">
        <v>7.0000000000000007E-2</v>
      </c>
      <c r="V1025">
        <f t="shared" si="615"/>
        <v>1.7903793508017207</v>
      </c>
      <c r="W1025">
        <f t="shared" si="616"/>
        <v>0.3814528744622605</v>
      </c>
      <c r="X1025">
        <v>11.47</v>
      </c>
      <c r="Y1025" s="3">
        <v>22.12</v>
      </c>
      <c r="Z1025">
        <v>72.97</v>
      </c>
      <c r="AA1025">
        <v>6.8</v>
      </c>
      <c r="AB1025">
        <v>3.51</v>
      </c>
      <c r="AC1025">
        <v>6.79</v>
      </c>
      <c r="AD1025">
        <v>0.12</v>
      </c>
      <c r="AE1025">
        <f t="shared" si="612"/>
        <v>1.1182677812799779</v>
      </c>
      <c r="AF1025">
        <f t="shared" si="613"/>
        <v>6.9788954364807448E-2</v>
      </c>
      <c r="AG1025" s="3">
        <v>9.81</v>
      </c>
      <c r="AH1025">
        <v>31.96</v>
      </c>
      <c r="AI1025" s="3">
        <v>33.28</v>
      </c>
    </row>
    <row r="1026" spans="1:38" x14ac:dyDescent="0.5">
      <c r="A1026">
        <v>480</v>
      </c>
      <c r="B1026">
        <v>200</v>
      </c>
      <c r="C1026">
        <v>0.1</v>
      </c>
      <c r="D1026">
        <v>20</v>
      </c>
      <c r="E1026">
        <v>500</v>
      </c>
      <c r="F1026">
        <v>160</v>
      </c>
      <c r="G1026" s="3">
        <f t="shared" si="614"/>
        <v>8</v>
      </c>
      <c r="H1026">
        <v>21.56</v>
      </c>
      <c r="M1026">
        <v>5.78</v>
      </c>
      <c r="Q1026">
        <v>51.14</v>
      </c>
      <c r="R1026">
        <v>7.63</v>
      </c>
      <c r="S1026">
        <v>3.45</v>
      </c>
      <c r="T1026">
        <v>26.01</v>
      </c>
      <c r="U1026">
        <v>7.0000000000000007E-2</v>
      </c>
      <c r="V1026">
        <f t="shared" si="615"/>
        <v>1.7903793508017207</v>
      </c>
      <c r="W1026">
        <f t="shared" si="616"/>
        <v>0.3814528744622605</v>
      </c>
      <c r="X1026">
        <v>11.47</v>
      </c>
      <c r="Y1026" s="3">
        <v>22.12</v>
      </c>
      <c r="Z1026">
        <v>68.09</v>
      </c>
      <c r="AA1026">
        <v>7.05</v>
      </c>
      <c r="AB1026">
        <v>2.8</v>
      </c>
      <c r="AC1026">
        <v>11.73</v>
      </c>
      <c r="AD1026">
        <v>0.1</v>
      </c>
      <c r="AE1026">
        <f t="shared" si="612"/>
        <v>1.2424731972389482</v>
      </c>
      <c r="AF1026">
        <f t="shared" si="613"/>
        <v>0.12920399471287999</v>
      </c>
      <c r="AG1026" s="3">
        <v>10.23</v>
      </c>
      <c r="AH1026">
        <v>29.72</v>
      </c>
      <c r="AI1026" s="3">
        <v>44.56</v>
      </c>
    </row>
    <row r="1027" spans="1:38" x14ac:dyDescent="0.5">
      <c r="A1027">
        <v>480</v>
      </c>
      <c r="B1027">
        <v>230</v>
      </c>
      <c r="C1027">
        <v>0.1</v>
      </c>
      <c r="D1027">
        <v>20</v>
      </c>
      <c r="E1027">
        <v>500</v>
      </c>
      <c r="F1027">
        <v>160</v>
      </c>
      <c r="G1027" s="3">
        <f t="shared" si="614"/>
        <v>8</v>
      </c>
      <c r="H1027">
        <v>21.56</v>
      </c>
      <c r="M1027">
        <v>5.78</v>
      </c>
      <c r="Q1027">
        <v>51.14</v>
      </c>
      <c r="R1027">
        <v>7.63</v>
      </c>
      <c r="S1027">
        <v>3.45</v>
      </c>
      <c r="T1027">
        <v>26.01</v>
      </c>
      <c r="U1027">
        <v>7.0000000000000007E-2</v>
      </c>
      <c r="V1027">
        <f t="shared" si="615"/>
        <v>1.7903793508017207</v>
      </c>
      <c r="W1027">
        <f t="shared" si="616"/>
        <v>0.3814528744622605</v>
      </c>
      <c r="X1027">
        <v>11.47</v>
      </c>
      <c r="Y1027" s="3">
        <v>22.12</v>
      </c>
      <c r="Z1027">
        <v>69.2</v>
      </c>
      <c r="AA1027">
        <v>6.95</v>
      </c>
      <c r="AB1027">
        <v>3.87</v>
      </c>
      <c r="AC1027">
        <v>9.17</v>
      </c>
      <c r="AD1027">
        <v>0.16</v>
      </c>
      <c r="AE1027">
        <f t="shared" si="612"/>
        <v>1.2052023121387283</v>
      </c>
      <c r="AF1027">
        <f t="shared" si="613"/>
        <v>9.9385838150289021E-2</v>
      </c>
      <c r="AG1027" s="3">
        <v>9.65</v>
      </c>
      <c r="AH1027">
        <v>30.44</v>
      </c>
      <c r="AI1027" s="3">
        <v>38.799999999999997</v>
      </c>
    </row>
    <row r="1028" spans="1:38" x14ac:dyDescent="0.5">
      <c r="A1028">
        <v>480</v>
      </c>
      <c r="B1028">
        <v>260</v>
      </c>
      <c r="C1028">
        <v>0.1</v>
      </c>
      <c r="D1028">
        <v>20</v>
      </c>
      <c r="E1028">
        <v>500</v>
      </c>
      <c r="F1028">
        <v>160</v>
      </c>
      <c r="G1028" s="3">
        <f t="shared" si="614"/>
        <v>8</v>
      </c>
      <c r="H1028">
        <v>21.56</v>
      </c>
      <c r="M1028">
        <v>5.78</v>
      </c>
      <c r="Q1028">
        <v>51.14</v>
      </c>
      <c r="R1028">
        <v>7.63</v>
      </c>
      <c r="S1028">
        <v>3.45</v>
      </c>
      <c r="T1028">
        <v>26.01</v>
      </c>
      <c r="U1028">
        <v>7.0000000000000007E-2</v>
      </c>
      <c r="V1028">
        <f t="shared" si="615"/>
        <v>1.7903793508017207</v>
      </c>
      <c r="W1028">
        <f t="shared" si="616"/>
        <v>0.3814528744622605</v>
      </c>
      <c r="X1028">
        <v>11.47</v>
      </c>
      <c r="Y1028" s="3">
        <v>22.12</v>
      </c>
      <c r="Z1028">
        <v>73.69</v>
      </c>
      <c r="AA1028">
        <v>6.71</v>
      </c>
      <c r="AB1028">
        <v>3.58</v>
      </c>
      <c r="AC1028">
        <v>5.53</v>
      </c>
      <c r="AD1028">
        <v>0.16</v>
      </c>
      <c r="AE1028">
        <f t="shared" si="612"/>
        <v>1.0926855747048447</v>
      </c>
      <c r="AF1028">
        <f t="shared" si="613"/>
        <v>5.6283077758176148E-2</v>
      </c>
      <c r="AG1028" s="3">
        <v>10.23</v>
      </c>
      <c r="AH1028">
        <v>32.36</v>
      </c>
      <c r="AI1028" s="3">
        <v>30.27</v>
      </c>
    </row>
    <row r="1029" spans="1:38" x14ac:dyDescent="0.5">
      <c r="A1029">
        <v>60</v>
      </c>
      <c r="B1029">
        <v>200</v>
      </c>
      <c r="C1029">
        <v>0.1</v>
      </c>
      <c r="D1029">
        <v>20</v>
      </c>
      <c r="E1029">
        <v>500</v>
      </c>
      <c r="F1029">
        <v>160</v>
      </c>
      <c r="G1029" s="3">
        <f t="shared" si="614"/>
        <v>8</v>
      </c>
      <c r="Q1029">
        <v>47.4</v>
      </c>
      <c r="R1029">
        <v>7.87</v>
      </c>
      <c r="S1029">
        <v>2.63</v>
      </c>
      <c r="T1029">
        <v>41.97</v>
      </c>
      <c r="U1029">
        <v>0.33</v>
      </c>
      <c r="V1029">
        <f t="shared" si="615"/>
        <v>1.9924050632911394</v>
      </c>
      <c r="W1029">
        <f t="shared" si="616"/>
        <v>0.66408227848101264</v>
      </c>
      <c r="X1029">
        <v>14.32</v>
      </c>
      <c r="Y1029" s="3">
        <v>21.2</v>
      </c>
      <c r="Z1029">
        <v>62.1</v>
      </c>
      <c r="AA1029">
        <v>7.34</v>
      </c>
      <c r="AB1029">
        <v>2.81</v>
      </c>
      <c r="AC1029">
        <v>15.87</v>
      </c>
      <c r="AD1029">
        <v>0.31</v>
      </c>
      <c r="AE1029">
        <f t="shared" si="612"/>
        <v>1.4183574879227054</v>
      </c>
      <c r="AF1029">
        <f t="shared" si="613"/>
        <v>0.19166666666666665</v>
      </c>
      <c r="AG1029" s="3">
        <v>11.57</v>
      </c>
      <c r="AH1029">
        <v>27.31</v>
      </c>
      <c r="AI1029" s="3">
        <v>55</v>
      </c>
    </row>
    <row r="1030" spans="1:38" x14ac:dyDescent="0.5">
      <c r="A1030">
        <v>60</v>
      </c>
      <c r="B1030">
        <v>230</v>
      </c>
      <c r="C1030">
        <v>0.1</v>
      </c>
      <c r="D1030">
        <v>20</v>
      </c>
      <c r="E1030">
        <v>500</v>
      </c>
      <c r="F1030">
        <v>160</v>
      </c>
      <c r="G1030" s="3">
        <f t="shared" ref="G1030:G1038" si="617">F1030/D1030</f>
        <v>8</v>
      </c>
      <c r="Q1030">
        <v>47.4</v>
      </c>
      <c r="R1030">
        <v>7.87</v>
      </c>
      <c r="S1030">
        <v>2.63</v>
      </c>
      <c r="T1030">
        <v>41.97</v>
      </c>
      <c r="U1030">
        <v>0.33</v>
      </c>
      <c r="V1030">
        <f t="shared" ref="V1030:V1038" si="618">(R1030/1)/(Q1030/12)</f>
        <v>1.9924050632911394</v>
      </c>
      <c r="W1030">
        <f t="shared" ref="W1030:W1038" si="619">(T1030/16)/(Q1030/12)</f>
        <v>0.66408227848101264</v>
      </c>
      <c r="X1030">
        <v>14.32</v>
      </c>
      <c r="Y1030" s="3">
        <v>21.2</v>
      </c>
      <c r="Z1030">
        <v>65.989999999999995</v>
      </c>
      <c r="AA1030">
        <v>7.17</v>
      </c>
      <c r="AB1030">
        <v>2.68</v>
      </c>
      <c r="AC1030">
        <v>13.36</v>
      </c>
      <c r="AD1030">
        <v>0.23</v>
      </c>
      <c r="AE1030">
        <f t="shared" si="612"/>
        <v>1.3038339142294286</v>
      </c>
      <c r="AF1030">
        <f t="shared" si="613"/>
        <v>0.15184118805879679</v>
      </c>
      <c r="AG1030" s="3">
        <v>10.57</v>
      </c>
      <c r="AH1030">
        <v>28.87</v>
      </c>
      <c r="AI1030" s="3">
        <v>38</v>
      </c>
    </row>
    <row r="1031" spans="1:38" x14ac:dyDescent="0.5">
      <c r="A1031">
        <v>60</v>
      </c>
      <c r="B1031">
        <v>260</v>
      </c>
      <c r="C1031">
        <v>0.1</v>
      </c>
      <c r="D1031">
        <v>20</v>
      </c>
      <c r="E1031">
        <v>500</v>
      </c>
      <c r="F1031">
        <v>160</v>
      </c>
      <c r="G1031" s="3">
        <f t="shared" si="617"/>
        <v>8</v>
      </c>
      <c r="Q1031">
        <v>47.4</v>
      </c>
      <c r="R1031">
        <v>7.87</v>
      </c>
      <c r="S1031">
        <v>2.63</v>
      </c>
      <c r="T1031">
        <v>41.97</v>
      </c>
      <c r="U1031">
        <v>0.33</v>
      </c>
      <c r="V1031">
        <f t="shared" si="618"/>
        <v>1.9924050632911394</v>
      </c>
      <c r="W1031">
        <f t="shared" si="619"/>
        <v>0.66408227848101264</v>
      </c>
      <c r="X1031">
        <v>14.32</v>
      </c>
      <c r="Y1031" s="3">
        <v>21.2</v>
      </c>
      <c r="Z1031">
        <v>66.459999999999994</v>
      </c>
      <c r="AA1031">
        <v>7.02</v>
      </c>
      <c r="AB1031">
        <v>3.84</v>
      </c>
      <c r="AC1031">
        <v>10.46</v>
      </c>
      <c r="AD1031">
        <v>0.19</v>
      </c>
      <c r="AE1031">
        <f t="shared" si="612"/>
        <v>1.2675293409569666</v>
      </c>
      <c r="AF1031">
        <f t="shared" si="613"/>
        <v>0.11804092687330726</v>
      </c>
      <c r="AG1031" s="3">
        <v>12.03</v>
      </c>
      <c r="AH1031">
        <v>29.37</v>
      </c>
      <c r="AI1031" s="3">
        <v>34</v>
      </c>
    </row>
    <row r="1032" spans="1:38" x14ac:dyDescent="0.5">
      <c r="A1032">
        <v>180</v>
      </c>
      <c r="B1032">
        <v>200</v>
      </c>
      <c r="C1032">
        <v>0.1</v>
      </c>
      <c r="D1032">
        <v>20</v>
      </c>
      <c r="E1032">
        <v>500</v>
      </c>
      <c r="F1032">
        <v>160</v>
      </c>
      <c r="G1032" s="3">
        <f t="shared" si="617"/>
        <v>8</v>
      </c>
      <c r="Q1032">
        <v>47.4</v>
      </c>
      <c r="R1032">
        <v>7.87</v>
      </c>
      <c r="S1032">
        <v>2.63</v>
      </c>
      <c r="T1032">
        <v>41.97</v>
      </c>
      <c r="U1032">
        <v>0.33</v>
      </c>
      <c r="V1032">
        <f t="shared" si="618"/>
        <v>1.9924050632911394</v>
      </c>
      <c r="W1032">
        <f t="shared" si="619"/>
        <v>0.66408227848101264</v>
      </c>
      <c r="X1032">
        <v>14.32</v>
      </c>
      <c r="Y1032" s="3">
        <v>21.2</v>
      </c>
      <c r="Z1032">
        <v>63.29</v>
      </c>
      <c r="AA1032">
        <v>7.2</v>
      </c>
      <c r="AB1032">
        <v>2.36</v>
      </c>
      <c r="AC1032">
        <v>15.09</v>
      </c>
      <c r="AD1032">
        <v>0.28000000000000003</v>
      </c>
      <c r="AE1032">
        <f t="shared" si="612"/>
        <v>1.3651445726023068</v>
      </c>
      <c r="AF1032">
        <f t="shared" si="613"/>
        <v>0.17881971875493757</v>
      </c>
      <c r="AG1032" s="3">
        <v>11.78</v>
      </c>
      <c r="AH1032">
        <v>27.68</v>
      </c>
      <c r="AI1032" s="3">
        <v>45</v>
      </c>
    </row>
    <row r="1033" spans="1:38" x14ac:dyDescent="0.5">
      <c r="A1033">
        <v>180</v>
      </c>
      <c r="B1033">
        <v>230</v>
      </c>
      <c r="C1033">
        <v>0.1</v>
      </c>
      <c r="D1033">
        <v>20</v>
      </c>
      <c r="E1033">
        <v>500</v>
      </c>
      <c r="F1033">
        <v>160</v>
      </c>
      <c r="G1033" s="3">
        <f t="shared" si="617"/>
        <v>8</v>
      </c>
      <c r="Q1033">
        <v>47.4</v>
      </c>
      <c r="R1033">
        <v>7.87</v>
      </c>
      <c r="S1033">
        <v>2.63</v>
      </c>
      <c r="T1033">
        <v>41.97</v>
      </c>
      <c r="U1033">
        <v>0.33</v>
      </c>
      <c r="V1033">
        <f t="shared" si="618"/>
        <v>1.9924050632911394</v>
      </c>
      <c r="W1033">
        <f t="shared" si="619"/>
        <v>0.66408227848101264</v>
      </c>
      <c r="X1033">
        <v>14.32</v>
      </c>
      <c r="Y1033" s="3">
        <v>21.2</v>
      </c>
      <c r="Z1033">
        <v>64.069999999999993</v>
      </c>
      <c r="AA1033">
        <v>7.28</v>
      </c>
      <c r="AB1033">
        <v>1.8</v>
      </c>
      <c r="AC1033">
        <v>14.13</v>
      </c>
      <c r="AD1033">
        <v>0.19</v>
      </c>
      <c r="AE1033">
        <f t="shared" si="612"/>
        <v>1.3635086624004995</v>
      </c>
      <c r="AF1033">
        <f t="shared" si="613"/>
        <v>0.16540502575308258</v>
      </c>
      <c r="AG1033" s="3">
        <v>12.53</v>
      </c>
      <c r="AH1033">
        <v>28.21</v>
      </c>
      <c r="AI1033" s="3">
        <v>41</v>
      </c>
    </row>
    <row r="1034" spans="1:38" x14ac:dyDescent="0.5">
      <c r="A1034">
        <v>180</v>
      </c>
      <c r="B1034">
        <v>260</v>
      </c>
      <c r="C1034">
        <v>0.1</v>
      </c>
      <c r="D1034">
        <v>20</v>
      </c>
      <c r="E1034">
        <v>500</v>
      </c>
      <c r="F1034">
        <v>160</v>
      </c>
      <c r="G1034" s="3">
        <f t="shared" si="617"/>
        <v>8</v>
      </c>
      <c r="Q1034">
        <v>47.4</v>
      </c>
      <c r="R1034">
        <v>7.87</v>
      </c>
      <c r="S1034">
        <v>2.63</v>
      </c>
      <c r="T1034">
        <v>41.97</v>
      </c>
      <c r="U1034">
        <v>0.33</v>
      </c>
      <c r="V1034">
        <f t="shared" si="618"/>
        <v>1.9924050632911394</v>
      </c>
      <c r="W1034">
        <f t="shared" si="619"/>
        <v>0.66408227848101264</v>
      </c>
      <c r="X1034">
        <v>14.32</v>
      </c>
      <c r="Y1034" s="3">
        <v>21.2</v>
      </c>
      <c r="Z1034">
        <v>67.209999999999994</v>
      </c>
      <c r="AA1034">
        <v>6.92</v>
      </c>
      <c r="AB1034">
        <v>3.76</v>
      </c>
      <c r="AC1034">
        <v>10.220000000000001</v>
      </c>
      <c r="AD1034">
        <v>0.2</v>
      </c>
      <c r="AE1034">
        <f t="shared" si="612"/>
        <v>1.2355304270197887</v>
      </c>
      <c r="AF1034">
        <f t="shared" si="613"/>
        <v>0.11404552893914598</v>
      </c>
      <c r="AG1034" s="3">
        <v>11.69</v>
      </c>
      <c r="AH1034">
        <v>29.54</v>
      </c>
      <c r="AI1034" s="3">
        <v>37</v>
      </c>
    </row>
    <row r="1035" spans="1:38" x14ac:dyDescent="0.5">
      <c r="A1035">
        <v>480</v>
      </c>
      <c r="B1035">
        <v>200</v>
      </c>
      <c r="C1035">
        <v>0.1</v>
      </c>
      <c r="D1035">
        <v>20</v>
      </c>
      <c r="E1035">
        <v>500</v>
      </c>
      <c r="F1035">
        <v>160</v>
      </c>
      <c r="G1035" s="3">
        <f t="shared" si="617"/>
        <v>8</v>
      </c>
      <c r="Q1035">
        <v>47.4</v>
      </c>
      <c r="R1035">
        <v>7.87</v>
      </c>
      <c r="S1035">
        <v>2.63</v>
      </c>
      <c r="T1035">
        <v>41.97</v>
      </c>
      <c r="U1035">
        <v>0.33</v>
      </c>
      <c r="V1035">
        <f t="shared" si="618"/>
        <v>1.9924050632911394</v>
      </c>
      <c r="W1035">
        <f t="shared" si="619"/>
        <v>0.66408227848101264</v>
      </c>
      <c r="X1035">
        <v>14.32</v>
      </c>
      <c r="Y1035" s="3">
        <v>21.2</v>
      </c>
      <c r="Z1035">
        <v>63.78</v>
      </c>
      <c r="AA1035">
        <v>7.21</v>
      </c>
      <c r="AB1035">
        <v>2.94</v>
      </c>
      <c r="AC1035">
        <v>13.96</v>
      </c>
      <c r="AD1035">
        <v>0.26</v>
      </c>
      <c r="AE1035">
        <f t="shared" si="612"/>
        <v>1.3565380997177798</v>
      </c>
      <c r="AF1035">
        <f t="shared" si="613"/>
        <v>0.16415804327375352</v>
      </c>
      <c r="AG1035" s="3">
        <v>11.85</v>
      </c>
      <c r="AH1035">
        <v>28.06</v>
      </c>
      <c r="AI1035" s="3">
        <v>42</v>
      </c>
    </row>
    <row r="1036" spans="1:38" x14ac:dyDescent="0.5">
      <c r="A1036">
        <v>480</v>
      </c>
      <c r="B1036">
        <v>230</v>
      </c>
      <c r="C1036">
        <v>0.1</v>
      </c>
      <c r="D1036">
        <v>20</v>
      </c>
      <c r="E1036">
        <v>500</v>
      </c>
      <c r="F1036">
        <v>160</v>
      </c>
      <c r="G1036" s="3">
        <f t="shared" si="617"/>
        <v>8</v>
      </c>
      <c r="Q1036">
        <v>47.4</v>
      </c>
      <c r="R1036">
        <v>7.87</v>
      </c>
      <c r="S1036">
        <v>2.63</v>
      </c>
      <c r="T1036">
        <v>41.97</v>
      </c>
      <c r="U1036">
        <v>0.33</v>
      </c>
      <c r="V1036">
        <f t="shared" si="618"/>
        <v>1.9924050632911394</v>
      </c>
      <c r="W1036">
        <f t="shared" si="619"/>
        <v>0.66408227848101264</v>
      </c>
      <c r="X1036">
        <v>14.32</v>
      </c>
      <c r="Y1036" s="3">
        <v>21.2</v>
      </c>
      <c r="Z1036">
        <v>64.12</v>
      </c>
      <c r="AA1036">
        <v>7.19</v>
      </c>
      <c r="AB1036">
        <v>2.38</v>
      </c>
      <c r="AC1036">
        <v>10.83</v>
      </c>
      <c r="AD1036">
        <v>0.25</v>
      </c>
      <c r="AE1036">
        <f t="shared" si="612"/>
        <v>1.345601996257018</v>
      </c>
      <c r="AF1036">
        <f t="shared" si="613"/>
        <v>0.12667654398003741</v>
      </c>
      <c r="AG1036" s="3">
        <v>15.23</v>
      </c>
      <c r="AH1036">
        <v>28.71</v>
      </c>
      <c r="AI1036" s="3">
        <v>37</v>
      </c>
    </row>
    <row r="1037" spans="1:38" x14ac:dyDescent="0.5">
      <c r="A1037">
        <v>480</v>
      </c>
      <c r="B1037">
        <v>260</v>
      </c>
      <c r="C1037">
        <v>0.1</v>
      </c>
      <c r="D1037">
        <v>20</v>
      </c>
      <c r="E1037">
        <v>500</v>
      </c>
      <c r="F1037">
        <v>160</v>
      </c>
      <c r="G1037" s="3">
        <f t="shared" si="617"/>
        <v>8</v>
      </c>
      <c r="Q1037">
        <v>47.4</v>
      </c>
      <c r="R1037">
        <v>7.87</v>
      </c>
      <c r="S1037">
        <v>2.63</v>
      </c>
      <c r="T1037">
        <v>41.97</v>
      </c>
      <c r="U1037">
        <v>0.33</v>
      </c>
      <c r="V1037">
        <f t="shared" si="618"/>
        <v>1.9924050632911394</v>
      </c>
      <c r="W1037">
        <f t="shared" si="619"/>
        <v>0.66408227848101264</v>
      </c>
      <c r="X1037">
        <v>14.32</v>
      </c>
      <c r="Y1037" s="3">
        <v>21.2</v>
      </c>
      <c r="Z1037">
        <v>68.260000000000005</v>
      </c>
      <c r="AA1037">
        <v>6.98</v>
      </c>
      <c r="AB1037">
        <v>3.61</v>
      </c>
      <c r="AC1037">
        <v>7.51</v>
      </c>
      <c r="AD1037">
        <v>0.17</v>
      </c>
      <c r="AE1037">
        <f t="shared" si="612"/>
        <v>1.2270729563433929</v>
      </c>
      <c r="AF1037">
        <f t="shared" si="613"/>
        <v>8.251538236155874E-2</v>
      </c>
      <c r="AG1037" s="3">
        <v>13.47</v>
      </c>
      <c r="AH1037">
        <v>30.46</v>
      </c>
      <c r="AI1037" s="3">
        <v>29</v>
      </c>
    </row>
    <row r="1038" spans="1:38" x14ac:dyDescent="0.5">
      <c r="A1038">
        <v>15</v>
      </c>
      <c r="B1038">
        <v>180</v>
      </c>
      <c r="C1038">
        <v>0.1</v>
      </c>
      <c r="D1038">
        <v>30</v>
      </c>
      <c r="E1038">
        <v>500</v>
      </c>
      <c r="F1038">
        <v>70</v>
      </c>
      <c r="G1038" s="3">
        <f t="shared" si="617"/>
        <v>2.3333333333333335</v>
      </c>
      <c r="O1038">
        <v>78.489999999999995</v>
      </c>
      <c r="P1038" s="3">
        <v>2.0099999999999998</v>
      </c>
      <c r="Q1038">
        <v>51.2</v>
      </c>
      <c r="R1038">
        <v>6.64</v>
      </c>
      <c r="S1038">
        <v>8.85</v>
      </c>
      <c r="T1038">
        <v>31.94</v>
      </c>
      <c r="U1038">
        <v>1.37</v>
      </c>
      <c r="V1038">
        <f t="shared" si="618"/>
        <v>1.5562499999999999</v>
      </c>
      <c r="W1038">
        <f t="shared" si="619"/>
        <v>0.46787109375000002</v>
      </c>
      <c r="X1038">
        <v>18.510000000000002</v>
      </c>
      <c r="Y1038" s="3">
        <f>(0.338*Q1038)+1.428*(R1038-(T1038/8))</f>
        <v>21.08623</v>
      </c>
      <c r="Z1038">
        <v>52.19</v>
      </c>
      <c r="AA1038">
        <v>6.57</v>
      </c>
      <c r="AB1038">
        <v>9.08</v>
      </c>
      <c r="AC1038">
        <v>30.81</v>
      </c>
      <c r="AD1038">
        <v>1.36</v>
      </c>
      <c r="AE1038">
        <f t="shared" si="612"/>
        <v>1.5106342211151564</v>
      </c>
      <c r="AF1038">
        <f t="shared" si="613"/>
        <v>0.44275723318643423</v>
      </c>
      <c r="AG1038" s="3">
        <v>22.02</v>
      </c>
      <c r="AH1038">
        <f>(0.338*Z1038)+1.428*(AA1038-(AC1038/8))</f>
        <v>21.522594999999999</v>
      </c>
      <c r="AI1038" s="3">
        <v>30.56</v>
      </c>
      <c r="AJ1038" s="2" t="s">
        <v>267</v>
      </c>
      <c r="AK1038" t="s">
        <v>268</v>
      </c>
      <c r="AL1038">
        <v>126</v>
      </c>
    </row>
    <row r="1039" spans="1:38" x14ac:dyDescent="0.5">
      <c r="A1039">
        <v>30</v>
      </c>
      <c r="B1039">
        <v>180</v>
      </c>
      <c r="C1039">
        <v>0.1</v>
      </c>
      <c r="D1039">
        <v>30</v>
      </c>
      <c r="E1039">
        <v>500</v>
      </c>
      <c r="F1039">
        <v>70</v>
      </c>
      <c r="G1039" s="3">
        <f t="shared" ref="G1039:G1050" si="620">F1039/D1039</f>
        <v>2.3333333333333335</v>
      </c>
      <c r="O1039">
        <v>78.489999999999995</v>
      </c>
      <c r="P1039" s="3">
        <v>2.0099999999999998</v>
      </c>
      <c r="Q1039">
        <v>51.2</v>
      </c>
      <c r="R1039">
        <v>6.64</v>
      </c>
      <c r="S1039">
        <v>8.85</v>
      </c>
      <c r="T1039">
        <v>31.94</v>
      </c>
      <c r="U1039">
        <v>1.37</v>
      </c>
      <c r="V1039">
        <f t="shared" ref="V1039:V1050" si="621">(R1039/1)/(Q1039/12)</f>
        <v>1.5562499999999999</v>
      </c>
      <c r="W1039">
        <f t="shared" ref="W1039:W1050" si="622">(T1039/16)/(Q1039/12)</f>
        <v>0.46787109375000002</v>
      </c>
      <c r="X1039">
        <v>18.510000000000002</v>
      </c>
      <c r="Y1039" s="3">
        <f t="shared" ref="Y1039:Y1048" si="623">(0.338*Q1039)+1.428*(R1039-(T1039/8))</f>
        <v>21.08623</v>
      </c>
      <c r="Z1039">
        <v>53.2</v>
      </c>
      <c r="AA1039">
        <v>6.52</v>
      </c>
      <c r="AB1039">
        <v>8.98</v>
      </c>
      <c r="AC1039">
        <v>29.91</v>
      </c>
      <c r="AD1039">
        <v>1.39</v>
      </c>
      <c r="AE1039">
        <f t="shared" si="612"/>
        <v>1.470676691729323</v>
      </c>
      <c r="AF1039">
        <f t="shared" si="613"/>
        <v>0.42166353383458643</v>
      </c>
      <c r="AG1039" s="3">
        <v>23.17</v>
      </c>
      <c r="AH1039">
        <f t="shared" ref="AH1039:AH1049" si="624">(0.338*Z1039)+1.428*(AA1039-(AC1039/8))</f>
        <v>21.953225000000003</v>
      </c>
      <c r="AI1039" s="3">
        <v>25.23</v>
      </c>
    </row>
    <row r="1040" spans="1:38" x14ac:dyDescent="0.5">
      <c r="A1040">
        <v>45</v>
      </c>
      <c r="B1040">
        <v>180</v>
      </c>
      <c r="C1040">
        <v>0.1</v>
      </c>
      <c r="D1040">
        <v>30</v>
      </c>
      <c r="E1040">
        <v>500</v>
      </c>
      <c r="F1040">
        <v>70</v>
      </c>
      <c r="G1040" s="3">
        <f t="shared" si="620"/>
        <v>2.3333333333333335</v>
      </c>
      <c r="O1040">
        <v>78.489999999999995</v>
      </c>
      <c r="P1040" s="3">
        <v>2.0099999999999998</v>
      </c>
      <c r="Q1040">
        <v>51.2</v>
      </c>
      <c r="R1040">
        <v>6.64</v>
      </c>
      <c r="S1040">
        <v>8.85</v>
      </c>
      <c r="T1040">
        <v>31.94</v>
      </c>
      <c r="U1040">
        <v>1.37</v>
      </c>
      <c r="V1040">
        <f t="shared" si="621"/>
        <v>1.5562499999999999</v>
      </c>
      <c r="W1040">
        <f t="shared" si="622"/>
        <v>0.46787109375000002</v>
      </c>
      <c r="X1040">
        <v>18.510000000000002</v>
      </c>
      <c r="Y1040" s="3">
        <f t="shared" si="623"/>
        <v>21.08623</v>
      </c>
      <c r="Z1040">
        <v>55.31</v>
      </c>
      <c r="AA1040">
        <v>6.69</v>
      </c>
      <c r="AB1040">
        <v>9.08</v>
      </c>
      <c r="AC1040">
        <v>27.55</v>
      </c>
      <c r="AD1040">
        <v>1.37</v>
      </c>
      <c r="AE1040">
        <f t="shared" si="612"/>
        <v>1.4514554330139215</v>
      </c>
      <c r="AF1040">
        <f t="shared" si="613"/>
        <v>0.37357620683420717</v>
      </c>
      <c r="AG1040" s="3">
        <v>25.56</v>
      </c>
      <c r="AH1040">
        <f t="shared" si="624"/>
        <v>23.330425000000002</v>
      </c>
      <c r="AI1040" s="3">
        <v>20.74</v>
      </c>
    </row>
    <row r="1041" spans="1:40" x14ac:dyDescent="0.5">
      <c r="A1041">
        <v>15</v>
      </c>
      <c r="B1041">
        <v>200</v>
      </c>
      <c r="C1041">
        <v>0.1</v>
      </c>
      <c r="D1041">
        <v>30</v>
      </c>
      <c r="E1041">
        <v>500</v>
      </c>
      <c r="F1041">
        <v>70</v>
      </c>
      <c r="G1041" s="3">
        <f t="shared" si="620"/>
        <v>2.3333333333333335</v>
      </c>
      <c r="O1041">
        <v>78.489999999999995</v>
      </c>
      <c r="P1041" s="3">
        <v>2.0099999999999998</v>
      </c>
      <c r="Q1041">
        <v>51.2</v>
      </c>
      <c r="R1041">
        <v>6.64</v>
      </c>
      <c r="S1041">
        <v>8.85</v>
      </c>
      <c r="T1041">
        <v>31.94</v>
      </c>
      <c r="U1041">
        <v>1.37</v>
      </c>
      <c r="V1041">
        <f t="shared" si="621"/>
        <v>1.5562499999999999</v>
      </c>
      <c r="W1041">
        <f t="shared" si="622"/>
        <v>0.46787109375000002</v>
      </c>
      <c r="X1041">
        <v>18.510000000000002</v>
      </c>
      <c r="Y1041" s="3">
        <f t="shared" si="623"/>
        <v>21.08623</v>
      </c>
      <c r="Z1041">
        <v>55.07</v>
      </c>
      <c r="AA1041">
        <v>6.72</v>
      </c>
      <c r="AB1041">
        <v>9.2899999999999991</v>
      </c>
      <c r="AC1041">
        <v>27.62</v>
      </c>
      <c r="AD1041">
        <v>1.3</v>
      </c>
      <c r="AE1041">
        <f t="shared" si="612"/>
        <v>1.4643181405483929</v>
      </c>
      <c r="AF1041">
        <f t="shared" si="613"/>
        <v>0.3761576175776285</v>
      </c>
      <c r="AG1041" s="3">
        <v>24.67</v>
      </c>
      <c r="AH1041">
        <f t="shared" si="624"/>
        <v>23.279650000000004</v>
      </c>
      <c r="AI1041" s="3">
        <v>22.72</v>
      </c>
    </row>
    <row r="1042" spans="1:40" x14ac:dyDescent="0.5">
      <c r="A1042">
        <v>30</v>
      </c>
      <c r="B1042">
        <v>200</v>
      </c>
      <c r="C1042">
        <v>0.1</v>
      </c>
      <c r="D1042">
        <v>30</v>
      </c>
      <c r="E1042">
        <v>500</v>
      </c>
      <c r="F1042">
        <v>70</v>
      </c>
      <c r="G1042" s="3">
        <f t="shared" si="620"/>
        <v>2.3333333333333335</v>
      </c>
      <c r="O1042">
        <v>78.489999999999995</v>
      </c>
      <c r="P1042" s="3">
        <v>2.0099999999999998</v>
      </c>
      <c r="Q1042">
        <v>51.2</v>
      </c>
      <c r="R1042">
        <v>6.64</v>
      </c>
      <c r="S1042">
        <v>8.85</v>
      </c>
      <c r="T1042">
        <v>31.94</v>
      </c>
      <c r="U1042">
        <v>1.37</v>
      </c>
      <c r="V1042">
        <f t="shared" si="621"/>
        <v>1.5562499999999999</v>
      </c>
      <c r="W1042">
        <f t="shared" si="622"/>
        <v>0.46787109375000002</v>
      </c>
      <c r="X1042">
        <v>18.510000000000002</v>
      </c>
      <c r="Y1042" s="3">
        <f t="shared" si="623"/>
        <v>21.08623</v>
      </c>
      <c r="Z1042">
        <v>57.44</v>
      </c>
      <c r="AA1042">
        <v>6.65</v>
      </c>
      <c r="AB1042">
        <v>9.0399999999999991</v>
      </c>
      <c r="AC1042">
        <v>25.61</v>
      </c>
      <c r="AD1042">
        <v>1.26</v>
      </c>
      <c r="AE1042">
        <f t="shared" si="612"/>
        <v>1.3892757660167132</v>
      </c>
      <c r="AF1042">
        <f t="shared" si="613"/>
        <v>0.33439240947075211</v>
      </c>
      <c r="AG1042" s="3">
        <v>25.37</v>
      </c>
      <c r="AH1042">
        <f t="shared" si="624"/>
        <v>24.339534999999998</v>
      </c>
      <c r="AI1042" s="3">
        <v>20.54</v>
      </c>
    </row>
    <row r="1043" spans="1:40" x14ac:dyDescent="0.5">
      <c r="A1043">
        <v>45</v>
      </c>
      <c r="B1043">
        <v>200</v>
      </c>
      <c r="C1043">
        <v>0.1</v>
      </c>
      <c r="D1043">
        <v>30</v>
      </c>
      <c r="E1043">
        <v>500</v>
      </c>
      <c r="F1043">
        <v>70</v>
      </c>
      <c r="G1043" s="3">
        <f t="shared" si="620"/>
        <v>2.3333333333333335</v>
      </c>
      <c r="O1043">
        <v>78.489999999999995</v>
      </c>
      <c r="P1043" s="3">
        <v>2.0099999999999998</v>
      </c>
      <c r="Q1043">
        <v>51.2</v>
      </c>
      <c r="R1043">
        <v>6.64</v>
      </c>
      <c r="S1043">
        <v>8.85</v>
      </c>
      <c r="T1043">
        <v>31.94</v>
      </c>
      <c r="U1043">
        <v>1.37</v>
      </c>
      <c r="V1043">
        <f t="shared" si="621"/>
        <v>1.5562499999999999</v>
      </c>
      <c r="W1043">
        <f t="shared" si="622"/>
        <v>0.46787109375000002</v>
      </c>
      <c r="X1043">
        <v>18.510000000000002</v>
      </c>
      <c r="Y1043" s="3">
        <f t="shared" si="623"/>
        <v>21.08623</v>
      </c>
      <c r="Z1043">
        <v>59.23</v>
      </c>
      <c r="AA1043">
        <v>6.68</v>
      </c>
      <c r="AB1043">
        <v>7.98</v>
      </c>
      <c r="AC1043">
        <v>24.84</v>
      </c>
      <c r="AD1043">
        <v>1.26</v>
      </c>
      <c r="AE1043">
        <f t="shared" si="612"/>
        <v>1.353368225561371</v>
      </c>
      <c r="AF1043">
        <f t="shared" si="613"/>
        <v>0.31453655242275874</v>
      </c>
      <c r="AG1043" s="3">
        <v>27.85</v>
      </c>
      <c r="AH1043">
        <f t="shared" si="624"/>
        <v>25.124839999999999</v>
      </c>
      <c r="AI1043" s="3">
        <v>18.600000000000001</v>
      </c>
    </row>
    <row r="1044" spans="1:40" x14ac:dyDescent="0.5">
      <c r="A1044">
        <v>15</v>
      </c>
      <c r="B1044">
        <v>220</v>
      </c>
      <c r="C1044">
        <v>0.1</v>
      </c>
      <c r="D1044">
        <v>30</v>
      </c>
      <c r="E1044">
        <v>500</v>
      </c>
      <c r="F1044">
        <v>70</v>
      </c>
      <c r="G1044" s="3">
        <f t="shared" si="620"/>
        <v>2.3333333333333335</v>
      </c>
      <c r="O1044">
        <v>78.489999999999995</v>
      </c>
      <c r="P1044" s="3">
        <v>2.0099999999999998</v>
      </c>
      <c r="Q1044">
        <v>51.2</v>
      </c>
      <c r="R1044">
        <v>6.64</v>
      </c>
      <c r="S1044">
        <v>8.85</v>
      </c>
      <c r="T1044">
        <v>31.94</v>
      </c>
      <c r="U1044">
        <v>1.37</v>
      </c>
      <c r="V1044">
        <f t="shared" si="621"/>
        <v>1.5562499999999999</v>
      </c>
      <c r="W1044">
        <f t="shared" si="622"/>
        <v>0.46787109375000002</v>
      </c>
      <c r="X1044">
        <v>18.510000000000002</v>
      </c>
      <c r="Y1044" s="3">
        <f t="shared" si="623"/>
        <v>21.08623</v>
      </c>
      <c r="Z1044">
        <v>59.31</v>
      </c>
      <c r="AA1044">
        <v>6.68</v>
      </c>
      <c r="AB1044">
        <v>9.0299999999999994</v>
      </c>
      <c r="AC1044">
        <v>23.8</v>
      </c>
      <c r="AD1044">
        <v>1.18</v>
      </c>
      <c r="AE1044">
        <f t="shared" si="612"/>
        <v>1.3515427415275669</v>
      </c>
      <c r="AF1044">
        <f t="shared" si="613"/>
        <v>0.30096105209914015</v>
      </c>
      <c r="AG1044" s="3">
        <v>27.23</v>
      </c>
      <c r="AH1044">
        <f t="shared" si="624"/>
        <v>25.337520000000001</v>
      </c>
      <c r="AI1044" s="3">
        <v>20.89</v>
      </c>
    </row>
    <row r="1045" spans="1:40" x14ac:dyDescent="0.5">
      <c r="A1045">
        <v>30</v>
      </c>
      <c r="B1045">
        <v>220</v>
      </c>
      <c r="C1045">
        <v>0.1</v>
      </c>
      <c r="D1045">
        <v>30</v>
      </c>
      <c r="E1045">
        <v>500</v>
      </c>
      <c r="F1045">
        <v>70</v>
      </c>
      <c r="G1045" s="3">
        <f t="shared" si="620"/>
        <v>2.3333333333333335</v>
      </c>
      <c r="O1045">
        <v>78.489999999999995</v>
      </c>
      <c r="P1045" s="3">
        <v>2.0099999999999998</v>
      </c>
      <c r="Q1045">
        <v>51.2</v>
      </c>
      <c r="R1045">
        <v>6.64</v>
      </c>
      <c r="S1045">
        <v>8.85</v>
      </c>
      <c r="T1045">
        <v>31.94</v>
      </c>
      <c r="U1045">
        <v>1.37</v>
      </c>
      <c r="V1045">
        <f t="shared" si="621"/>
        <v>1.5562499999999999</v>
      </c>
      <c r="W1045">
        <f t="shared" si="622"/>
        <v>0.46787109375000002</v>
      </c>
      <c r="X1045">
        <v>18.510000000000002</v>
      </c>
      <c r="Y1045" s="3">
        <f t="shared" si="623"/>
        <v>21.08623</v>
      </c>
      <c r="Z1045">
        <v>60</v>
      </c>
      <c r="AA1045">
        <v>6.45</v>
      </c>
      <c r="AB1045">
        <v>8.24</v>
      </c>
      <c r="AC1045">
        <v>24.13</v>
      </c>
      <c r="AD1045">
        <v>1.19</v>
      </c>
      <c r="AE1045">
        <f t="shared" si="612"/>
        <v>1.29</v>
      </c>
      <c r="AF1045">
        <f t="shared" si="613"/>
        <v>0.30162499999999998</v>
      </c>
      <c r="AG1045" s="3">
        <v>26.61</v>
      </c>
      <c r="AH1045">
        <f>(0.338*Z1045)+1.428*(AA1045-(AC1045/8))</f>
        <v>25.183395000000001</v>
      </c>
      <c r="AI1045" s="3">
        <v>18.72</v>
      </c>
    </row>
    <row r="1046" spans="1:40" x14ac:dyDescent="0.5">
      <c r="A1046">
        <v>45</v>
      </c>
      <c r="B1046">
        <v>220</v>
      </c>
      <c r="C1046">
        <v>0.1</v>
      </c>
      <c r="D1046">
        <v>30</v>
      </c>
      <c r="E1046">
        <v>500</v>
      </c>
      <c r="F1046">
        <v>70</v>
      </c>
      <c r="G1046" s="3">
        <f t="shared" si="620"/>
        <v>2.3333333333333335</v>
      </c>
      <c r="O1046">
        <v>78.489999999999995</v>
      </c>
      <c r="P1046" s="3">
        <v>2.0099999999999998</v>
      </c>
      <c r="Q1046">
        <v>51.2</v>
      </c>
      <c r="R1046">
        <v>6.64</v>
      </c>
      <c r="S1046">
        <v>8.85</v>
      </c>
      <c r="T1046">
        <v>31.94</v>
      </c>
      <c r="U1046">
        <v>1.37</v>
      </c>
      <c r="V1046">
        <f t="shared" si="621"/>
        <v>1.5562499999999999</v>
      </c>
      <c r="W1046">
        <f t="shared" si="622"/>
        <v>0.46787109375000002</v>
      </c>
      <c r="X1046">
        <v>18.510000000000002</v>
      </c>
      <c r="Y1046" s="3">
        <f t="shared" si="623"/>
        <v>21.08623</v>
      </c>
      <c r="Z1046">
        <v>62.31</v>
      </c>
      <c r="AA1046">
        <v>6.29</v>
      </c>
      <c r="AB1046">
        <v>8.73</v>
      </c>
      <c r="AC1046">
        <v>21.47</v>
      </c>
      <c r="AD1046">
        <v>1.2</v>
      </c>
      <c r="AE1046">
        <f t="shared" si="612"/>
        <v>1.2113625421280694</v>
      </c>
      <c r="AF1046">
        <f t="shared" si="613"/>
        <v>0.25842561386615309</v>
      </c>
      <c r="AG1046" s="3">
        <v>29.23</v>
      </c>
      <c r="AH1046">
        <f t="shared" si="624"/>
        <v>26.210505000000001</v>
      </c>
      <c r="AI1046" s="3">
        <v>16.32</v>
      </c>
    </row>
    <row r="1047" spans="1:40" x14ac:dyDescent="0.5">
      <c r="A1047">
        <v>15</v>
      </c>
      <c r="B1047">
        <v>240</v>
      </c>
      <c r="C1047">
        <v>0.1</v>
      </c>
      <c r="D1047">
        <v>30</v>
      </c>
      <c r="E1047">
        <v>500</v>
      </c>
      <c r="F1047">
        <v>70</v>
      </c>
      <c r="G1047" s="3">
        <f t="shared" si="620"/>
        <v>2.3333333333333335</v>
      </c>
      <c r="O1047">
        <v>78.489999999999995</v>
      </c>
      <c r="P1047" s="3">
        <v>2.0099999999999998</v>
      </c>
      <c r="Q1047">
        <v>51.2</v>
      </c>
      <c r="R1047">
        <v>6.64</v>
      </c>
      <c r="S1047">
        <v>8.85</v>
      </c>
      <c r="T1047">
        <v>31.94</v>
      </c>
      <c r="U1047">
        <v>1.37</v>
      </c>
      <c r="V1047">
        <f t="shared" si="621"/>
        <v>1.5562499999999999</v>
      </c>
      <c r="W1047">
        <f t="shared" si="622"/>
        <v>0.46787109375000002</v>
      </c>
      <c r="X1047">
        <v>18.510000000000002</v>
      </c>
      <c r="Y1047" s="3">
        <f t="shared" si="623"/>
        <v>21.08623</v>
      </c>
      <c r="Z1047">
        <v>61.29</v>
      </c>
      <c r="AA1047">
        <v>6.26</v>
      </c>
      <c r="AB1047">
        <v>8.9499999999999993</v>
      </c>
      <c r="AC1047">
        <v>22.17</v>
      </c>
      <c r="AD1047">
        <v>1.33</v>
      </c>
      <c r="AE1047">
        <f t="shared" si="612"/>
        <v>1.2256485560450319</v>
      </c>
      <c r="AF1047">
        <f t="shared" si="613"/>
        <v>0.27129221732745962</v>
      </c>
      <c r="AG1047" s="3">
        <v>29.83</v>
      </c>
      <c r="AH1047">
        <f t="shared" si="624"/>
        <v>25.697955</v>
      </c>
      <c r="AI1047" s="3">
        <v>17.149999999999999</v>
      </c>
    </row>
    <row r="1048" spans="1:40" x14ac:dyDescent="0.5">
      <c r="A1048">
        <v>30</v>
      </c>
      <c r="B1048">
        <v>240</v>
      </c>
      <c r="C1048">
        <v>0.1</v>
      </c>
      <c r="D1048">
        <v>30</v>
      </c>
      <c r="E1048">
        <v>500</v>
      </c>
      <c r="F1048">
        <v>70</v>
      </c>
      <c r="G1048" s="3">
        <f t="shared" si="620"/>
        <v>2.3333333333333335</v>
      </c>
      <c r="O1048">
        <v>78.489999999999995</v>
      </c>
      <c r="P1048" s="3">
        <v>2.0099999999999998</v>
      </c>
      <c r="Q1048">
        <v>51.2</v>
      </c>
      <c r="R1048">
        <v>6.64</v>
      </c>
      <c r="S1048">
        <v>8.85</v>
      </c>
      <c r="T1048">
        <v>31.94</v>
      </c>
      <c r="U1048">
        <v>1.37</v>
      </c>
      <c r="V1048">
        <f t="shared" si="621"/>
        <v>1.5562499999999999</v>
      </c>
      <c r="W1048">
        <f t="shared" si="622"/>
        <v>0.46787109375000002</v>
      </c>
      <c r="X1048">
        <v>18.510000000000002</v>
      </c>
      <c r="Y1048" s="3">
        <f t="shared" si="623"/>
        <v>21.08623</v>
      </c>
      <c r="Z1048">
        <v>62.62</v>
      </c>
      <c r="AA1048">
        <v>5.96</v>
      </c>
      <c r="AB1048">
        <v>8.19</v>
      </c>
      <c r="AC1048">
        <v>21.93</v>
      </c>
      <c r="AD1048">
        <v>1.29</v>
      </c>
      <c r="AE1048">
        <f t="shared" si="612"/>
        <v>1.1421271159374002</v>
      </c>
      <c r="AF1048">
        <f t="shared" si="613"/>
        <v>0.2626557010539764</v>
      </c>
      <c r="AG1048" s="3">
        <v>30.41</v>
      </c>
      <c r="AH1048">
        <f t="shared" si="624"/>
        <v>25.761935000000001</v>
      </c>
      <c r="AI1048" s="3">
        <v>18.62</v>
      </c>
    </row>
    <row r="1049" spans="1:40" x14ac:dyDescent="0.5">
      <c r="A1049">
        <v>45</v>
      </c>
      <c r="B1049">
        <v>240</v>
      </c>
      <c r="C1049">
        <v>0.1</v>
      </c>
      <c r="D1049">
        <v>30</v>
      </c>
      <c r="E1049">
        <v>500</v>
      </c>
      <c r="F1049">
        <v>70</v>
      </c>
      <c r="G1049" s="3">
        <f t="shared" si="620"/>
        <v>2.3333333333333335</v>
      </c>
      <c r="O1049">
        <v>78.489999999999995</v>
      </c>
      <c r="P1049" s="3">
        <v>2.0099999999999998</v>
      </c>
      <c r="Q1049">
        <v>51.2</v>
      </c>
      <c r="R1049">
        <v>6.64</v>
      </c>
      <c r="S1049">
        <v>8.85</v>
      </c>
      <c r="T1049">
        <v>31.94</v>
      </c>
      <c r="U1049">
        <v>1.37</v>
      </c>
      <c r="V1049">
        <f t="shared" si="621"/>
        <v>1.5562499999999999</v>
      </c>
      <c r="W1049">
        <f t="shared" si="622"/>
        <v>0.46787109375000002</v>
      </c>
      <c r="X1049">
        <v>18.510000000000002</v>
      </c>
      <c r="Y1049" s="3">
        <f>(0.338*Q1049)+1.428*(R1049-(T1049/8))</f>
        <v>21.08623</v>
      </c>
      <c r="Z1049">
        <v>67.959999999999994</v>
      </c>
      <c r="AA1049">
        <v>5.71</v>
      </c>
      <c r="AB1049">
        <v>8.51</v>
      </c>
      <c r="AC1049">
        <v>16.25</v>
      </c>
      <c r="AD1049">
        <v>1.56</v>
      </c>
      <c r="AE1049">
        <f t="shared" si="612"/>
        <v>1.0082401412595645</v>
      </c>
      <c r="AF1049">
        <f t="shared" si="613"/>
        <v>0.1793334314302531</v>
      </c>
      <c r="AG1049" s="3">
        <v>34.68</v>
      </c>
      <c r="AH1049">
        <f t="shared" si="624"/>
        <v>28.223734999999998</v>
      </c>
      <c r="AI1049" s="3">
        <v>18.25</v>
      </c>
    </row>
    <row r="1050" spans="1:40" x14ac:dyDescent="0.5">
      <c r="A1050">
        <v>10</v>
      </c>
      <c r="B1050">
        <v>200</v>
      </c>
      <c r="C1050">
        <v>0.1</v>
      </c>
      <c r="D1050">
        <v>30</v>
      </c>
      <c r="E1050">
        <v>500</v>
      </c>
      <c r="F1050">
        <v>300</v>
      </c>
      <c r="G1050" s="3">
        <f t="shared" si="620"/>
        <v>10</v>
      </c>
      <c r="K1050">
        <v>36.799999999999997</v>
      </c>
      <c r="L1050">
        <v>12.2</v>
      </c>
      <c r="M1050">
        <v>32.700000000000003</v>
      </c>
      <c r="O1050">
        <v>80.11</v>
      </c>
      <c r="P1050" s="3">
        <v>18.62</v>
      </c>
      <c r="Q1050">
        <v>49.14</v>
      </c>
      <c r="R1050">
        <v>6.18</v>
      </c>
      <c r="S1050">
        <v>0.45</v>
      </c>
      <c r="T1050">
        <v>43.75</v>
      </c>
      <c r="U1050">
        <v>0.47</v>
      </c>
      <c r="V1050">
        <f t="shared" si="621"/>
        <v>1.5091575091575091</v>
      </c>
      <c r="W1050">
        <f t="shared" si="622"/>
        <v>0.66773504273504281</v>
      </c>
      <c r="X1050">
        <v>1.27</v>
      </c>
      <c r="Y1050" s="3">
        <v>19.93</v>
      </c>
      <c r="Z1050">
        <v>57.46</v>
      </c>
      <c r="AA1050">
        <v>6.11</v>
      </c>
      <c r="AB1050">
        <v>0.56999999999999995</v>
      </c>
      <c r="AC1050">
        <v>35.29</v>
      </c>
      <c r="AD1050">
        <v>0.57999999999999996</v>
      </c>
      <c r="AE1050">
        <f t="shared" si="612"/>
        <v>1.2760180995475114</v>
      </c>
      <c r="AF1050">
        <f t="shared" si="613"/>
        <v>0.46062478245736166</v>
      </c>
      <c r="AG1050" s="3">
        <v>0.75</v>
      </c>
      <c r="AH1050">
        <v>23.64</v>
      </c>
      <c r="AI1050" s="3">
        <v>90.91</v>
      </c>
      <c r="AJ1050" s="2" t="s">
        <v>269</v>
      </c>
      <c r="AK1050" t="s">
        <v>270</v>
      </c>
      <c r="AL1050">
        <v>127</v>
      </c>
    </row>
    <row r="1051" spans="1:40" x14ac:dyDescent="0.5">
      <c r="A1051">
        <v>10</v>
      </c>
      <c r="B1051">
        <v>220</v>
      </c>
      <c r="C1051">
        <v>0.1</v>
      </c>
      <c r="D1051">
        <v>30</v>
      </c>
      <c r="E1051">
        <v>500</v>
      </c>
      <c r="F1051">
        <v>300</v>
      </c>
      <c r="G1051" s="3">
        <f t="shared" ref="G1051:G1054" si="625">F1051/D1051</f>
        <v>10</v>
      </c>
      <c r="K1051">
        <v>36.799999999999997</v>
      </c>
      <c r="L1051">
        <v>12.2</v>
      </c>
      <c r="M1051">
        <v>32.700000000000003</v>
      </c>
      <c r="O1051">
        <v>80.11</v>
      </c>
      <c r="P1051" s="3">
        <v>18.62</v>
      </c>
      <c r="Q1051">
        <v>49.14</v>
      </c>
      <c r="R1051">
        <v>6.18</v>
      </c>
      <c r="S1051">
        <v>0.45</v>
      </c>
      <c r="T1051">
        <v>43.75</v>
      </c>
      <c r="U1051">
        <v>0.47</v>
      </c>
      <c r="V1051">
        <f t="shared" ref="V1051:V1054" si="626">(R1051/1)/(Q1051/12)</f>
        <v>1.5091575091575091</v>
      </c>
      <c r="W1051">
        <f t="shared" ref="W1051:W1054" si="627">(T1051/16)/(Q1051/12)</f>
        <v>0.66773504273504281</v>
      </c>
      <c r="X1051">
        <v>1.27</v>
      </c>
      <c r="Y1051" s="3">
        <v>19.93</v>
      </c>
      <c r="Z1051">
        <v>57.82</v>
      </c>
      <c r="AA1051">
        <v>5.74</v>
      </c>
      <c r="AB1051">
        <v>0.52</v>
      </c>
      <c r="AC1051">
        <v>35.32</v>
      </c>
      <c r="AD1051">
        <v>0.6</v>
      </c>
      <c r="AE1051">
        <f t="shared" si="612"/>
        <v>1.1912832929782082</v>
      </c>
      <c r="AF1051">
        <f t="shared" si="613"/>
        <v>0.45814597025250781</v>
      </c>
      <c r="AG1051" s="3">
        <v>0.23</v>
      </c>
      <c r="AH1051">
        <v>23.35</v>
      </c>
      <c r="AI1051" s="3">
        <v>82.27</v>
      </c>
    </row>
    <row r="1052" spans="1:40" x14ac:dyDescent="0.5">
      <c r="A1052">
        <v>10</v>
      </c>
      <c r="B1052">
        <v>240</v>
      </c>
      <c r="C1052">
        <v>0.1</v>
      </c>
      <c r="D1052">
        <v>30</v>
      </c>
      <c r="E1052">
        <v>500</v>
      </c>
      <c r="F1052">
        <v>300</v>
      </c>
      <c r="G1052" s="3">
        <f t="shared" si="625"/>
        <v>10</v>
      </c>
      <c r="K1052">
        <v>36.799999999999997</v>
      </c>
      <c r="L1052">
        <v>12.2</v>
      </c>
      <c r="M1052">
        <v>32.700000000000003</v>
      </c>
      <c r="O1052">
        <v>80.11</v>
      </c>
      <c r="P1052" s="3">
        <v>18.62</v>
      </c>
      <c r="Q1052">
        <v>49.14</v>
      </c>
      <c r="R1052">
        <v>6.18</v>
      </c>
      <c r="S1052">
        <v>0.45</v>
      </c>
      <c r="T1052">
        <v>43.75</v>
      </c>
      <c r="U1052">
        <v>0.47</v>
      </c>
      <c r="V1052">
        <f t="shared" si="626"/>
        <v>1.5091575091575091</v>
      </c>
      <c r="W1052">
        <f t="shared" si="627"/>
        <v>0.66773504273504281</v>
      </c>
      <c r="X1052">
        <v>1.27</v>
      </c>
      <c r="Y1052" s="3">
        <v>19.93</v>
      </c>
      <c r="Z1052">
        <v>59.82</v>
      </c>
      <c r="AA1052">
        <v>5.81</v>
      </c>
      <c r="AB1052">
        <v>33</v>
      </c>
      <c r="AC1052">
        <v>33.42</v>
      </c>
      <c r="AD1052">
        <v>0.62</v>
      </c>
      <c r="AE1052">
        <f t="shared" si="612"/>
        <v>1.165496489468405</v>
      </c>
      <c r="AF1052">
        <f t="shared" si="613"/>
        <v>0.41900702106318954</v>
      </c>
      <c r="AG1052" s="3">
        <v>0.3</v>
      </c>
      <c r="AH1052">
        <v>24.33</v>
      </c>
      <c r="AI1052" s="3">
        <v>64.16</v>
      </c>
    </row>
    <row r="1053" spans="1:40" x14ac:dyDescent="0.5">
      <c r="A1053">
        <v>10</v>
      </c>
      <c r="B1053">
        <v>260</v>
      </c>
      <c r="C1053">
        <v>0.1</v>
      </c>
      <c r="D1053">
        <v>30</v>
      </c>
      <c r="E1053">
        <v>500</v>
      </c>
      <c r="F1053">
        <v>300</v>
      </c>
      <c r="G1053" s="3">
        <f t="shared" si="625"/>
        <v>10</v>
      </c>
      <c r="K1053">
        <v>36.799999999999997</v>
      </c>
      <c r="L1053">
        <v>12.2</v>
      </c>
      <c r="M1053">
        <v>32.700000000000003</v>
      </c>
      <c r="O1053">
        <v>80.11</v>
      </c>
      <c r="P1053" s="3">
        <v>18.62</v>
      </c>
      <c r="Q1053">
        <v>49.14</v>
      </c>
      <c r="R1053">
        <v>6.18</v>
      </c>
      <c r="S1053">
        <v>0.45</v>
      </c>
      <c r="T1053">
        <v>43.75</v>
      </c>
      <c r="U1053">
        <v>0.47</v>
      </c>
      <c r="V1053">
        <f t="shared" si="626"/>
        <v>1.5091575091575091</v>
      </c>
      <c r="W1053">
        <f t="shared" si="627"/>
        <v>0.66773504273504281</v>
      </c>
      <c r="X1053">
        <v>1.27</v>
      </c>
      <c r="Y1053" s="3">
        <v>19.93</v>
      </c>
      <c r="Z1053">
        <v>68.44</v>
      </c>
      <c r="AA1053">
        <v>5.43</v>
      </c>
      <c r="AB1053">
        <v>0.42</v>
      </c>
      <c r="AC1053">
        <v>25.15</v>
      </c>
      <c r="AD1053">
        <v>0.56999999999999995</v>
      </c>
      <c r="AE1053">
        <f t="shared" si="612"/>
        <v>0.95207481005260075</v>
      </c>
      <c r="AF1053">
        <f t="shared" si="613"/>
        <v>0.27560637054354176</v>
      </c>
      <c r="AG1053" s="3">
        <v>0.24</v>
      </c>
      <c r="AH1053">
        <v>27.73</v>
      </c>
      <c r="AI1053" s="3">
        <v>66.84</v>
      </c>
    </row>
    <row r="1054" spans="1:40" x14ac:dyDescent="0.5">
      <c r="A1054">
        <v>5</v>
      </c>
      <c r="B1054">
        <v>190</v>
      </c>
      <c r="C1054">
        <v>0.1</v>
      </c>
      <c r="D1054">
        <v>30</v>
      </c>
      <c r="E1054">
        <v>600</v>
      </c>
      <c r="F1054">
        <v>180</v>
      </c>
      <c r="G1054" s="3">
        <f t="shared" si="625"/>
        <v>6</v>
      </c>
      <c r="O1054">
        <v>87.5</v>
      </c>
      <c r="P1054" s="3">
        <v>1.7</v>
      </c>
      <c r="Q1054">
        <v>46.7</v>
      </c>
      <c r="R1054">
        <v>6</v>
      </c>
      <c r="S1054">
        <v>0.2</v>
      </c>
      <c r="T1054">
        <v>45.3</v>
      </c>
      <c r="U1054">
        <v>0</v>
      </c>
      <c r="V1054">
        <f t="shared" si="626"/>
        <v>1.5417558886509635</v>
      </c>
      <c r="W1054">
        <f t="shared" si="627"/>
        <v>0.72751605995717328</v>
      </c>
      <c r="X1054">
        <v>0.8</v>
      </c>
      <c r="Y1054" s="3">
        <v>18.5</v>
      </c>
      <c r="Z1054">
        <v>48.8</v>
      </c>
      <c r="AA1054">
        <v>6</v>
      </c>
      <c r="AB1054">
        <v>0.2</v>
      </c>
      <c r="AC1054">
        <v>44.7</v>
      </c>
      <c r="AD1054">
        <v>0</v>
      </c>
      <c r="AE1054">
        <f t="shared" si="612"/>
        <v>1.4754098360655739</v>
      </c>
      <c r="AF1054">
        <f t="shared" si="613"/>
        <v>0.68698770491803285</v>
      </c>
      <c r="AG1054" s="3">
        <v>0.5</v>
      </c>
      <c r="AH1054">
        <v>20.2</v>
      </c>
      <c r="AI1054" s="3">
        <v>83.5</v>
      </c>
      <c r="AJ1054" s="2" t="s">
        <v>271</v>
      </c>
      <c r="AK1054" t="s">
        <v>272</v>
      </c>
      <c r="AL1054">
        <v>128</v>
      </c>
      <c r="AN1054" t="s">
        <v>273</v>
      </c>
    </row>
    <row r="1055" spans="1:40" x14ac:dyDescent="0.5">
      <c r="A1055">
        <v>5</v>
      </c>
      <c r="B1055">
        <v>225</v>
      </c>
      <c r="C1055">
        <v>0.1</v>
      </c>
      <c r="D1055">
        <v>30</v>
      </c>
      <c r="E1055">
        <v>600</v>
      </c>
      <c r="F1055">
        <v>180</v>
      </c>
      <c r="G1055" s="3">
        <f t="shared" ref="G1055:G1057" si="628">F1055/D1055</f>
        <v>6</v>
      </c>
      <c r="O1055">
        <v>87.5</v>
      </c>
      <c r="P1055" s="3">
        <v>1.7</v>
      </c>
      <c r="Q1055">
        <v>46.7</v>
      </c>
      <c r="R1055">
        <v>6</v>
      </c>
      <c r="S1055">
        <v>0.2</v>
      </c>
      <c r="T1055">
        <v>45.3</v>
      </c>
      <c r="U1055">
        <v>0</v>
      </c>
      <c r="V1055">
        <f t="shared" ref="V1055:V1057" si="629">(R1055/1)/(Q1055/12)</f>
        <v>1.5417558886509635</v>
      </c>
      <c r="W1055">
        <f t="shared" ref="W1055:W1057" si="630">(T1055/16)/(Q1055/12)</f>
        <v>0.72751605995717328</v>
      </c>
      <c r="X1055">
        <v>0.8</v>
      </c>
      <c r="Y1055" s="3">
        <v>18.5</v>
      </c>
      <c r="Z1055">
        <v>49.6</v>
      </c>
      <c r="AA1055">
        <v>6</v>
      </c>
      <c r="AB1055">
        <v>0.3</v>
      </c>
      <c r="AC1055">
        <v>41.8</v>
      </c>
      <c r="AD1055">
        <v>0</v>
      </c>
      <c r="AE1055">
        <f t="shared" si="612"/>
        <v>1.4516129032258063</v>
      </c>
      <c r="AF1055">
        <f t="shared" si="613"/>
        <v>0.63205645161290314</v>
      </c>
      <c r="AG1055" s="3">
        <v>0.7</v>
      </c>
      <c r="AH1055">
        <v>21.6</v>
      </c>
      <c r="AI1055" s="3">
        <v>66.900000000000006</v>
      </c>
    </row>
    <row r="1056" spans="1:40" x14ac:dyDescent="0.5">
      <c r="A1056">
        <v>5</v>
      </c>
      <c r="B1056">
        <v>260</v>
      </c>
      <c r="C1056">
        <v>0.1</v>
      </c>
      <c r="D1056">
        <v>30</v>
      </c>
      <c r="E1056">
        <v>600</v>
      </c>
      <c r="F1056">
        <v>180</v>
      </c>
      <c r="G1056" s="3">
        <f t="shared" si="628"/>
        <v>6</v>
      </c>
      <c r="O1056">
        <v>87.5</v>
      </c>
      <c r="P1056" s="3">
        <v>1.7</v>
      </c>
      <c r="Q1056">
        <v>46.7</v>
      </c>
      <c r="R1056">
        <v>6</v>
      </c>
      <c r="S1056">
        <v>0.2</v>
      </c>
      <c r="T1056">
        <v>45.3</v>
      </c>
      <c r="U1056">
        <v>0</v>
      </c>
      <c r="V1056">
        <f t="shared" si="629"/>
        <v>1.5417558886509635</v>
      </c>
      <c r="W1056">
        <f t="shared" si="630"/>
        <v>0.72751605995717328</v>
      </c>
      <c r="X1056">
        <v>0.8</v>
      </c>
      <c r="Y1056" s="3">
        <v>18.5</v>
      </c>
      <c r="Z1056">
        <v>61.2</v>
      </c>
      <c r="AA1056">
        <v>5.3</v>
      </c>
      <c r="AB1056">
        <v>0.4</v>
      </c>
      <c r="AC1056">
        <v>31.6</v>
      </c>
      <c r="AD1056">
        <v>0</v>
      </c>
      <c r="AE1056">
        <f t="shared" si="612"/>
        <v>1.0392156862745097</v>
      </c>
      <c r="AF1056">
        <f t="shared" si="613"/>
        <v>0.38725490196078427</v>
      </c>
      <c r="AG1056" s="3">
        <v>0.8</v>
      </c>
      <c r="AH1056">
        <v>25.9</v>
      </c>
      <c r="AI1056" s="3">
        <v>47.8</v>
      </c>
    </row>
    <row r="1057" spans="1:40" x14ac:dyDescent="0.5">
      <c r="A1057">
        <v>60</v>
      </c>
      <c r="B1057">
        <v>170</v>
      </c>
      <c r="C1057">
        <v>0.1</v>
      </c>
      <c r="D1057">
        <v>200</v>
      </c>
      <c r="E1057">
        <v>4000</v>
      </c>
      <c r="F1057">
        <v>1300</v>
      </c>
      <c r="G1057" s="3">
        <f t="shared" si="628"/>
        <v>6.5</v>
      </c>
      <c r="O1057">
        <v>67.599999999999994</v>
      </c>
      <c r="P1057" s="3">
        <v>20.6</v>
      </c>
      <c r="Q1057">
        <v>44.5</v>
      </c>
      <c r="R1057">
        <v>6.1</v>
      </c>
      <c r="S1057">
        <v>3.1</v>
      </c>
      <c r="T1057">
        <v>34.299999999999997</v>
      </c>
      <c r="U1057">
        <v>0.2</v>
      </c>
      <c r="V1057">
        <f t="shared" si="629"/>
        <v>1.6449438202247189</v>
      </c>
      <c r="W1057">
        <f t="shared" si="630"/>
        <v>0.57808988764044933</v>
      </c>
      <c r="X1057">
        <v>11.8</v>
      </c>
      <c r="Y1057" s="3">
        <v>18.899999999999999</v>
      </c>
      <c r="Z1057">
        <v>46.2</v>
      </c>
      <c r="AA1057">
        <v>5.9</v>
      </c>
      <c r="AB1057">
        <v>1.7</v>
      </c>
      <c r="AC1057">
        <v>33.4</v>
      </c>
      <c r="AD1057">
        <v>0.2</v>
      </c>
      <c r="AE1057">
        <f t="shared" si="612"/>
        <v>1.5324675324675325</v>
      </c>
      <c r="AF1057">
        <f t="shared" si="613"/>
        <v>0.54220779220779214</v>
      </c>
      <c r="AG1057" s="3">
        <v>12.6</v>
      </c>
      <c r="AH1057">
        <v>19.399999999999999</v>
      </c>
      <c r="AI1057" s="3">
        <v>80.400000000000006</v>
      </c>
      <c r="AJ1057" s="2" t="s">
        <v>274</v>
      </c>
      <c r="AK1057" t="s">
        <v>28</v>
      </c>
      <c r="AL1057">
        <v>129</v>
      </c>
    </row>
    <row r="1058" spans="1:40" x14ac:dyDescent="0.5">
      <c r="A1058">
        <v>60</v>
      </c>
      <c r="B1058">
        <v>200</v>
      </c>
      <c r="C1058">
        <v>0.1</v>
      </c>
      <c r="D1058">
        <v>200</v>
      </c>
      <c r="E1058">
        <v>4000</v>
      </c>
      <c r="F1058">
        <v>1300</v>
      </c>
      <c r="G1058" s="3">
        <f t="shared" ref="G1058:G1060" si="631">F1058/D1058</f>
        <v>6.5</v>
      </c>
      <c r="O1058">
        <v>67.599999999999994</v>
      </c>
      <c r="P1058" s="3">
        <v>20.6</v>
      </c>
      <c r="Q1058">
        <v>44.5</v>
      </c>
      <c r="R1058">
        <v>6.1</v>
      </c>
      <c r="S1058">
        <v>3.1</v>
      </c>
      <c r="T1058">
        <v>34.299999999999997</v>
      </c>
      <c r="U1058">
        <v>0.2</v>
      </c>
      <c r="V1058">
        <f t="shared" ref="V1058:V1060" si="632">(R1058/1)/(Q1058/12)</f>
        <v>1.6449438202247189</v>
      </c>
      <c r="W1058">
        <f t="shared" ref="W1058:W1060" si="633">(T1058/16)/(Q1058/12)</f>
        <v>0.57808988764044933</v>
      </c>
      <c r="X1058">
        <v>11.8</v>
      </c>
      <c r="Y1058" s="3">
        <v>18.899999999999999</v>
      </c>
      <c r="Z1058">
        <v>48.6</v>
      </c>
      <c r="AA1058">
        <v>5.7</v>
      </c>
      <c r="AB1058">
        <v>2</v>
      </c>
      <c r="AC1058">
        <v>29.9</v>
      </c>
      <c r="AD1058">
        <v>0.2</v>
      </c>
      <c r="AE1058">
        <f t="shared" si="612"/>
        <v>1.4074074074074074</v>
      </c>
      <c r="AF1058">
        <f t="shared" si="613"/>
        <v>0.46141975308641975</v>
      </c>
      <c r="AG1058" s="3">
        <v>13.6</v>
      </c>
      <c r="AH1058">
        <v>20.3</v>
      </c>
      <c r="AI1058" s="3">
        <v>67.7</v>
      </c>
    </row>
    <row r="1059" spans="1:40" x14ac:dyDescent="0.5">
      <c r="A1059">
        <v>60</v>
      </c>
      <c r="B1059">
        <v>230</v>
      </c>
      <c r="C1059">
        <v>0.1</v>
      </c>
      <c r="D1059">
        <v>200</v>
      </c>
      <c r="E1059">
        <v>4000</v>
      </c>
      <c r="F1059">
        <v>1300</v>
      </c>
      <c r="G1059" s="3">
        <f t="shared" si="631"/>
        <v>6.5</v>
      </c>
      <c r="O1059">
        <v>67.599999999999994</v>
      </c>
      <c r="P1059" s="3">
        <v>20.6</v>
      </c>
      <c r="Q1059">
        <v>44.5</v>
      </c>
      <c r="R1059">
        <v>6.1</v>
      </c>
      <c r="S1059">
        <v>3.1</v>
      </c>
      <c r="T1059">
        <v>34.299999999999997</v>
      </c>
      <c r="U1059">
        <v>0.2</v>
      </c>
      <c r="V1059">
        <f t="shared" si="632"/>
        <v>1.6449438202247189</v>
      </c>
      <c r="W1059">
        <f t="shared" si="633"/>
        <v>0.57808988764044933</v>
      </c>
      <c r="X1059">
        <v>11.8</v>
      </c>
      <c r="Y1059" s="3">
        <v>18.899999999999999</v>
      </c>
      <c r="Z1059">
        <v>54.8</v>
      </c>
      <c r="AA1059">
        <v>6.1</v>
      </c>
      <c r="AB1059">
        <v>2.2999999999999998</v>
      </c>
      <c r="AC1059">
        <v>22.3</v>
      </c>
      <c r="AD1059">
        <v>0.2</v>
      </c>
      <c r="AE1059">
        <f t="shared" si="612"/>
        <v>1.3357664233576643</v>
      </c>
      <c r="AF1059">
        <f t="shared" si="613"/>
        <v>0.30520072992700731</v>
      </c>
      <c r="AG1059" s="3">
        <v>14.3</v>
      </c>
      <c r="AH1059">
        <v>23.7</v>
      </c>
      <c r="AI1059" s="3">
        <v>61.2</v>
      </c>
    </row>
    <row r="1060" spans="1:40" x14ac:dyDescent="0.5">
      <c r="A1060">
        <v>60</v>
      </c>
      <c r="B1060">
        <v>170</v>
      </c>
      <c r="C1060">
        <v>0.1</v>
      </c>
      <c r="D1060">
        <v>200</v>
      </c>
      <c r="E1060">
        <v>4000</v>
      </c>
      <c r="F1060">
        <v>1300</v>
      </c>
      <c r="G1060" s="3">
        <f t="shared" si="631"/>
        <v>6.5</v>
      </c>
      <c r="O1060">
        <v>73.7</v>
      </c>
      <c r="P1060" s="3">
        <v>12.7</v>
      </c>
      <c r="Q1060">
        <v>43</v>
      </c>
      <c r="R1060">
        <v>5.9</v>
      </c>
      <c r="S1060">
        <v>6.4</v>
      </c>
      <c r="T1060">
        <v>40.799999999999997</v>
      </c>
      <c r="U1060">
        <v>0.3</v>
      </c>
      <c r="V1060">
        <f t="shared" si="632"/>
        <v>1.6465116279069767</v>
      </c>
      <c r="W1060">
        <f t="shared" si="633"/>
        <v>0.71162790697674416</v>
      </c>
      <c r="X1060">
        <v>13.6</v>
      </c>
      <c r="Y1060" s="3">
        <v>18.5</v>
      </c>
      <c r="Z1060">
        <v>46.3</v>
      </c>
      <c r="AA1060">
        <v>6.2</v>
      </c>
      <c r="AB1060">
        <v>6.6</v>
      </c>
      <c r="AC1060">
        <v>24</v>
      </c>
      <c r="AD1060">
        <v>0.5</v>
      </c>
      <c r="AE1060">
        <f t="shared" si="612"/>
        <v>1.6069114470842334</v>
      </c>
      <c r="AF1060">
        <f t="shared" si="613"/>
        <v>0.38876889848812096</v>
      </c>
      <c r="AG1060" s="3">
        <v>16.399999999999999</v>
      </c>
      <c r="AH1060">
        <v>20.6</v>
      </c>
      <c r="AI1060" s="3">
        <v>48.5</v>
      </c>
      <c r="AJ1060" s="2" t="s">
        <v>275</v>
      </c>
      <c r="AK1060" t="s">
        <v>67</v>
      </c>
      <c r="AL1060">
        <v>130</v>
      </c>
    </row>
    <row r="1061" spans="1:40" x14ac:dyDescent="0.5">
      <c r="A1061">
        <v>60</v>
      </c>
      <c r="B1061">
        <v>200</v>
      </c>
      <c r="C1061">
        <v>0.1</v>
      </c>
      <c r="D1061">
        <v>200</v>
      </c>
      <c r="E1061">
        <v>4000</v>
      </c>
      <c r="F1061">
        <v>1300</v>
      </c>
      <c r="G1061" s="3">
        <f t="shared" ref="G1061:G1063" si="634">F1061/D1061</f>
        <v>6.5</v>
      </c>
      <c r="O1061">
        <v>73.7</v>
      </c>
      <c r="P1061" s="3">
        <v>12.7</v>
      </c>
      <c r="Q1061">
        <v>43</v>
      </c>
      <c r="R1061">
        <v>5.9</v>
      </c>
      <c r="S1061">
        <v>6.4</v>
      </c>
      <c r="T1061">
        <v>40.799999999999997</v>
      </c>
      <c r="U1061">
        <v>0.3</v>
      </c>
      <c r="V1061">
        <f t="shared" ref="V1061:V1063" si="635">(R1061/1)/(Q1061/12)</f>
        <v>1.6465116279069767</v>
      </c>
      <c r="W1061">
        <f t="shared" ref="W1061:W1063" si="636">(T1061/16)/(Q1061/12)</f>
        <v>0.71162790697674416</v>
      </c>
      <c r="X1061">
        <v>13.6</v>
      </c>
      <c r="Y1061" s="3">
        <v>18.5</v>
      </c>
      <c r="Z1061">
        <v>49.4</v>
      </c>
      <c r="AA1061">
        <v>6</v>
      </c>
      <c r="AB1061">
        <v>6.4</v>
      </c>
      <c r="AC1061">
        <v>18.100000000000001</v>
      </c>
      <c r="AD1061">
        <v>0.4</v>
      </c>
      <c r="AE1061">
        <f t="shared" si="612"/>
        <v>1.4574898785425103</v>
      </c>
      <c r="AF1061">
        <f t="shared" si="613"/>
        <v>0.27479757085020245</v>
      </c>
      <c r="AG1061" s="3">
        <v>19.7</v>
      </c>
      <c r="AH1061">
        <v>21.9</v>
      </c>
      <c r="AI1061" s="3">
        <v>40.1</v>
      </c>
    </row>
    <row r="1062" spans="1:40" x14ac:dyDescent="0.5">
      <c r="A1062">
        <v>60</v>
      </c>
      <c r="B1062">
        <v>230</v>
      </c>
      <c r="C1062">
        <v>0.1</v>
      </c>
      <c r="D1062">
        <v>200</v>
      </c>
      <c r="E1062">
        <v>4000</v>
      </c>
      <c r="F1062">
        <v>1300</v>
      </c>
      <c r="G1062" s="3">
        <f t="shared" si="634"/>
        <v>6.5</v>
      </c>
      <c r="O1062">
        <v>73.7</v>
      </c>
      <c r="P1062" s="3">
        <v>12.7</v>
      </c>
      <c r="Q1062">
        <v>43</v>
      </c>
      <c r="R1062">
        <v>5.9</v>
      </c>
      <c r="S1062">
        <v>6.4</v>
      </c>
      <c r="T1062">
        <v>40.799999999999997</v>
      </c>
      <c r="U1062">
        <v>0.3</v>
      </c>
      <c r="V1062">
        <f t="shared" si="635"/>
        <v>1.6465116279069767</v>
      </c>
      <c r="W1062">
        <f t="shared" si="636"/>
        <v>0.71162790697674416</v>
      </c>
      <c r="X1062">
        <v>13.6</v>
      </c>
      <c r="Y1062" s="3">
        <v>18.5</v>
      </c>
      <c r="Z1062">
        <v>50.5</v>
      </c>
      <c r="AA1062">
        <v>5.6</v>
      </c>
      <c r="AB1062">
        <v>6.3</v>
      </c>
      <c r="AC1062">
        <v>8.4</v>
      </c>
      <c r="AD1062">
        <v>0.4</v>
      </c>
      <c r="AE1062">
        <f t="shared" si="612"/>
        <v>1.3306930693069308</v>
      </c>
      <c r="AF1062">
        <f t="shared" si="613"/>
        <v>0.12475247524752477</v>
      </c>
      <c r="AG1062" s="3">
        <v>28.8</v>
      </c>
      <c r="AH1062">
        <v>22.4</v>
      </c>
      <c r="AI1062" s="3">
        <v>29.7</v>
      </c>
    </row>
    <row r="1063" spans="1:40" x14ac:dyDescent="0.5">
      <c r="A1063">
        <v>30</v>
      </c>
      <c r="B1063">
        <v>180</v>
      </c>
      <c r="C1063">
        <v>0.1</v>
      </c>
      <c r="D1063">
        <v>40</v>
      </c>
      <c r="E1063">
        <v>500</v>
      </c>
      <c r="F1063">
        <v>200</v>
      </c>
      <c r="G1063" s="3">
        <f t="shared" si="634"/>
        <v>5</v>
      </c>
      <c r="O1063">
        <v>77.040000000000006</v>
      </c>
      <c r="P1063" s="3">
        <v>20.86</v>
      </c>
      <c r="Q1063">
        <v>46.56</v>
      </c>
      <c r="R1063">
        <v>4.99</v>
      </c>
      <c r="S1063">
        <v>3.91</v>
      </c>
      <c r="T1063">
        <v>41.8</v>
      </c>
      <c r="U1063">
        <v>0.62</v>
      </c>
      <c r="V1063">
        <f t="shared" si="635"/>
        <v>1.286082474226804</v>
      </c>
      <c r="W1063">
        <f t="shared" si="636"/>
        <v>0.67332474226804118</v>
      </c>
      <c r="X1063">
        <v>2.1</v>
      </c>
      <c r="Y1063" s="3">
        <v>17.77</v>
      </c>
      <c r="Z1063">
        <v>57.5</v>
      </c>
      <c r="AA1063">
        <v>5.33</v>
      </c>
      <c r="AB1063">
        <v>2.86</v>
      </c>
      <c r="AC1063">
        <v>32.369999999999997</v>
      </c>
      <c r="AD1063">
        <v>0.5</v>
      </c>
      <c r="AE1063">
        <f t="shared" si="612"/>
        <v>1.1123478260869564</v>
      </c>
      <c r="AF1063">
        <f t="shared" si="613"/>
        <v>0.42221739130434777</v>
      </c>
      <c r="AG1063" s="3">
        <v>1.44</v>
      </c>
      <c r="AH1063">
        <v>22.98</v>
      </c>
      <c r="AI1063" s="3">
        <v>51.9</v>
      </c>
      <c r="AJ1063" s="2" t="s">
        <v>276</v>
      </c>
      <c r="AK1063" t="s">
        <v>28</v>
      </c>
      <c r="AL1063">
        <v>131</v>
      </c>
    </row>
    <row r="1064" spans="1:40" x14ac:dyDescent="0.5">
      <c r="A1064">
        <v>30</v>
      </c>
      <c r="B1064">
        <v>200</v>
      </c>
      <c r="C1064">
        <v>0.1</v>
      </c>
      <c r="D1064">
        <v>40</v>
      </c>
      <c r="E1064">
        <v>500</v>
      </c>
      <c r="F1064">
        <v>200</v>
      </c>
      <c r="G1064" s="3">
        <f t="shared" ref="G1064:G1072" si="637">F1064/D1064</f>
        <v>5</v>
      </c>
      <c r="O1064">
        <v>77.040000000000006</v>
      </c>
      <c r="P1064" s="3">
        <v>20.86</v>
      </c>
      <c r="Q1064">
        <v>46.56</v>
      </c>
      <c r="R1064">
        <v>4.99</v>
      </c>
      <c r="S1064">
        <v>3.91</v>
      </c>
      <c r="T1064">
        <v>41.8</v>
      </c>
      <c r="U1064">
        <v>0.62</v>
      </c>
      <c r="V1064">
        <f t="shared" ref="V1064:V1066" si="638">(R1064/1)/(Q1064/12)</f>
        <v>1.286082474226804</v>
      </c>
      <c r="W1064">
        <f t="shared" ref="W1064:W1066" si="639">(T1064/16)/(Q1064/12)</f>
        <v>0.67332474226804118</v>
      </c>
      <c r="X1064">
        <v>2.1</v>
      </c>
      <c r="Y1064" s="3">
        <v>17.77</v>
      </c>
      <c r="Z1064">
        <v>60.7</v>
      </c>
      <c r="AA1064">
        <v>5.29</v>
      </c>
      <c r="AB1064">
        <v>2.54</v>
      </c>
      <c r="AC1064">
        <v>30.06</v>
      </c>
      <c r="AD1064">
        <v>0.43</v>
      </c>
      <c r="AE1064">
        <f t="shared" si="612"/>
        <v>1.0457990115321252</v>
      </c>
      <c r="AF1064">
        <f t="shared" si="613"/>
        <v>0.37141680395387144</v>
      </c>
      <c r="AG1064" s="3">
        <v>0.98</v>
      </c>
      <c r="AH1064">
        <v>24.3</v>
      </c>
      <c r="AI1064" s="3">
        <v>45.3</v>
      </c>
    </row>
    <row r="1065" spans="1:40" x14ac:dyDescent="0.5">
      <c r="A1065">
        <v>30</v>
      </c>
      <c r="B1065">
        <v>220</v>
      </c>
      <c r="C1065">
        <v>0.1</v>
      </c>
      <c r="D1065">
        <v>40</v>
      </c>
      <c r="E1065">
        <v>500</v>
      </c>
      <c r="F1065">
        <v>200</v>
      </c>
      <c r="G1065" s="3">
        <f t="shared" si="637"/>
        <v>5</v>
      </c>
      <c r="O1065">
        <v>77.040000000000006</v>
      </c>
      <c r="P1065" s="3">
        <v>20.86</v>
      </c>
      <c r="Q1065">
        <v>46.56</v>
      </c>
      <c r="R1065">
        <v>4.99</v>
      </c>
      <c r="S1065">
        <v>3.91</v>
      </c>
      <c r="T1065">
        <v>41.8</v>
      </c>
      <c r="U1065">
        <v>0.62</v>
      </c>
      <c r="V1065">
        <f t="shared" si="638"/>
        <v>1.286082474226804</v>
      </c>
      <c r="W1065">
        <f t="shared" si="639"/>
        <v>0.67332474226804118</v>
      </c>
      <c r="X1065">
        <v>2.1</v>
      </c>
      <c r="Y1065" s="3">
        <v>17.77</v>
      </c>
      <c r="Z1065">
        <v>62.8</v>
      </c>
      <c r="AA1065">
        <v>5.33</v>
      </c>
      <c r="AB1065">
        <v>2.95</v>
      </c>
      <c r="AC1065">
        <v>28.18</v>
      </c>
      <c r="AD1065">
        <v>0.42</v>
      </c>
      <c r="AE1065">
        <f t="shared" si="612"/>
        <v>1.0184713375796179</v>
      </c>
      <c r="AF1065">
        <f t="shared" si="613"/>
        <v>0.33654458598726111</v>
      </c>
      <c r="AG1065" s="3">
        <v>0.32</v>
      </c>
      <c r="AH1065">
        <v>25.28</v>
      </c>
      <c r="AI1065" s="3">
        <v>25.28</v>
      </c>
    </row>
    <row r="1066" spans="1:40" x14ac:dyDescent="0.5">
      <c r="A1066">
        <v>30</v>
      </c>
      <c r="B1066">
        <v>180</v>
      </c>
      <c r="C1066">
        <v>0.1</v>
      </c>
      <c r="D1066">
        <v>40</v>
      </c>
      <c r="E1066">
        <v>500</v>
      </c>
      <c r="F1066">
        <v>200</v>
      </c>
      <c r="G1066" s="3">
        <f t="shared" si="637"/>
        <v>5</v>
      </c>
      <c r="O1066">
        <v>87.31</v>
      </c>
      <c r="P1066" s="3">
        <v>10.32</v>
      </c>
      <c r="Q1066">
        <v>53.88</v>
      </c>
      <c r="R1066">
        <v>7.64</v>
      </c>
      <c r="S1066">
        <v>13.1</v>
      </c>
      <c r="T1066">
        <v>22.33</v>
      </c>
      <c r="U1066">
        <v>0.68</v>
      </c>
      <c r="V1066">
        <f t="shared" si="638"/>
        <v>1.7015590200445432</v>
      </c>
      <c r="W1066">
        <f t="shared" si="639"/>
        <v>0.3108296213808463</v>
      </c>
      <c r="X1066">
        <v>2.37</v>
      </c>
      <c r="Y1066" s="3">
        <v>25.32</v>
      </c>
      <c r="Z1066">
        <v>58.4</v>
      </c>
      <c r="AA1066">
        <v>8.2200000000000006</v>
      </c>
      <c r="AB1066">
        <v>11</v>
      </c>
      <c r="AC1066">
        <v>21.77</v>
      </c>
      <c r="AD1066">
        <v>0.51</v>
      </c>
      <c r="AE1066">
        <f t="shared" si="612"/>
        <v>1.6890410958904112</v>
      </c>
      <c r="AF1066">
        <f t="shared" si="613"/>
        <v>0.27958047945205483</v>
      </c>
      <c r="AG1066" s="3">
        <v>0.1</v>
      </c>
      <c r="AH1066">
        <v>27.71</v>
      </c>
      <c r="AI1066" s="3">
        <v>22.5</v>
      </c>
    </row>
    <row r="1067" spans="1:40" x14ac:dyDescent="0.5">
      <c r="A1067">
        <v>30</v>
      </c>
      <c r="B1067">
        <v>200</v>
      </c>
      <c r="C1067">
        <v>0.1</v>
      </c>
      <c r="D1067">
        <v>40</v>
      </c>
      <c r="E1067">
        <v>500</v>
      </c>
      <c r="F1067">
        <v>200</v>
      </c>
      <c r="G1067" s="3">
        <f t="shared" si="637"/>
        <v>5</v>
      </c>
      <c r="O1067">
        <v>87.31</v>
      </c>
      <c r="P1067" s="3">
        <v>10.32</v>
      </c>
      <c r="Q1067">
        <v>53.88</v>
      </c>
      <c r="R1067">
        <v>7.64</v>
      </c>
      <c r="S1067">
        <v>13.1</v>
      </c>
      <c r="T1067">
        <v>22.33</v>
      </c>
      <c r="U1067">
        <v>0.68</v>
      </c>
      <c r="V1067">
        <f t="shared" ref="V1067:V1069" si="640">(R1067/1)/(Q1067/12)</f>
        <v>1.7015590200445432</v>
      </c>
      <c r="W1067">
        <f t="shared" ref="W1067:W1069" si="641">(T1067/16)/(Q1067/12)</f>
        <v>0.3108296213808463</v>
      </c>
      <c r="X1067">
        <v>2.37</v>
      </c>
      <c r="Y1067" s="3">
        <v>25.32</v>
      </c>
      <c r="Z1067">
        <v>61.4</v>
      </c>
      <c r="AA1067">
        <v>8.6999999999999993</v>
      </c>
      <c r="AB1067">
        <v>9.34</v>
      </c>
      <c r="AC1067">
        <v>19.690000000000001</v>
      </c>
      <c r="AD1067">
        <v>0.42</v>
      </c>
      <c r="AE1067">
        <f t="shared" si="612"/>
        <v>1.7003257328990229</v>
      </c>
      <c r="AF1067">
        <f t="shared" si="613"/>
        <v>0.24051302931596094</v>
      </c>
      <c r="AG1067" s="3">
        <v>0.45</v>
      </c>
      <c r="AH1067">
        <v>29.54</v>
      </c>
      <c r="AI1067" s="3">
        <v>8</v>
      </c>
    </row>
    <row r="1068" spans="1:40" x14ac:dyDescent="0.5">
      <c r="A1068">
        <v>30</v>
      </c>
      <c r="B1068">
        <v>220</v>
      </c>
      <c r="C1068">
        <v>0.1</v>
      </c>
      <c r="D1068">
        <v>40</v>
      </c>
      <c r="E1068">
        <v>500</v>
      </c>
      <c r="F1068">
        <v>200</v>
      </c>
      <c r="G1068" s="3">
        <f t="shared" si="637"/>
        <v>5</v>
      </c>
      <c r="O1068">
        <v>87.31</v>
      </c>
      <c r="P1068" s="3">
        <v>10.32</v>
      </c>
      <c r="Q1068">
        <v>53.88</v>
      </c>
      <c r="R1068">
        <v>7.64</v>
      </c>
      <c r="S1068">
        <v>13.1</v>
      </c>
      <c r="T1068">
        <v>22.33</v>
      </c>
      <c r="U1068">
        <v>0.68</v>
      </c>
      <c r="V1068">
        <f t="shared" si="640"/>
        <v>1.7015590200445432</v>
      </c>
      <c r="W1068">
        <f t="shared" si="641"/>
        <v>0.3108296213808463</v>
      </c>
      <c r="X1068">
        <v>2.37</v>
      </c>
      <c r="Y1068" s="3">
        <v>25.32</v>
      </c>
      <c r="Z1068">
        <v>66.099999999999994</v>
      </c>
      <c r="AA1068">
        <v>9.9</v>
      </c>
      <c r="AB1068">
        <v>6.46</v>
      </c>
      <c r="AC1068">
        <v>16.22</v>
      </c>
      <c r="AD1068">
        <v>0.3</v>
      </c>
      <c r="AE1068">
        <f t="shared" si="612"/>
        <v>1.7972768532526477</v>
      </c>
      <c r="AF1068">
        <f t="shared" si="613"/>
        <v>0.1840393343419062</v>
      </c>
      <c r="AG1068" s="3">
        <v>1.02</v>
      </c>
      <c r="AH1068">
        <v>32.97</v>
      </c>
      <c r="AI1068" s="3">
        <v>4.0999999999999996</v>
      </c>
    </row>
    <row r="1069" spans="1:40" x14ac:dyDescent="0.5">
      <c r="A1069">
        <v>30</v>
      </c>
      <c r="B1069">
        <v>180</v>
      </c>
      <c r="C1069">
        <v>0.1</v>
      </c>
      <c r="D1069">
        <v>40</v>
      </c>
      <c r="E1069">
        <v>500</v>
      </c>
      <c r="F1069">
        <v>200</v>
      </c>
      <c r="G1069" s="3">
        <f t="shared" si="637"/>
        <v>5</v>
      </c>
      <c r="O1069">
        <v>86.25</v>
      </c>
      <c r="P1069" s="3">
        <v>13.46</v>
      </c>
      <c r="Q1069">
        <v>44.33</v>
      </c>
      <c r="R1069">
        <v>6.49</v>
      </c>
      <c r="S1069">
        <v>1.2</v>
      </c>
      <c r="T1069">
        <v>46.88</v>
      </c>
      <c r="U1069">
        <v>0.81</v>
      </c>
      <c r="V1069">
        <f t="shared" si="640"/>
        <v>1.7568238213399505</v>
      </c>
      <c r="W1069">
        <f t="shared" si="641"/>
        <v>0.79314234152943841</v>
      </c>
      <c r="X1069">
        <v>0.28999999999999998</v>
      </c>
      <c r="Y1069" s="3">
        <v>18.329999999999998</v>
      </c>
      <c r="Z1069">
        <v>46.8</v>
      </c>
      <c r="AA1069">
        <v>6.21</v>
      </c>
      <c r="AB1069">
        <v>2.35</v>
      </c>
      <c r="AC1069">
        <v>43.78</v>
      </c>
      <c r="AD1069">
        <v>0.6</v>
      </c>
      <c r="AE1069">
        <f t="shared" si="612"/>
        <v>1.5923076923076924</v>
      </c>
      <c r="AF1069">
        <f t="shared" si="613"/>
        <v>0.70160256410256416</v>
      </c>
      <c r="AG1069" s="3">
        <v>15.1</v>
      </c>
      <c r="AH1069">
        <v>15.1</v>
      </c>
      <c r="AI1069" s="3">
        <v>19.149999999999999</v>
      </c>
    </row>
    <row r="1070" spans="1:40" x14ac:dyDescent="0.5">
      <c r="A1070">
        <v>30</v>
      </c>
      <c r="B1070">
        <v>200</v>
      </c>
      <c r="C1070">
        <v>0.1</v>
      </c>
      <c r="D1070">
        <v>40</v>
      </c>
      <c r="E1070">
        <v>500</v>
      </c>
      <c r="F1070">
        <v>200</v>
      </c>
      <c r="G1070" s="3">
        <f t="shared" si="637"/>
        <v>5</v>
      </c>
      <c r="O1070">
        <v>86.25</v>
      </c>
      <c r="P1070" s="3">
        <v>13.46</v>
      </c>
      <c r="Q1070">
        <v>44.33</v>
      </c>
      <c r="R1070">
        <v>6.49</v>
      </c>
      <c r="S1070">
        <v>1.2</v>
      </c>
      <c r="T1070">
        <v>46.88</v>
      </c>
      <c r="U1070">
        <v>0.81</v>
      </c>
      <c r="V1070">
        <f t="shared" ref="V1070:V1072" si="642">(R1070/1)/(Q1070/12)</f>
        <v>1.7568238213399505</v>
      </c>
      <c r="W1070">
        <f t="shared" ref="W1070:W1072" si="643">(T1070/16)/(Q1070/12)</f>
        <v>0.79314234152943841</v>
      </c>
      <c r="X1070">
        <v>0.28999999999999998</v>
      </c>
      <c r="Y1070" s="3">
        <v>18.329999999999998</v>
      </c>
      <c r="Z1070">
        <v>58.6</v>
      </c>
      <c r="AA1070">
        <v>5.72</v>
      </c>
      <c r="AB1070">
        <v>4.2699999999999996</v>
      </c>
      <c r="AC1070">
        <v>30.68</v>
      </c>
      <c r="AD1070">
        <v>0.57999999999999996</v>
      </c>
      <c r="AE1070">
        <f t="shared" si="612"/>
        <v>1.1713310580204777</v>
      </c>
      <c r="AF1070">
        <f t="shared" si="613"/>
        <v>0.39266211604095558</v>
      </c>
      <c r="AG1070" s="3">
        <v>11.2</v>
      </c>
      <c r="AH1070">
        <v>11.2</v>
      </c>
      <c r="AI1070" s="3">
        <v>24.02</v>
      </c>
    </row>
    <row r="1071" spans="1:40" x14ac:dyDescent="0.5">
      <c r="A1071">
        <v>30</v>
      </c>
      <c r="B1071">
        <v>220</v>
      </c>
      <c r="C1071">
        <v>0.1</v>
      </c>
      <c r="D1071">
        <v>40</v>
      </c>
      <c r="E1071">
        <v>500</v>
      </c>
      <c r="F1071">
        <v>200</v>
      </c>
      <c r="G1071" s="3">
        <f t="shared" si="637"/>
        <v>5</v>
      </c>
      <c r="O1071">
        <v>86.25</v>
      </c>
      <c r="P1071" s="3">
        <v>13.46</v>
      </c>
      <c r="Q1071">
        <v>44.33</v>
      </c>
      <c r="R1071">
        <v>6.49</v>
      </c>
      <c r="S1071">
        <v>1.2</v>
      </c>
      <c r="T1071">
        <v>46.88</v>
      </c>
      <c r="U1071">
        <v>0.81</v>
      </c>
      <c r="V1071">
        <f t="shared" si="642"/>
        <v>1.7568238213399505</v>
      </c>
      <c r="W1071">
        <f t="shared" si="643"/>
        <v>0.79314234152943841</v>
      </c>
      <c r="X1071">
        <v>0.28999999999999998</v>
      </c>
      <c r="Y1071" s="3">
        <v>18.329999999999998</v>
      </c>
      <c r="Z1071">
        <v>65.599999999999994</v>
      </c>
      <c r="AA1071">
        <v>4.9000000000000004</v>
      </c>
      <c r="AB1071">
        <v>2.0299999999999998</v>
      </c>
      <c r="AC1071">
        <v>26.4</v>
      </c>
      <c r="AD1071">
        <v>0.55000000000000004</v>
      </c>
      <c r="AE1071">
        <f t="shared" si="612"/>
        <v>0.89634146341463439</v>
      </c>
      <c r="AF1071">
        <f t="shared" si="613"/>
        <v>0.30182926829268297</v>
      </c>
      <c r="AG1071" s="3">
        <v>36.4</v>
      </c>
      <c r="AH1071">
        <v>36.4</v>
      </c>
      <c r="AI1071" s="3">
        <v>25.96</v>
      </c>
    </row>
    <row r="1072" spans="1:40" x14ac:dyDescent="0.5">
      <c r="A1072">
        <v>240</v>
      </c>
      <c r="B1072">
        <v>180</v>
      </c>
      <c r="C1072">
        <v>0.1</v>
      </c>
      <c r="D1072">
        <v>20</v>
      </c>
      <c r="E1072">
        <v>600</v>
      </c>
      <c r="F1072">
        <v>160</v>
      </c>
      <c r="G1072" s="3">
        <f t="shared" si="637"/>
        <v>8</v>
      </c>
      <c r="K1072">
        <v>38.799999999999997</v>
      </c>
      <c r="L1072">
        <v>23.8</v>
      </c>
      <c r="M1072">
        <v>22.7</v>
      </c>
      <c r="N1072">
        <v>5.2</v>
      </c>
      <c r="O1072">
        <v>86.7</v>
      </c>
      <c r="P1072" s="3">
        <v>2.6</v>
      </c>
      <c r="Q1072">
        <v>48.6</v>
      </c>
      <c r="R1072">
        <v>4.9000000000000004</v>
      </c>
      <c r="S1072">
        <v>1.1000000000000001</v>
      </c>
      <c r="T1072">
        <v>39.9</v>
      </c>
      <c r="U1072">
        <v>0</v>
      </c>
      <c r="V1072">
        <f t="shared" si="642"/>
        <v>1.2098765432098766</v>
      </c>
      <c r="W1072">
        <f t="shared" si="643"/>
        <v>0.6157407407407407</v>
      </c>
      <c r="X1072">
        <v>5.6</v>
      </c>
      <c r="Y1072" s="3">
        <f>(0.338*Q1072)+1.428*(R1072-(T1072/8))</f>
        <v>16.301850000000002</v>
      </c>
      <c r="Z1072">
        <v>53.2</v>
      </c>
      <c r="AA1072">
        <v>5.2</v>
      </c>
      <c r="AB1072">
        <v>1.3</v>
      </c>
      <c r="AC1072">
        <v>32.9</v>
      </c>
      <c r="AD1072">
        <v>0</v>
      </c>
      <c r="AE1072">
        <f t="shared" si="612"/>
        <v>1.1729323308270676</v>
      </c>
      <c r="AF1072">
        <f t="shared" si="613"/>
        <v>0.46381578947368418</v>
      </c>
      <c r="AG1072" s="3">
        <v>8.1</v>
      </c>
      <c r="AH1072">
        <f>(0.338*Z1072)+1.428*(AA1072-(AC1072/8))</f>
        <v>19.534550000000003</v>
      </c>
      <c r="AI1072" s="3">
        <v>60.5</v>
      </c>
      <c r="AJ1072" s="2" t="s">
        <v>277</v>
      </c>
      <c r="AK1072" t="s">
        <v>278</v>
      </c>
      <c r="AL1072">
        <v>132</v>
      </c>
      <c r="AN1072" t="s">
        <v>279</v>
      </c>
    </row>
    <row r="1073" spans="1:40" x14ac:dyDescent="0.5">
      <c r="A1073">
        <v>240</v>
      </c>
      <c r="B1073">
        <v>240</v>
      </c>
      <c r="C1073">
        <v>0.1</v>
      </c>
      <c r="D1073">
        <v>20</v>
      </c>
      <c r="E1073">
        <v>600</v>
      </c>
      <c r="F1073">
        <v>160</v>
      </c>
      <c r="G1073" s="3">
        <f t="shared" ref="G1073:G1075" si="644">F1073/D1073</f>
        <v>8</v>
      </c>
      <c r="K1073">
        <v>38.799999999999997</v>
      </c>
      <c r="L1073">
        <v>23.8</v>
      </c>
      <c r="M1073">
        <v>22.7</v>
      </c>
      <c r="N1073">
        <v>5.2</v>
      </c>
      <c r="O1073">
        <v>86.7</v>
      </c>
      <c r="P1073" s="3">
        <v>2.6</v>
      </c>
      <c r="Q1073">
        <v>48.6</v>
      </c>
      <c r="R1073">
        <v>4.9000000000000004</v>
      </c>
      <c r="S1073">
        <v>1.1000000000000001</v>
      </c>
      <c r="T1073">
        <v>39.9</v>
      </c>
      <c r="U1073">
        <v>0</v>
      </c>
      <c r="V1073">
        <f t="shared" ref="V1073:V1075" si="645">(R1073/1)/(Q1073/12)</f>
        <v>1.2098765432098766</v>
      </c>
      <c r="W1073">
        <f t="shared" ref="W1073:W1075" si="646">(T1073/16)/(Q1073/12)</f>
        <v>0.6157407407407407</v>
      </c>
      <c r="X1073">
        <v>5.6</v>
      </c>
      <c r="Y1073" s="3">
        <f t="shared" ref="Y1073:Y1083" si="647">(0.338*Q1073)+1.428*(R1073-(T1073/8))</f>
        <v>16.301850000000002</v>
      </c>
      <c r="Z1073">
        <v>68.099999999999994</v>
      </c>
      <c r="AA1073">
        <v>5.5</v>
      </c>
      <c r="AB1073">
        <v>2.1</v>
      </c>
      <c r="AC1073">
        <v>18.5</v>
      </c>
      <c r="AD1073">
        <v>0</v>
      </c>
      <c r="AE1073">
        <f t="shared" si="612"/>
        <v>0.96916299559471364</v>
      </c>
      <c r="AF1073">
        <f t="shared" si="613"/>
        <v>0.20374449339207049</v>
      </c>
      <c r="AG1073" s="3">
        <v>5.6</v>
      </c>
      <c r="AH1073">
        <f t="shared" ref="AH1073:AH1083" si="648">(0.338*Z1073)+1.428*(AA1073-(AC1073/8))</f>
        <v>27.56955</v>
      </c>
      <c r="AI1073" s="3">
        <v>42.5</v>
      </c>
    </row>
    <row r="1074" spans="1:40" x14ac:dyDescent="0.5">
      <c r="A1074">
        <v>240</v>
      </c>
      <c r="B1074">
        <v>300</v>
      </c>
      <c r="C1074">
        <v>0.1</v>
      </c>
      <c r="D1074">
        <v>20</v>
      </c>
      <c r="E1074">
        <v>600</v>
      </c>
      <c r="F1074">
        <v>160</v>
      </c>
      <c r="G1074" s="3">
        <f t="shared" si="644"/>
        <v>8</v>
      </c>
      <c r="K1074">
        <v>38.799999999999997</v>
      </c>
      <c r="L1074">
        <v>23.8</v>
      </c>
      <c r="M1074">
        <v>22.7</v>
      </c>
      <c r="N1074">
        <v>5.2</v>
      </c>
      <c r="O1074">
        <v>86.7</v>
      </c>
      <c r="P1074" s="3">
        <v>2.6</v>
      </c>
      <c r="Q1074">
        <v>48.6</v>
      </c>
      <c r="R1074">
        <v>4.9000000000000004</v>
      </c>
      <c r="S1074">
        <v>1.1000000000000001</v>
      </c>
      <c r="T1074">
        <v>39.9</v>
      </c>
      <c r="U1074">
        <v>0</v>
      </c>
      <c r="V1074">
        <f t="shared" si="645"/>
        <v>1.2098765432098766</v>
      </c>
      <c r="W1074">
        <f t="shared" si="646"/>
        <v>0.6157407407407407</v>
      </c>
      <c r="X1074">
        <v>5.6</v>
      </c>
      <c r="Y1074" s="3">
        <f t="shared" si="647"/>
        <v>16.301850000000002</v>
      </c>
      <c r="Z1074">
        <v>72</v>
      </c>
      <c r="AA1074">
        <v>5.0999999999999996</v>
      </c>
      <c r="AB1074">
        <v>2.1</v>
      </c>
      <c r="AC1074">
        <v>13.9</v>
      </c>
      <c r="AD1074">
        <v>0</v>
      </c>
      <c r="AE1074">
        <f t="shared" si="612"/>
        <v>0.85</v>
      </c>
      <c r="AF1074">
        <f t="shared" si="613"/>
        <v>0.14479166666666668</v>
      </c>
      <c r="AG1074" s="3">
        <v>7.2</v>
      </c>
      <c r="AH1074">
        <f t="shared" si="648"/>
        <v>29.137650000000001</v>
      </c>
      <c r="AI1074" s="3">
        <v>25.5</v>
      </c>
    </row>
    <row r="1075" spans="1:40" x14ac:dyDescent="0.5">
      <c r="A1075">
        <v>240</v>
      </c>
      <c r="B1075">
        <v>180</v>
      </c>
      <c r="C1075">
        <v>0.1</v>
      </c>
      <c r="D1075">
        <v>20</v>
      </c>
      <c r="E1075">
        <v>600</v>
      </c>
      <c r="F1075">
        <v>160</v>
      </c>
      <c r="G1075" s="3">
        <f t="shared" si="644"/>
        <v>8</v>
      </c>
      <c r="K1075">
        <v>10.199999999999999</v>
      </c>
      <c r="L1075">
        <v>22.9</v>
      </c>
      <c r="M1075">
        <v>9.4</v>
      </c>
      <c r="N1075">
        <v>4.4000000000000004</v>
      </c>
      <c r="O1075">
        <v>37.799999999999997</v>
      </c>
      <c r="P1075" s="3">
        <v>10.8</v>
      </c>
      <c r="Q1075">
        <v>21</v>
      </c>
      <c r="R1075">
        <v>1.8</v>
      </c>
      <c r="S1075">
        <v>1.5</v>
      </c>
      <c r="T1075">
        <v>28.6</v>
      </c>
      <c r="U1075">
        <v>0</v>
      </c>
      <c r="V1075">
        <f t="shared" si="645"/>
        <v>1.0285714285714287</v>
      </c>
      <c r="W1075">
        <f t="shared" si="646"/>
        <v>1.0214285714285716</v>
      </c>
      <c r="X1075">
        <v>47.1</v>
      </c>
      <c r="Y1075" s="3">
        <f t="shared" si="647"/>
        <v>4.5633000000000008</v>
      </c>
      <c r="Z1075">
        <v>21.3</v>
      </c>
      <c r="AA1075">
        <v>2.2000000000000002</v>
      </c>
      <c r="AB1075">
        <v>1.5</v>
      </c>
      <c r="AC1075">
        <v>7</v>
      </c>
      <c r="AD1075">
        <v>0</v>
      </c>
      <c r="AE1075">
        <f t="shared" si="612"/>
        <v>1.2394366197183098</v>
      </c>
      <c r="AF1075">
        <f t="shared" si="613"/>
        <v>0.2464788732394366</v>
      </c>
      <c r="AG1075" s="3">
        <v>63.8</v>
      </c>
      <c r="AH1075">
        <f t="shared" si="648"/>
        <v>9.0914999999999999</v>
      </c>
      <c r="AI1075" s="3">
        <v>67.5</v>
      </c>
    </row>
    <row r="1076" spans="1:40" x14ac:dyDescent="0.5">
      <c r="A1076">
        <v>240</v>
      </c>
      <c r="B1076">
        <v>240</v>
      </c>
      <c r="C1076">
        <v>0.1</v>
      </c>
      <c r="D1076">
        <v>20</v>
      </c>
      <c r="E1076">
        <v>600</v>
      </c>
      <c r="F1076">
        <v>160</v>
      </c>
      <c r="G1076" s="3">
        <f t="shared" ref="G1076:G1081" si="649">F1076/D1076</f>
        <v>8</v>
      </c>
      <c r="K1076">
        <v>10.199999999999999</v>
      </c>
      <c r="L1076">
        <v>22.9</v>
      </c>
      <c r="M1076">
        <v>9.4</v>
      </c>
      <c r="N1076">
        <v>4.4000000000000004</v>
      </c>
      <c r="O1076">
        <v>37.799999999999997</v>
      </c>
      <c r="P1076" s="3">
        <v>10.8</v>
      </c>
      <c r="Q1076">
        <v>21</v>
      </c>
      <c r="R1076">
        <v>1.8</v>
      </c>
      <c r="S1076">
        <v>1.5</v>
      </c>
      <c r="T1076">
        <v>28.6</v>
      </c>
      <c r="U1076">
        <v>0</v>
      </c>
      <c r="V1076">
        <f t="shared" ref="V1076:V1078" si="650">(R1076/1)/(Q1076/12)</f>
        <v>1.0285714285714287</v>
      </c>
      <c r="W1076">
        <f t="shared" ref="W1076:W1078" si="651">(T1076/16)/(Q1076/12)</f>
        <v>1.0214285714285716</v>
      </c>
      <c r="X1076">
        <v>47.1</v>
      </c>
      <c r="Y1076" s="3">
        <f t="shared" si="647"/>
        <v>4.5633000000000008</v>
      </c>
      <c r="Z1076">
        <v>19.8</v>
      </c>
      <c r="AA1076">
        <v>1.6</v>
      </c>
      <c r="AB1076">
        <v>1.7</v>
      </c>
      <c r="AC1076">
        <v>3.9</v>
      </c>
      <c r="AD1076">
        <v>0</v>
      </c>
      <c r="AE1076">
        <f t="shared" si="612"/>
        <v>0.96969696969696972</v>
      </c>
      <c r="AF1076">
        <f t="shared" si="613"/>
        <v>0.14772727272727271</v>
      </c>
      <c r="AG1076" s="3">
        <v>73.2</v>
      </c>
      <c r="AH1076">
        <f t="shared" si="648"/>
        <v>8.2810500000000005</v>
      </c>
      <c r="AI1076" s="3">
        <v>58.5</v>
      </c>
    </row>
    <row r="1077" spans="1:40" x14ac:dyDescent="0.5">
      <c r="A1077">
        <v>240</v>
      </c>
      <c r="B1077">
        <v>300</v>
      </c>
      <c r="C1077">
        <v>0.1</v>
      </c>
      <c r="D1077">
        <v>20</v>
      </c>
      <c r="E1077">
        <v>600</v>
      </c>
      <c r="F1077">
        <v>160</v>
      </c>
      <c r="G1077" s="3">
        <f t="shared" si="649"/>
        <v>8</v>
      </c>
      <c r="K1077">
        <v>10.199999999999999</v>
      </c>
      <c r="L1077">
        <v>22.9</v>
      </c>
      <c r="M1077">
        <v>9.4</v>
      </c>
      <c r="N1077">
        <v>4.4000000000000004</v>
      </c>
      <c r="O1077">
        <v>37.799999999999997</v>
      </c>
      <c r="P1077" s="3">
        <v>10.8</v>
      </c>
      <c r="Q1077">
        <v>21</v>
      </c>
      <c r="R1077">
        <v>1.8</v>
      </c>
      <c r="S1077">
        <v>1.5</v>
      </c>
      <c r="T1077">
        <v>28.6</v>
      </c>
      <c r="U1077">
        <v>0</v>
      </c>
      <c r="V1077">
        <f t="shared" si="650"/>
        <v>1.0285714285714287</v>
      </c>
      <c r="W1077">
        <f t="shared" si="651"/>
        <v>1.0214285714285716</v>
      </c>
      <c r="X1077">
        <v>47.1</v>
      </c>
      <c r="Y1077" s="3">
        <f t="shared" si="647"/>
        <v>4.5633000000000008</v>
      </c>
      <c r="Z1077">
        <v>17</v>
      </c>
      <c r="AA1077">
        <v>1.4</v>
      </c>
      <c r="AB1077">
        <v>1.3</v>
      </c>
      <c r="AC1077">
        <v>4.2</v>
      </c>
      <c r="AD1077">
        <v>0</v>
      </c>
      <c r="AE1077">
        <f t="shared" si="612"/>
        <v>0.98823529411764699</v>
      </c>
      <c r="AF1077">
        <f t="shared" si="613"/>
        <v>0.18529411764705883</v>
      </c>
      <c r="AG1077" s="3">
        <v>77.3</v>
      </c>
      <c r="AH1077">
        <f t="shared" si="648"/>
        <v>6.9954999999999998</v>
      </c>
      <c r="AI1077" s="3">
        <v>60</v>
      </c>
    </row>
    <row r="1078" spans="1:40" x14ac:dyDescent="0.5">
      <c r="A1078">
        <v>240</v>
      </c>
      <c r="B1078">
        <v>180</v>
      </c>
      <c r="C1078">
        <v>0.1</v>
      </c>
      <c r="D1078">
        <v>20</v>
      </c>
      <c r="E1078">
        <v>600</v>
      </c>
      <c r="F1078">
        <v>160</v>
      </c>
      <c r="G1078" s="3">
        <f t="shared" si="649"/>
        <v>8</v>
      </c>
      <c r="K1078">
        <v>61</v>
      </c>
      <c r="L1078">
        <v>8.1999999999999993</v>
      </c>
      <c r="M1078">
        <v>18.8</v>
      </c>
      <c r="N1078">
        <v>5</v>
      </c>
      <c r="O1078">
        <v>94.1</v>
      </c>
      <c r="P1078" s="3">
        <v>0.1</v>
      </c>
      <c r="Q1078">
        <v>53.7</v>
      </c>
      <c r="R1078">
        <v>5.4</v>
      </c>
      <c r="S1078">
        <v>0.2</v>
      </c>
      <c r="T1078">
        <v>40</v>
      </c>
      <c r="U1078">
        <v>0</v>
      </c>
      <c r="V1078">
        <f t="shared" si="650"/>
        <v>1.206703910614525</v>
      </c>
      <c r="W1078">
        <f t="shared" si="651"/>
        <v>0.55865921787709494</v>
      </c>
      <c r="X1078">
        <v>0.8</v>
      </c>
      <c r="Y1078" s="3">
        <f t="shared" si="647"/>
        <v>18.721800000000002</v>
      </c>
      <c r="Z1078">
        <v>66.599999999999994</v>
      </c>
      <c r="AA1078">
        <v>4.5999999999999996</v>
      </c>
      <c r="AB1078">
        <v>0.2</v>
      </c>
      <c r="AC1078">
        <v>28.2</v>
      </c>
      <c r="AD1078">
        <v>0</v>
      </c>
      <c r="AE1078">
        <f t="shared" si="612"/>
        <v>0.8288288288288288</v>
      </c>
      <c r="AF1078">
        <f t="shared" si="613"/>
        <v>0.31756756756756754</v>
      </c>
      <c r="AG1078" s="3">
        <v>0.4</v>
      </c>
      <c r="AH1078">
        <f t="shared" si="648"/>
        <v>24.0459</v>
      </c>
      <c r="AI1078" s="3">
        <v>72</v>
      </c>
    </row>
    <row r="1079" spans="1:40" x14ac:dyDescent="0.5">
      <c r="A1079">
        <v>240</v>
      </c>
      <c r="B1079">
        <v>240</v>
      </c>
      <c r="C1079">
        <v>0.1</v>
      </c>
      <c r="D1079">
        <v>20</v>
      </c>
      <c r="E1079">
        <v>600</v>
      </c>
      <c r="F1079">
        <v>160</v>
      </c>
      <c r="G1079" s="3">
        <f t="shared" si="649"/>
        <v>8</v>
      </c>
      <c r="K1079">
        <v>61</v>
      </c>
      <c r="L1079">
        <v>8.1999999999999993</v>
      </c>
      <c r="M1079">
        <v>18.8</v>
      </c>
      <c r="N1079">
        <v>5</v>
      </c>
      <c r="O1079">
        <v>94.1</v>
      </c>
      <c r="P1079" s="3">
        <v>0.1</v>
      </c>
      <c r="Q1079">
        <v>53.7</v>
      </c>
      <c r="R1079">
        <v>5.4</v>
      </c>
      <c r="S1079">
        <v>0.2</v>
      </c>
      <c r="T1079">
        <v>40</v>
      </c>
      <c r="U1079">
        <v>0</v>
      </c>
      <c r="V1079">
        <f t="shared" ref="V1079:V1081" si="652">(R1079/1)/(Q1079/12)</f>
        <v>1.206703910614525</v>
      </c>
      <c r="W1079">
        <f t="shared" ref="W1079:W1081" si="653">(T1079/16)/(Q1079/12)</f>
        <v>0.55865921787709494</v>
      </c>
      <c r="X1079">
        <v>0.8</v>
      </c>
      <c r="Y1079" s="3">
        <f t="shared" si="647"/>
        <v>18.721800000000002</v>
      </c>
      <c r="Z1079">
        <v>71.7</v>
      </c>
      <c r="AA1079">
        <v>4.5999999999999996</v>
      </c>
      <c r="AB1079">
        <v>0.1</v>
      </c>
      <c r="AC1079">
        <v>23.5</v>
      </c>
      <c r="AD1079">
        <v>0</v>
      </c>
      <c r="AE1079">
        <f t="shared" si="612"/>
        <v>0.7698744769874476</v>
      </c>
      <c r="AF1079">
        <f t="shared" si="613"/>
        <v>0.24581589958158995</v>
      </c>
      <c r="AG1079" s="3">
        <v>0</v>
      </c>
      <c r="AH1079">
        <f t="shared" si="648"/>
        <v>26.608650000000004</v>
      </c>
      <c r="AI1079" s="3">
        <v>54.5</v>
      </c>
    </row>
    <row r="1080" spans="1:40" x14ac:dyDescent="0.5">
      <c r="A1080">
        <v>240</v>
      </c>
      <c r="B1080">
        <v>300</v>
      </c>
      <c r="C1080">
        <v>0.1</v>
      </c>
      <c r="D1080">
        <v>20</v>
      </c>
      <c r="E1080">
        <v>600</v>
      </c>
      <c r="F1080">
        <v>160</v>
      </c>
      <c r="G1080" s="3">
        <f t="shared" si="649"/>
        <v>8</v>
      </c>
      <c r="K1080">
        <v>61</v>
      </c>
      <c r="L1080">
        <v>8.1999999999999993</v>
      </c>
      <c r="M1080">
        <v>18.8</v>
      </c>
      <c r="N1080">
        <v>5</v>
      </c>
      <c r="O1080">
        <v>94.1</v>
      </c>
      <c r="P1080" s="3">
        <v>0.1</v>
      </c>
      <c r="Q1080">
        <v>53.7</v>
      </c>
      <c r="R1080">
        <v>5.4</v>
      </c>
      <c r="S1080">
        <v>0.2</v>
      </c>
      <c r="T1080">
        <v>40</v>
      </c>
      <c r="U1080">
        <v>0</v>
      </c>
      <c r="V1080">
        <f t="shared" si="652"/>
        <v>1.206703910614525</v>
      </c>
      <c r="W1080">
        <f t="shared" si="653"/>
        <v>0.55865921787709494</v>
      </c>
      <c r="X1080">
        <v>0.8</v>
      </c>
      <c r="Y1080" s="3">
        <f t="shared" si="647"/>
        <v>18.721800000000002</v>
      </c>
      <c r="Z1080">
        <v>75.400000000000006</v>
      </c>
      <c r="AA1080">
        <v>4.0999999999999996</v>
      </c>
      <c r="AB1080">
        <v>0.2</v>
      </c>
      <c r="AC1080">
        <v>20.100000000000001</v>
      </c>
      <c r="AD1080">
        <v>0</v>
      </c>
      <c r="AE1080">
        <f t="shared" si="612"/>
        <v>0.65251989389920406</v>
      </c>
      <c r="AF1080">
        <f t="shared" si="613"/>
        <v>0.19993368700265252</v>
      </c>
      <c r="AG1080" s="3">
        <v>0.2</v>
      </c>
      <c r="AH1080">
        <f t="shared" si="648"/>
        <v>27.75215</v>
      </c>
      <c r="AI1080" s="3">
        <v>43</v>
      </c>
    </row>
    <row r="1081" spans="1:40" x14ac:dyDescent="0.5">
      <c r="A1081">
        <v>240</v>
      </c>
      <c r="B1081">
        <v>180</v>
      </c>
      <c r="C1081">
        <v>0.1</v>
      </c>
      <c r="D1081">
        <v>20</v>
      </c>
      <c r="E1081">
        <v>600</v>
      </c>
      <c r="F1081">
        <v>160</v>
      </c>
      <c r="G1081" s="3">
        <f t="shared" si="649"/>
        <v>8</v>
      </c>
      <c r="K1081">
        <v>29.7</v>
      </c>
      <c r="L1081">
        <v>34.4</v>
      </c>
      <c r="M1081">
        <v>21.2</v>
      </c>
      <c r="N1081">
        <v>8.6999999999999993</v>
      </c>
      <c r="O1081">
        <v>84.9</v>
      </c>
      <c r="P1081" s="3">
        <v>0</v>
      </c>
      <c r="Q1081">
        <v>49.7</v>
      </c>
      <c r="R1081">
        <v>5.0999999999999996</v>
      </c>
      <c r="S1081">
        <v>0.7</v>
      </c>
      <c r="T1081">
        <v>38.1</v>
      </c>
      <c r="U1081">
        <v>0</v>
      </c>
      <c r="V1081">
        <f t="shared" si="652"/>
        <v>1.2313883299798791</v>
      </c>
      <c r="W1081">
        <f t="shared" si="653"/>
        <v>0.57494969818913488</v>
      </c>
      <c r="X1081">
        <v>6.4</v>
      </c>
      <c r="Y1081" s="3">
        <f t="shared" si="647"/>
        <v>17.280549999999998</v>
      </c>
      <c r="Z1081">
        <v>61.1</v>
      </c>
      <c r="AA1081">
        <v>4.5999999999999996</v>
      </c>
      <c r="AB1081">
        <v>0.9</v>
      </c>
      <c r="AC1081">
        <v>28</v>
      </c>
      <c r="AD1081">
        <v>0</v>
      </c>
      <c r="AE1081">
        <f t="shared" si="612"/>
        <v>0.9034369885433714</v>
      </c>
      <c r="AF1081">
        <f t="shared" si="613"/>
        <v>0.34369885433715219</v>
      </c>
      <c r="AG1081" s="3">
        <v>5.3</v>
      </c>
      <c r="AH1081">
        <f t="shared" si="648"/>
        <v>22.2226</v>
      </c>
      <c r="AI1081" s="3">
        <v>69.5</v>
      </c>
    </row>
    <row r="1082" spans="1:40" x14ac:dyDescent="0.5">
      <c r="A1082">
        <v>240</v>
      </c>
      <c r="B1082">
        <v>240</v>
      </c>
      <c r="C1082">
        <v>0.1</v>
      </c>
      <c r="D1082">
        <v>20</v>
      </c>
      <c r="E1082">
        <v>600</v>
      </c>
      <c r="F1082">
        <v>160</v>
      </c>
      <c r="G1082" s="3">
        <f t="shared" ref="G1082:G1084" si="654">F1082/D1082</f>
        <v>8</v>
      </c>
      <c r="K1082">
        <v>29.7</v>
      </c>
      <c r="L1082">
        <v>34.4</v>
      </c>
      <c r="M1082">
        <v>21.2</v>
      </c>
      <c r="N1082">
        <v>8.6999999999999993</v>
      </c>
      <c r="O1082">
        <v>84.9</v>
      </c>
      <c r="P1082" s="3">
        <v>0</v>
      </c>
      <c r="Q1082">
        <v>49.7</v>
      </c>
      <c r="R1082">
        <v>5.0999999999999996</v>
      </c>
      <c r="S1082">
        <v>0.7</v>
      </c>
      <c r="T1082">
        <v>38.1</v>
      </c>
      <c r="U1082">
        <v>0</v>
      </c>
      <c r="V1082">
        <f t="shared" ref="V1082:V1084" si="655">(R1082/1)/(Q1082/12)</f>
        <v>1.2313883299798791</v>
      </c>
      <c r="W1082">
        <f t="shared" ref="W1082:W1084" si="656">(T1082/16)/(Q1082/12)</f>
        <v>0.57494969818913488</v>
      </c>
      <c r="X1082">
        <v>6.4</v>
      </c>
      <c r="Y1082" s="3">
        <f t="shared" si="647"/>
        <v>17.280549999999998</v>
      </c>
      <c r="Z1082">
        <v>66.7</v>
      </c>
      <c r="AA1082">
        <v>4.5</v>
      </c>
      <c r="AB1082">
        <v>0.9</v>
      </c>
      <c r="AC1082">
        <v>21.9</v>
      </c>
      <c r="AD1082">
        <v>0</v>
      </c>
      <c r="AE1082">
        <f t="shared" si="612"/>
        <v>0.80959520239880056</v>
      </c>
      <c r="AF1082">
        <f t="shared" si="613"/>
        <v>0.2462518740629685</v>
      </c>
      <c r="AG1082" s="3">
        <v>6</v>
      </c>
      <c r="AH1082">
        <f t="shared" si="648"/>
        <v>25.061450000000004</v>
      </c>
      <c r="AI1082" s="3">
        <v>42.5</v>
      </c>
    </row>
    <row r="1083" spans="1:40" x14ac:dyDescent="0.5">
      <c r="A1083">
        <v>240</v>
      </c>
      <c r="B1083">
        <v>300</v>
      </c>
      <c r="C1083">
        <v>0.1</v>
      </c>
      <c r="D1083">
        <v>20</v>
      </c>
      <c r="E1083">
        <v>600</v>
      </c>
      <c r="F1083">
        <v>160</v>
      </c>
      <c r="G1083" s="3">
        <f t="shared" si="654"/>
        <v>8</v>
      </c>
      <c r="K1083">
        <v>29.7</v>
      </c>
      <c r="L1083">
        <v>34.4</v>
      </c>
      <c r="M1083">
        <v>21.2</v>
      </c>
      <c r="N1083">
        <v>8.6999999999999993</v>
      </c>
      <c r="O1083">
        <v>84.9</v>
      </c>
      <c r="P1083" s="3">
        <v>0</v>
      </c>
      <c r="Q1083">
        <v>49.7</v>
      </c>
      <c r="R1083">
        <v>5.0999999999999996</v>
      </c>
      <c r="S1083">
        <v>0.7</v>
      </c>
      <c r="T1083">
        <v>38.1</v>
      </c>
      <c r="U1083">
        <v>0</v>
      </c>
      <c r="V1083">
        <f t="shared" si="655"/>
        <v>1.2313883299798791</v>
      </c>
      <c r="W1083">
        <f t="shared" si="656"/>
        <v>0.57494969818913488</v>
      </c>
      <c r="X1083">
        <v>6.4</v>
      </c>
      <c r="Y1083" s="3">
        <f t="shared" si="647"/>
        <v>17.280549999999998</v>
      </c>
      <c r="Z1083">
        <v>68.900000000000006</v>
      </c>
      <c r="AA1083">
        <v>4</v>
      </c>
      <c r="AB1083">
        <v>1.2</v>
      </c>
      <c r="AC1083">
        <v>18.600000000000001</v>
      </c>
      <c r="AD1083">
        <v>0</v>
      </c>
      <c r="AE1083">
        <f t="shared" si="612"/>
        <v>0.69666182873730043</v>
      </c>
      <c r="AF1083">
        <f t="shared" si="613"/>
        <v>0.20246734397677793</v>
      </c>
      <c r="AG1083" s="3">
        <v>7.9</v>
      </c>
      <c r="AH1083">
        <f t="shared" si="648"/>
        <v>25.680100000000003</v>
      </c>
      <c r="AI1083" s="3">
        <v>30</v>
      </c>
    </row>
    <row r="1084" spans="1:40" x14ac:dyDescent="0.5">
      <c r="A1084">
        <v>0</v>
      </c>
      <c r="B1084">
        <v>100</v>
      </c>
      <c r="C1084">
        <v>0.1</v>
      </c>
      <c r="D1084">
        <v>50</v>
      </c>
      <c r="E1084">
        <v>200</v>
      </c>
      <c r="F1084">
        <v>100</v>
      </c>
      <c r="G1084" s="3">
        <f t="shared" si="654"/>
        <v>2</v>
      </c>
      <c r="O1084">
        <v>56.88</v>
      </c>
      <c r="P1084" s="3">
        <v>8</v>
      </c>
      <c r="Q1084">
        <v>34.409999999999997</v>
      </c>
      <c r="R1084">
        <v>5.21</v>
      </c>
      <c r="S1084">
        <v>4.75</v>
      </c>
      <c r="T1084">
        <v>23.28</v>
      </c>
      <c r="U1084">
        <v>1.73</v>
      </c>
      <c r="V1084">
        <f t="shared" si="655"/>
        <v>1.81691368788143</v>
      </c>
      <c r="W1084">
        <f t="shared" si="656"/>
        <v>0.50741063644289464</v>
      </c>
      <c r="X1084">
        <v>30.63</v>
      </c>
      <c r="Y1084" s="3">
        <v>15.2</v>
      </c>
      <c r="Z1084">
        <v>34.79</v>
      </c>
      <c r="AA1084">
        <v>4.74</v>
      </c>
      <c r="AB1084">
        <v>4.4400000000000004</v>
      </c>
      <c r="AC1084">
        <v>24.26</v>
      </c>
      <c r="AD1084">
        <v>1.65</v>
      </c>
      <c r="AE1084">
        <f t="shared" si="612"/>
        <v>1.6349525725783274</v>
      </c>
      <c r="AF1084">
        <f t="shared" si="613"/>
        <v>0.52299511353837314</v>
      </c>
      <c r="AG1084" s="3">
        <v>30.14</v>
      </c>
      <c r="AH1084">
        <v>14.68</v>
      </c>
      <c r="AI1084" s="3">
        <v>81.36</v>
      </c>
      <c r="AJ1084" s="2" t="s">
        <v>280</v>
      </c>
      <c r="AK1084" t="s">
        <v>281</v>
      </c>
      <c r="AL1084">
        <v>133</v>
      </c>
      <c r="AN1084" t="s">
        <v>282</v>
      </c>
    </row>
    <row r="1085" spans="1:40" x14ac:dyDescent="0.5">
      <c r="A1085">
        <v>30</v>
      </c>
      <c r="B1085">
        <v>100</v>
      </c>
      <c r="C1085">
        <v>0.1</v>
      </c>
      <c r="D1085">
        <v>50</v>
      </c>
      <c r="E1085">
        <v>200</v>
      </c>
      <c r="F1085">
        <v>100</v>
      </c>
      <c r="G1085" s="3">
        <f t="shared" ref="G1085:G1092" si="657">F1085/D1085</f>
        <v>2</v>
      </c>
      <c r="O1085">
        <v>56.88</v>
      </c>
      <c r="P1085" s="3">
        <v>8</v>
      </c>
      <c r="Q1085">
        <v>34.409999999999997</v>
      </c>
      <c r="R1085">
        <v>5.21</v>
      </c>
      <c r="S1085">
        <v>4.75</v>
      </c>
      <c r="T1085">
        <v>23.28</v>
      </c>
      <c r="U1085">
        <v>1.73</v>
      </c>
      <c r="V1085">
        <f t="shared" ref="V1085:V1092" si="658">(R1085/1)/(Q1085/12)</f>
        <v>1.81691368788143</v>
      </c>
      <c r="W1085">
        <f t="shared" ref="W1085:W1092" si="659">(T1085/16)/(Q1085/12)</f>
        <v>0.50741063644289464</v>
      </c>
      <c r="X1085">
        <v>30.63</v>
      </c>
      <c r="Y1085" s="3">
        <v>15.2</v>
      </c>
      <c r="Z1085">
        <v>34.53</v>
      </c>
      <c r="AA1085">
        <v>4.7699999999999996</v>
      </c>
      <c r="AB1085">
        <v>4.37</v>
      </c>
      <c r="AC1085">
        <v>26.26</v>
      </c>
      <c r="AD1085">
        <v>1.76</v>
      </c>
      <c r="AE1085">
        <f t="shared" si="612"/>
        <v>1.6576889661164205</v>
      </c>
      <c r="AF1085">
        <f t="shared" si="613"/>
        <v>0.57037358818418771</v>
      </c>
      <c r="AG1085" s="3">
        <v>28.32</v>
      </c>
      <c r="AH1085">
        <v>14.48</v>
      </c>
      <c r="AI1085" s="3">
        <v>85.31</v>
      </c>
    </row>
    <row r="1086" spans="1:40" x14ac:dyDescent="0.5">
      <c r="A1086">
        <v>60</v>
      </c>
      <c r="B1086">
        <v>100</v>
      </c>
      <c r="C1086">
        <v>0.1</v>
      </c>
      <c r="D1086">
        <v>50</v>
      </c>
      <c r="E1086">
        <v>200</v>
      </c>
      <c r="F1086">
        <v>100</v>
      </c>
      <c r="G1086" s="3">
        <f t="shared" si="657"/>
        <v>2</v>
      </c>
      <c r="O1086">
        <v>56.88</v>
      </c>
      <c r="P1086" s="3">
        <v>8</v>
      </c>
      <c r="Q1086">
        <v>34.409999999999997</v>
      </c>
      <c r="R1086">
        <v>5.21</v>
      </c>
      <c r="S1086">
        <v>4.75</v>
      </c>
      <c r="T1086">
        <v>23.28</v>
      </c>
      <c r="U1086">
        <v>1.73</v>
      </c>
      <c r="V1086">
        <f t="shared" si="658"/>
        <v>1.81691368788143</v>
      </c>
      <c r="W1086">
        <f t="shared" si="659"/>
        <v>0.50741063644289464</v>
      </c>
      <c r="X1086">
        <v>30.63</v>
      </c>
      <c r="Y1086" s="3">
        <v>15.2</v>
      </c>
      <c r="Z1086">
        <v>33.700000000000003</v>
      </c>
      <c r="AA1086">
        <v>4.66</v>
      </c>
      <c r="AB1086">
        <v>4.4800000000000004</v>
      </c>
      <c r="AC1086">
        <v>31.65</v>
      </c>
      <c r="AD1086">
        <v>1.59</v>
      </c>
      <c r="AE1086">
        <f t="shared" si="612"/>
        <v>1.659347181008902</v>
      </c>
      <c r="AF1086">
        <f t="shared" si="613"/>
        <v>0.70437685459940647</v>
      </c>
      <c r="AG1086" s="3">
        <v>23.92</v>
      </c>
      <c r="AH1086">
        <v>13.57</v>
      </c>
      <c r="AI1086" s="3">
        <v>78.28</v>
      </c>
    </row>
    <row r="1087" spans="1:40" x14ac:dyDescent="0.5">
      <c r="A1087">
        <v>0</v>
      </c>
      <c r="B1087">
        <v>150</v>
      </c>
      <c r="C1087">
        <v>0.1</v>
      </c>
      <c r="D1087">
        <v>50</v>
      </c>
      <c r="E1087">
        <v>200</v>
      </c>
      <c r="F1087">
        <v>100</v>
      </c>
      <c r="G1087" s="3">
        <f t="shared" si="657"/>
        <v>2</v>
      </c>
      <c r="O1087">
        <v>56.88</v>
      </c>
      <c r="P1087" s="3">
        <v>8</v>
      </c>
      <c r="Q1087">
        <v>34.409999999999997</v>
      </c>
      <c r="R1087">
        <v>5.21</v>
      </c>
      <c r="S1087">
        <v>4.75</v>
      </c>
      <c r="T1087">
        <v>23.28</v>
      </c>
      <c r="U1087">
        <v>1.73</v>
      </c>
      <c r="V1087">
        <f t="shared" si="658"/>
        <v>1.81691368788143</v>
      </c>
      <c r="W1087">
        <f t="shared" si="659"/>
        <v>0.50741063644289464</v>
      </c>
      <c r="X1087">
        <v>30.63</v>
      </c>
      <c r="Y1087" s="3">
        <v>15.2</v>
      </c>
      <c r="Z1087">
        <v>33.04</v>
      </c>
      <c r="AA1087">
        <v>4.53</v>
      </c>
      <c r="AB1087">
        <v>4.2300000000000004</v>
      </c>
      <c r="AC1087">
        <v>25.97</v>
      </c>
      <c r="AD1087">
        <v>1.6</v>
      </c>
      <c r="AE1087">
        <f t="shared" si="612"/>
        <v>1.6452784503631961</v>
      </c>
      <c r="AF1087">
        <f t="shared" si="613"/>
        <v>0.58951271186440679</v>
      </c>
      <c r="AG1087" s="3">
        <v>30.64</v>
      </c>
      <c r="AH1087">
        <v>13.64</v>
      </c>
      <c r="AI1087" s="3">
        <v>77.569999999999993</v>
      </c>
    </row>
    <row r="1088" spans="1:40" x14ac:dyDescent="0.5">
      <c r="A1088">
        <v>30</v>
      </c>
      <c r="B1088">
        <v>150</v>
      </c>
      <c r="C1088">
        <v>0.1</v>
      </c>
      <c r="D1088">
        <v>50</v>
      </c>
      <c r="E1088">
        <v>200</v>
      </c>
      <c r="F1088">
        <v>100</v>
      </c>
      <c r="G1088" s="3">
        <f t="shared" si="657"/>
        <v>2</v>
      </c>
      <c r="O1088">
        <v>56.88</v>
      </c>
      <c r="P1088" s="3">
        <v>8</v>
      </c>
      <c r="Q1088">
        <v>34.409999999999997</v>
      </c>
      <c r="R1088">
        <v>5.21</v>
      </c>
      <c r="S1088">
        <v>4.75</v>
      </c>
      <c r="T1088">
        <v>23.28</v>
      </c>
      <c r="U1088">
        <v>1.73</v>
      </c>
      <c r="V1088">
        <f t="shared" si="658"/>
        <v>1.81691368788143</v>
      </c>
      <c r="W1088">
        <f t="shared" si="659"/>
        <v>0.50741063644289464</v>
      </c>
      <c r="X1088">
        <v>30.63</v>
      </c>
      <c r="Y1088" s="3">
        <v>15.2</v>
      </c>
      <c r="Z1088">
        <v>37.22</v>
      </c>
      <c r="AA1088">
        <v>4.99</v>
      </c>
      <c r="AB1088">
        <v>4.45</v>
      </c>
      <c r="AC1088">
        <v>20.79</v>
      </c>
      <c r="AD1088">
        <v>1.67</v>
      </c>
      <c r="AE1088">
        <f t="shared" si="612"/>
        <v>1.6088124664159056</v>
      </c>
      <c r="AF1088">
        <f t="shared" si="613"/>
        <v>0.4189279957012359</v>
      </c>
      <c r="AG1088" s="3">
        <v>30.9</v>
      </c>
      <c r="AH1088">
        <v>16.170000000000002</v>
      </c>
      <c r="AI1088" s="3">
        <v>86.26</v>
      </c>
    </row>
    <row r="1089" spans="1:35" x14ac:dyDescent="0.5">
      <c r="A1089">
        <v>60</v>
      </c>
      <c r="B1089">
        <v>150</v>
      </c>
      <c r="C1089">
        <v>0.1</v>
      </c>
      <c r="D1089">
        <v>50</v>
      </c>
      <c r="E1089">
        <v>200</v>
      </c>
      <c r="F1089">
        <v>100</v>
      </c>
      <c r="G1089" s="3">
        <f t="shared" si="657"/>
        <v>2</v>
      </c>
      <c r="O1089">
        <v>56.88</v>
      </c>
      <c r="P1089" s="3">
        <v>8</v>
      </c>
      <c r="Q1089">
        <v>34.409999999999997</v>
      </c>
      <c r="R1089">
        <v>5.21</v>
      </c>
      <c r="S1089">
        <v>4.75</v>
      </c>
      <c r="T1089">
        <v>23.28</v>
      </c>
      <c r="U1089">
        <v>1.73</v>
      </c>
      <c r="V1089">
        <f t="shared" si="658"/>
        <v>1.81691368788143</v>
      </c>
      <c r="W1089">
        <f t="shared" si="659"/>
        <v>0.50741063644289464</v>
      </c>
      <c r="X1089">
        <v>30.63</v>
      </c>
      <c r="Y1089" s="3">
        <v>15.2</v>
      </c>
      <c r="Z1089">
        <v>32.36</v>
      </c>
      <c r="AA1089">
        <v>4.32</v>
      </c>
      <c r="AB1089">
        <v>3.96</v>
      </c>
      <c r="AC1089">
        <v>26.38</v>
      </c>
      <c r="AD1089">
        <v>1.57</v>
      </c>
      <c r="AE1089">
        <f t="shared" si="612"/>
        <v>1.6019777503090236</v>
      </c>
      <c r="AF1089">
        <f t="shared" si="613"/>
        <v>0.61140296662546345</v>
      </c>
      <c r="AG1089" s="3">
        <v>31.41</v>
      </c>
      <c r="AH1089">
        <v>13.1</v>
      </c>
      <c r="AI1089" s="3">
        <v>81.16</v>
      </c>
    </row>
    <row r="1090" spans="1:35" x14ac:dyDescent="0.5">
      <c r="A1090">
        <v>0</v>
      </c>
      <c r="B1090">
        <v>200</v>
      </c>
      <c r="C1090">
        <v>0.1</v>
      </c>
      <c r="D1090">
        <v>50</v>
      </c>
      <c r="E1090">
        <v>200</v>
      </c>
      <c r="F1090">
        <v>100</v>
      </c>
      <c r="G1090" s="3">
        <f t="shared" si="657"/>
        <v>2</v>
      </c>
      <c r="O1090">
        <v>56.88</v>
      </c>
      <c r="P1090" s="3">
        <v>8</v>
      </c>
      <c r="Q1090">
        <v>34.409999999999997</v>
      </c>
      <c r="R1090">
        <v>5.21</v>
      </c>
      <c r="S1090">
        <v>4.75</v>
      </c>
      <c r="T1090">
        <v>23.28</v>
      </c>
      <c r="U1090">
        <v>1.73</v>
      </c>
      <c r="V1090">
        <f t="shared" si="658"/>
        <v>1.81691368788143</v>
      </c>
      <c r="W1090">
        <f t="shared" si="659"/>
        <v>0.50741063644289464</v>
      </c>
      <c r="X1090">
        <v>30.63</v>
      </c>
      <c r="Y1090" s="3">
        <v>15.2</v>
      </c>
      <c r="Z1090">
        <v>34.85</v>
      </c>
      <c r="AA1090">
        <v>4.45</v>
      </c>
      <c r="AB1090">
        <v>3.93</v>
      </c>
      <c r="AC1090">
        <v>19.96</v>
      </c>
      <c r="AD1090">
        <v>1.61</v>
      </c>
      <c r="AE1090">
        <f t="shared" si="612"/>
        <v>1.5322812051649928</v>
      </c>
      <c r="AF1090">
        <f t="shared" si="613"/>
        <v>0.42955523672883789</v>
      </c>
      <c r="AG1090" s="3">
        <v>35.21</v>
      </c>
      <c r="AH1090">
        <v>14.71</v>
      </c>
      <c r="AI1090" s="3">
        <v>73.73</v>
      </c>
    </row>
    <row r="1091" spans="1:35" x14ac:dyDescent="0.5">
      <c r="A1091">
        <v>30</v>
      </c>
      <c r="B1091">
        <v>200</v>
      </c>
      <c r="C1091">
        <v>0.1</v>
      </c>
      <c r="D1091">
        <v>50</v>
      </c>
      <c r="E1091">
        <v>200</v>
      </c>
      <c r="F1091">
        <v>100</v>
      </c>
      <c r="G1091" s="3">
        <f t="shared" si="657"/>
        <v>2</v>
      </c>
      <c r="O1091">
        <v>56.88</v>
      </c>
      <c r="P1091" s="3">
        <v>8</v>
      </c>
      <c r="Q1091">
        <v>34.409999999999997</v>
      </c>
      <c r="R1091">
        <v>5.21</v>
      </c>
      <c r="S1091">
        <v>4.75</v>
      </c>
      <c r="T1091">
        <v>23.28</v>
      </c>
      <c r="U1091">
        <v>1.73</v>
      </c>
      <c r="V1091">
        <f t="shared" si="658"/>
        <v>1.81691368788143</v>
      </c>
      <c r="W1091">
        <f t="shared" si="659"/>
        <v>0.50741063644289464</v>
      </c>
      <c r="X1091">
        <v>30.63</v>
      </c>
      <c r="Y1091" s="3">
        <v>15.2</v>
      </c>
      <c r="Z1091">
        <v>35.04</v>
      </c>
      <c r="AA1091">
        <v>4.26</v>
      </c>
      <c r="AB1091">
        <v>3.56</v>
      </c>
      <c r="AC1091">
        <v>19.350000000000001</v>
      </c>
      <c r="AD1091">
        <v>1.59</v>
      </c>
      <c r="AE1091">
        <f t="shared" si="612"/>
        <v>1.4589041095890412</v>
      </c>
      <c r="AF1091">
        <f t="shared" si="613"/>
        <v>0.41416952054794526</v>
      </c>
      <c r="AG1091" s="3">
        <v>36.22</v>
      </c>
      <c r="AH1091">
        <v>14.59</v>
      </c>
      <c r="AI1091" s="3">
        <v>89.01</v>
      </c>
    </row>
    <row r="1092" spans="1:35" x14ac:dyDescent="0.5">
      <c r="A1092">
        <v>60</v>
      </c>
      <c r="B1092">
        <v>200</v>
      </c>
      <c r="C1092">
        <v>0.1</v>
      </c>
      <c r="D1092">
        <v>50</v>
      </c>
      <c r="E1092">
        <v>200</v>
      </c>
      <c r="F1092">
        <v>100</v>
      </c>
      <c r="G1092" s="3">
        <f t="shared" si="657"/>
        <v>2</v>
      </c>
      <c r="O1092">
        <v>56.88</v>
      </c>
      <c r="P1092" s="3">
        <v>8</v>
      </c>
      <c r="Q1092">
        <v>34.409999999999997</v>
      </c>
      <c r="R1092">
        <v>5.21</v>
      </c>
      <c r="S1092">
        <v>4.75</v>
      </c>
      <c r="T1092">
        <v>23.28</v>
      </c>
      <c r="U1092">
        <v>1.73</v>
      </c>
      <c r="V1092">
        <f t="shared" si="658"/>
        <v>1.81691368788143</v>
      </c>
      <c r="W1092">
        <f t="shared" si="659"/>
        <v>0.50741063644289464</v>
      </c>
      <c r="X1092">
        <v>30.63</v>
      </c>
      <c r="Y1092" s="3">
        <v>15.2</v>
      </c>
      <c r="Z1092">
        <v>34.32</v>
      </c>
      <c r="AA1092">
        <v>4.09</v>
      </c>
      <c r="AB1092">
        <v>3.22</v>
      </c>
      <c r="AC1092">
        <v>18.420000000000002</v>
      </c>
      <c r="AD1092">
        <v>1.65</v>
      </c>
      <c r="AE1092">
        <f t="shared" si="612"/>
        <v>1.43006993006993</v>
      </c>
      <c r="AF1092">
        <f t="shared" si="613"/>
        <v>0.40253496503496511</v>
      </c>
      <c r="AG1092" s="3">
        <v>38.31</v>
      </c>
      <c r="AH1092">
        <v>14.21</v>
      </c>
      <c r="AI1092" s="3">
        <v>80.78</v>
      </c>
    </row>
  </sheetData>
  <hyperlinks>
    <hyperlink ref="AJ2" r:id="rId1" xr:uid="{9342723D-37BA-D645-A6E0-D3CDE80D9FD2}"/>
    <hyperlink ref="AJ8" r:id="rId2" xr:uid="{A9741F50-1E25-6B4A-A046-77CE84EE22B8}"/>
    <hyperlink ref="AJ17" r:id="rId3" xr:uid="{8A9A6F09-EF1F-454B-9BA4-779C380D9005}"/>
    <hyperlink ref="AJ24" r:id="rId4" xr:uid="{A9CEC6E7-0619-9F43-A0AD-37107840FE69}"/>
    <hyperlink ref="AJ30" r:id="rId5" xr:uid="{BB02D62B-D8D7-D44D-89FD-9485B8586CB6}"/>
    <hyperlink ref="AJ37" r:id="rId6" xr:uid="{21320442-82A6-6E42-8BAF-006880A2FD82}"/>
    <hyperlink ref="AJ46" r:id="rId7" xr:uid="{A9ABE117-A840-0649-A6E8-C2B2C6F3AE44}"/>
    <hyperlink ref="AJ66" r:id="rId8" xr:uid="{5B610069-9A19-BB46-82BF-13B2081973DD}"/>
    <hyperlink ref="AJ74" r:id="rId9" xr:uid="{D116A2DB-B9BC-7E44-98A0-A4D854153B17}"/>
    <hyperlink ref="AJ80" r:id="rId10" xr:uid="{3C67DD68-7F4B-5045-8A52-B9D22AE79282}"/>
    <hyperlink ref="AJ96" r:id="rId11" xr:uid="{F785B10F-05E4-9F47-909A-5DDF5764B4F2}"/>
    <hyperlink ref="AJ102" r:id="rId12" xr:uid="{0A26146E-FB88-7748-AE28-07795D917A94}"/>
    <hyperlink ref="AJ114" r:id="rId13" xr:uid="{077A8A78-7872-F14D-BD71-D713151AC6F9}"/>
    <hyperlink ref="AJ122" r:id="rId14" xr:uid="{B31A9FA6-8736-624A-A3AE-E0439125CD2C}"/>
    <hyperlink ref="AJ130" r:id="rId15" xr:uid="{F10498B5-5E7B-F143-AB84-9879CB6989CC}"/>
    <hyperlink ref="AJ131" r:id="rId16" xr:uid="{D8EED7D9-686D-F748-A73E-E5FC4F23E70C}"/>
    <hyperlink ref="AJ133" r:id="rId17" xr:uid="{2FA8CB32-E580-CC46-ADC5-A7BF7D4E0FDE}"/>
    <hyperlink ref="AJ145" r:id="rId18" xr:uid="{21C99F12-724A-C648-A0C8-41FDE79B8712}"/>
    <hyperlink ref="AJ175" r:id="rId19" xr:uid="{2AC1FF33-01E0-4F4C-B214-93B375144345}"/>
    <hyperlink ref="AJ195" r:id="rId20" xr:uid="{0D1C1C98-AC09-3445-A1A6-BDBE602CC312}"/>
    <hyperlink ref="AJ198" r:id="rId21" xr:uid="{07437BC8-65A1-274C-A997-59EC1CF23462}"/>
    <hyperlink ref="AJ226" r:id="rId22" xr:uid="{21049AB2-0DF9-2640-8770-14D4940463E7}"/>
    <hyperlink ref="AJ238" r:id="rId23" xr:uid="{0151FA3A-E784-434B-94E7-3626B09A7A07}"/>
    <hyperlink ref="AJ253" r:id="rId24" xr:uid="{AD2D0D34-E574-D442-9EC8-9ABB02902A19}"/>
    <hyperlink ref="AJ259" r:id="rId25" xr:uid="{CB27C0E5-26ED-B141-B282-C6197CAABBF0}"/>
    <hyperlink ref="AJ277" r:id="rId26" xr:uid="{7338601A-C8DD-1B44-B5EB-DDC79B5C1FCD}"/>
    <hyperlink ref="AJ283" r:id="rId27" xr:uid="{52A66887-82F0-4943-BF3E-39E8A66B6B2C}"/>
    <hyperlink ref="AJ300" r:id="rId28" xr:uid="{0BF29E80-1D99-DD45-BE52-5DCC139CD8C4}"/>
    <hyperlink ref="AJ310" r:id="rId29" xr:uid="{945A363E-FA1A-4941-A035-C0492C2B3CFF}"/>
    <hyperlink ref="AJ314" r:id="rId30" xr:uid="{02577B78-8A9A-3545-BBEF-16D09C3D55C9}"/>
    <hyperlink ref="AJ315" r:id="rId31" xr:uid="{677B2E45-1D6C-7144-9D67-EC2CAFB170C1}"/>
    <hyperlink ref="AJ321" r:id="rId32" xr:uid="{CB539A86-7E51-0943-BB45-7826B77EA9E3}"/>
    <hyperlink ref="AJ330" r:id="rId33" xr:uid="{FAC82FCB-7FF1-884A-A105-BD3950E3D9E8}"/>
    <hyperlink ref="AJ339" r:id="rId34" xr:uid="{3059C7AF-73BF-7547-9500-B179B3B67F61}"/>
    <hyperlink ref="AJ342" r:id="rId35" xr:uid="{2D571561-DD3A-974B-A1B5-61D45174A9E5}"/>
    <hyperlink ref="AJ350" r:id="rId36" xr:uid="{560DF088-8F2D-8145-B9F2-B17AE6886EB2}"/>
    <hyperlink ref="AJ353" r:id="rId37" xr:uid="{F020BD13-FD73-174B-94C2-721345C012F0}"/>
    <hyperlink ref="AJ362" r:id="rId38" xr:uid="{87236804-B342-E04D-B547-F44C3295E635}"/>
    <hyperlink ref="AJ372" r:id="rId39" xr:uid="{A6C0757B-2250-294F-A4FF-68F45C84392F}"/>
    <hyperlink ref="AJ380" r:id="rId40" xr:uid="{F9838025-10AA-AA49-AB43-34455E0E7B77}"/>
    <hyperlink ref="AJ384" r:id="rId41" xr:uid="{701F8EAB-350A-AD41-A93F-DF25DEEBF9C6}"/>
    <hyperlink ref="AJ396" r:id="rId42" xr:uid="{BDBAF205-5B1D-C84D-B815-6E6EAF3DF327}"/>
    <hyperlink ref="AJ416" r:id="rId43" xr:uid="{5EFB2970-5F0C-5A40-A486-B3D512181C60}"/>
    <hyperlink ref="AJ417" r:id="rId44" xr:uid="{D4BCCE78-7E59-E049-B1EB-89005EC99F60}"/>
    <hyperlink ref="AJ424" r:id="rId45" xr:uid="{2D478D1F-D7AD-524E-AE02-5B6B8B7549B0}"/>
    <hyperlink ref="AJ426" r:id="rId46" xr:uid="{AC4F87F4-E58E-3941-ACB0-0EB030837A0A}"/>
    <hyperlink ref="AJ433" r:id="rId47" xr:uid="{49444041-8AF2-5C43-B8E2-25F3FCDE98F5}"/>
    <hyperlink ref="AJ439" r:id="rId48" xr:uid="{45EAA816-7556-E24F-902D-0E6AD1957A20}"/>
    <hyperlink ref="AJ447" r:id="rId49" xr:uid="{5B66759E-9564-134A-85C3-93B8517AE621}"/>
    <hyperlink ref="AJ453" r:id="rId50" xr:uid="{CA5FAE8C-1EF1-5E4B-BD6E-48F012782186}"/>
    <hyperlink ref="AJ461" r:id="rId51" xr:uid="{5C56C46E-0940-E249-812B-6ACC733ECE22}"/>
    <hyperlink ref="AJ464" r:id="rId52" xr:uid="{EFF1CE7D-DC6F-5041-B94B-468928D3DF7F}"/>
    <hyperlink ref="AJ469" r:id="rId53" xr:uid="{6CE7E616-A43D-1E41-9E97-6D8CD8405D7F}"/>
    <hyperlink ref="AJ484" r:id="rId54" xr:uid="{4AD2E582-A044-714F-8AA8-0079E393F4F5}"/>
    <hyperlink ref="AJ496" r:id="rId55" xr:uid="{F0ABD1C0-3579-3D4C-AAD2-CA8A99AF4911}"/>
    <hyperlink ref="AJ500" r:id="rId56" xr:uid="{7490C697-E36E-D64A-A774-4D1CCC02FAE7}"/>
    <hyperlink ref="AJ512" r:id="rId57" tooltip="Persistent link using digital object identifier" xr:uid="{A469A374-3A68-964B-9FE2-005C89DCCAEB}"/>
    <hyperlink ref="AJ516" r:id="rId58" tooltip="Persistent link using digital object identifier" xr:uid="{CAA1799B-082E-3242-8D49-C155285140CD}"/>
    <hyperlink ref="AJ525" r:id="rId59" xr:uid="{97CFD5AB-A392-9F4D-95A0-FFCCCBC9A98C}"/>
    <hyperlink ref="AJ528" r:id="rId60" xr:uid="{8AE30ACA-C6BD-AB49-8EA5-054C248001FF}"/>
    <hyperlink ref="AJ540" r:id="rId61" xr:uid="{206D38B9-8698-BE46-8C38-E7D6270401F1}"/>
    <hyperlink ref="AJ545" r:id="rId62" xr:uid="{D5B172A0-3B10-D84C-9072-0184BDFB96B8}"/>
    <hyperlink ref="AJ547" r:id="rId63" xr:uid="{4C465477-5A5A-854A-BBC4-E8A8DB97FB7C}"/>
    <hyperlink ref="AJ559" r:id="rId64" xr:uid="{256D28D4-40B1-8A42-BAD8-C96F8A39937B}"/>
    <hyperlink ref="AJ568" r:id="rId65" xr:uid="{1D102082-9E61-AF4D-AFAF-BDD621F140BD}"/>
    <hyperlink ref="AJ571" r:id="rId66" xr:uid="{1FA77705-13BB-614F-8C40-E6A9BB427744}"/>
    <hyperlink ref="AJ585" r:id="rId67" xr:uid="{FE19CFEE-8ACD-954B-A6D1-A318BD31A48A}"/>
    <hyperlink ref="AJ594" r:id="rId68" xr:uid="{98C0FD39-EE81-3544-AB14-3EB36FAE512B}"/>
    <hyperlink ref="AJ608" r:id="rId69" xr:uid="{54EB32F0-E0D6-FA47-BD2E-400DCF0FB6EB}"/>
    <hyperlink ref="AJ613" r:id="rId70" xr:uid="{585B76AF-D3FF-9E43-A01E-09496431EDBD}"/>
    <hyperlink ref="AJ625" r:id="rId71" xr:uid="{DAEA208B-7DD2-8348-920F-8D73A53FB884}"/>
    <hyperlink ref="AJ628" r:id="rId72" xr:uid="{20F1CE6E-642C-4346-AC3F-C0ECC6BB1900}"/>
    <hyperlink ref="AJ637" r:id="rId73" xr:uid="{E9DAF54F-0495-DC4C-860D-9B9F2986AA96}"/>
    <hyperlink ref="AJ641" r:id="rId74" xr:uid="{7C1A18FA-1C65-6D42-B86F-38EF676E9982}"/>
    <hyperlink ref="AJ648" r:id="rId75" xr:uid="{0B7E6892-162C-A04A-9857-F58B91D334BA}"/>
    <hyperlink ref="AJ651" r:id="rId76" xr:uid="{3AEBFFC4-67D6-6E4F-AAD8-CA95E65984C9}"/>
    <hyperlink ref="AJ666" r:id="rId77" xr:uid="{5BA5C374-5959-6647-8400-C1DC8CBA59C1}"/>
    <hyperlink ref="AJ672" r:id="rId78" xr:uid="{010624CD-0930-1042-8759-4584AEFEAEB9}"/>
    <hyperlink ref="AJ674" r:id="rId79" xr:uid="{6E2F9E28-F854-DB49-A5CE-EB40C71321A1}"/>
    <hyperlink ref="AJ683" r:id="rId80" xr:uid="{C7EA5558-2C3E-4B41-A597-EA7DFFD93928}"/>
    <hyperlink ref="AJ690" r:id="rId81" xr:uid="{39C3C01F-B54E-3B4C-9321-67F5B1D05BEB}"/>
    <hyperlink ref="AJ693" r:id="rId82" xr:uid="{85EE646A-33C3-7E42-91E8-BFD9A28A6B7B}"/>
    <hyperlink ref="AJ697" r:id="rId83" xr:uid="{45FC57E4-7728-F64E-B8D8-E748050A2BB3}"/>
    <hyperlink ref="AJ708" r:id="rId84" xr:uid="{D0DA4EB1-AAA3-3A49-B20D-71479BABCBAA}"/>
    <hyperlink ref="AJ723" r:id="rId85" xr:uid="{5FFBB3F0-CD4F-D148-86A1-6047C9220CCA}"/>
    <hyperlink ref="AJ732" r:id="rId86" tooltip="Persistent link using digital object identifier" xr:uid="{54DB4799-2131-CF4E-AF9B-A62145700E37}"/>
    <hyperlink ref="AJ739" r:id="rId87" xr:uid="{4A89FE4A-37CF-424E-A78B-0F0B3C4A57F7}"/>
    <hyperlink ref="AJ757" r:id="rId88" xr:uid="{AC54AA92-FEA1-DC47-A52A-77DD26B60C95}"/>
    <hyperlink ref="AJ764" r:id="rId89" xr:uid="{3B44D11A-B372-494C-AE7B-A2777CC27B8E}"/>
    <hyperlink ref="AJ768" r:id="rId90" xr:uid="{37F08F46-3CA7-6E49-B116-0B7612E230F7}"/>
    <hyperlink ref="AJ774" r:id="rId91" xr:uid="{0D2F820E-122D-CF4E-AFBC-BE154A22F802}"/>
    <hyperlink ref="AJ776" r:id="rId92" xr:uid="{3284E0F2-8910-6247-ABA7-F89D349032DF}"/>
    <hyperlink ref="AJ785" r:id="rId93" xr:uid="{F9438200-FA08-C34E-A70D-5B0954DE13D7}"/>
    <hyperlink ref="AJ791" r:id="rId94" xr:uid="{BDD5DDB3-31C5-F644-B9DB-71843C87B1A2}"/>
    <hyperlink ref="AJ800" r:id="rId95" xr:uid="{80077EE6-0E52-F34A-8320-8FDDF10E8B94}"/>
    <hyperlink ref="AJ802" r:id="rId96" xr:uid="{BE6A42E4-CCE5-1F41-AB38-8056DCEA851D}"/>
    <hyperlink ref="AJ805" r:id="rId97" xr:uid="{F35E5C8B-479A-C94E-87D6-3D16E17C38B2}"/>
    <hyperlink ref="AJ821" r:id="rId98" xr:uid="{53185AAB-445A-9B47-9507-8B0BB4C06E5B}"/>
    <hyperlink ref="AJ826" r:id="rId99" xr:uid="{96BCCC01-509A-1B45-99BE-B5BA686B1717}"/>
    <hyperlink ref="AJ829" r:id="rId100" xr:uid="{285F236B-1358-754C-A49C-07EDF54B718E}"/>
    <hyperlink ref="AJ834" r:id="rId101" xr:uid="{7E3364F3-6224-1B46-A818-476C98B5205A}"/>
    <hyperlink ref="AJ840" r:id="rId102" xr:uid="{AFA565E6-22E6-4946-9E35-4F5D04FE6D40}"/>
    <hyperlink ref="AJ847" r:id="rId103" xr:uid="{FAB5990B-8350-8C4C-A8B4-8DC11EE97956}"/>
    <hyperlink ref="AJ850" r:id="rId104" xr:uid="{9FB7F7D6-F70B-5342-B835-6CD8233E78E1}"/>
    <hyperlink ref="AJ858" r:id="rId105" xr:uid="{6F7BBF5F-6F59-7446-B321-DE6F154CC098}"/>
    <hyperlink ref="AJ867" r:id="rId106" tooltip="Persistent link using digital object identifier" xr:uid="{8085A6FC-CA96-1847-AB93-79C77F3A57AA}"/>
    <hyperlink ref="AJ870" r:id="rId107" xr:uid="{3C896B71-B82F-F248-9C9E-2A76A1E30099}"/>
    <hyperlink ref="AJ873" r:id="rId108" xr:uid="{EB9094AC-9F31-F542-ABF8-87F3394B42AF}"/>
    <hyperlink ref="AJ884" r:id="rId109" xr:uid="{3FD20B98-D295-C544-BD79-171E9CE6CAFB}"/>
    <hyperlink ref="AJ893" r:id="rId110" xr:uid="{57F4492F-1B89-294F-9BD3-2B7A73D410C5}"/>
    <hyperlink ref="AJ906" r:id="rId111" xr:uid="{2F2C5DBC-9B99-FE41-A9A2-2EDAD110478D}"/>
    <hyperlink ref="AJ913" r:id="rId112" xr:uid="{44533840-14EB-9844-9A36-B5B83D3A2AF9}"/>
    <hyperlink ref="AJ918" r:id="rId113" xr:uid="{BB725E75-7666-894E-A0A6-C0D6BC90AAA3}"/>
    <hyperlink ref="AJ921" r:id="rId114" xr:uid="{514BB598-B3AE-0A4D-9388-4B2807148867}"/>
    <hyperlink ref="AJ930" r:id="rId115" xr:uid="{81BD5BCF-9D4A-8A44-B5ED-E216C68D6625}"/>
    <hyperlink ref="AJ948" r:id="rId116" xr:uid="{19542620-66E5-F043-9317-FDC956202166}"/>
    <hyperlink ref="AJ957" r:id="rId117" xr:uid="{30BADE50-9116-3344-A5B0-81AE9FB01C12}"/>
    <hyperlink ref="AJ959" r:id="rId118" xr:uid="{0DAF9866-B117-8648-9C52-A4617428C0BF}"/>
    <hyperlink ref="AJ977" r:id="rId119" xr:uid="{B09B8D8C-7FFA-C14E-960A-5874E1FC0812}"/>
    <hyperlink ref="AJ983" r:id="rId120" xr:uid="{64BC2CE0-371E-2F44-912A-D487C8FFE169}"/>
    <hyperlink ref="AJ986" r:id="rId121" xr:uid="{7E26BC0D-BA08-6946-B62C-2D9ADF0DEEE3}"/>
    <hyperlink ref="AJ1010" r:id="rId122" xr:uid="{5879B7B5-EC81-D946-8CD9-4F220B8279E7}"/>
    <hyperlink ref="AJ1013" r:id="rId123" xr:uid="{34AB42F7-1637-1B40-A352-6D905FB5F027}"/>
    <hyperlink ref="AJ1016" r:id="rId124" xr:uid="{1D17987C-2EC6-2445-9483-D0B821326324}"/>
    <hyperlink ref="AJ1020" r:id="rId125" xr:uid="{66928737-07CC-8244-99A9-343BF62B50AD}"/>
    <hyperlink ref="AJ1038" r:id="rId126" xr:uid="{301EF197-7AD8-7F4C-B3CB-6884340B0633}"/>
    <hyperlink ref="AJ1050" r:id="rId127" xr:uid="{0FC1EF04-DDD7-C94E-983A-811620947E32}"/>
    <hyperlink ref="AJ1054" r:id="rId128" xr:uid="{A60CC9CF-DE00-EB4E-B8A2-5DA540B84988}"/>
    <hyperlink ref="AJ1057" r:id="rId129" xr:uid="{EADCFAF3-3ED3-334A-AFE3-23131D2FBAAA}"/>
    <hyperlink ref="AJ1060" r:id="rId130" xr:uid="{A6998D17-1FA7-2A45-A31E-3AD55FB74BED}"/>
    <hyperlink ref="AJ1063" r:id="rId131" xr:uid="{5AEE64FD-87BE-0641-82CA-CAB57DB0B31A}"/>
    <hyperlink ref="AJ1072" r:id="rId132" xr:uid="{891A6049-F021-3843-A525-EAA2633C1E73}"/>
    <hyperlink ref="AJ1084" r:id="rId133" xr:uid="{5BB6C04C-9CA0-974B-8B5B-2F63CD764AA9}"/>
  </hyperlinks>
  <pageMargins left="0.7" right="0.7" top="0.75" bottom="0.75" header="0.3" footer="0.3"/>
  <pageSetup paperSize="9" orientation="portrait" horizontalDpi="0" verticalDpi="0"/>
  <tableParts count="1">
    <tablePart r:id="rId13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0ED98E-4D7A-4B0B-B6EF-A279112C2A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HTC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Kassem Ibrahim Al Houssaini</cp:lastModifiedBy>
  <dcterms:created xsi:type="dcterms:W3CDTF">2024-02-14T02:36:33Z</dcterms:created>
  <dcterms:modified xsi:type="dcterms:W3CDTF">2026-06-18T09:02:07Z</dcterms:modified>
</cp:coreProperties>
</file>